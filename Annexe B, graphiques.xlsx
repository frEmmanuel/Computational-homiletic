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dumon\Dropbox\Thèse\9 Vers la thèse\"/>
    </mc:Choice>
  </mc:AlternateContent>
  <xr:revisionPtr revIDLastSave="0" documentId="13_ncr:1_{155C7554-8EC3-4843-BFB0-CF79C050961E}" xr6:coauthVersionLast="47" xr6:coauthVersionMax="47" xr10:uidLastSave="{00000000-0000-0000-0000-000000000000}"/>
  <bookViews>
    <workbookView xWindow="-120" yWindow="-120" windowWidth="29040" windowHeight="15720" activeTab="5" xr2:uid="{DC401396-FB21-46A7-9291-32F7DED2C951}"/>
  </bookViews>
  <sheets>
    <sheet name="Sommaire" sheetId="31" r:id="rId1"/>
    <sheet name="Corpus" sheetId="28" r:id="rId2"/>
    <sheet name="Présence" sheetId="21" r:id="rId3"/>
    <sheet name="Cooccurrences" sheetId="29" r:id="rId4"/>
    <sheet name="Fonction" sheetId="24" r:id="rId5"/>
    <sheet name="Verbes" sheetId="26" r:id="rId6"/>
  </sheets>
  <definedNames>
    <definedName name="_ftn1" localSheetId="4">Fonction!#REF!</definedName>
    <definedName name="_ftn2" localSheetId="4">Fonction!#REF!</definedName>
    <definedName name="_ftn3" localSheetId="4">Fonction!#REF!</definedName>
    <definedName name="_ftn4" localSheetId="4">Fonction!#REF!</definedName>
    <definedName name="_ftn5" localSheetId="4">Fonction!#REF!</definedName>
    <definedName name="_ftnref4" localSheetId="4">Fonction!#REF!</definedName>
    <definedName name="_ftnref5" localSheetId="4">Fonction!#REF!</definedName>
    <definedName name="_Toc194351286" localSheetId="0">Sommaire!$C$34</definedName>
  </definedNames>
  <calcPr calcId="191029"/>
</workbook>
</file>

<file path=xl/calcChain.xml><?xml version="1.0" encoding="utf-8"?>
<calcChain xmlns="http://schemas.openxmlformats.org/spreadsheetml/2006/main">
  <c r="B120" i="28" l="1"/>
  <c r="B1" i="26" l="1"/>
  <c r="B39" i="24"/>
  <c r="B25" i="24" l="1"/>
  <c r="U4" i="24"/>
  <c r="B4" i="24"/>
  <c r="B2" i="24"/>
  <c r="B1" i="24"/>
  <c r="B2" i="28"/>
  <c r="B1" i="28"/>
  <c r="B2" i="21"/>
  <c r="B1" i="21"/>
  <c r="B2" i="29"/>
  <c r="B1" i="29"/>
  <c r="B124" i="21" l="1"/>
  <c r="B302" i="29"/>
  <c r="B270" i="29"/>
  <c r="B243" i="29"/>
  <c r="B84" i="21"/>
  <c r="T4" i="21"/>
  <c r="B45" i="21" l="1"/>
  <c r="B14" i="21"/>
  <c r="B4" i="21"/>
  <c r="B101" i="28"/>
  <c r="B4" i="28"/>
  <c r="I7" i="21" l="1"/>
  <c r="I42" i="21" l="1"/>
  <c r="I43" i="21"/>
  <c r="I31" i="21"/>
  <c r="I32" i="21"/>
  <c r="I33" i="21"/>
  <c r="I34" i="21"/>
  <c r="I35" i="21"/>
  <c r="I36" i="21"/>
  <c r="I37" i="21"/>
  <c r="I38" i="21"/>
  <c r="I39" i="21"/>
  <c r="I40" i="21"/>
  <c r="I41" i="21"/>
  <c r="I30" i="21"/>
  <c r="C12" i="21" l="1"/>
  <c r="D12" i="21"/>
  <c r="E12" i="21"/>
  <c r="F12" i="21"/>
  <c r="G12" i="21"/>
  <c r="H12" i="21"/>
  <c r="B12" i="21"/>
  <c r="F27" i="28"/>
  <c r="I9" i="21"/>
  <c r="F6" i="28"/>
  <c r="F8" i="28"/>
  <c r="F10" i="28"/>
  <c r="F11" i="28"/>
  <c r="F9" i="28"/>
  <c r="F12" i="28"/>
  <c r="F13" i="28"/>
  <c r="F14" i="28"/>
  <c r="F15" i="28"/>
  <c r="F16" i="28"/>
  <c r="F17" i="28"/>
  <c r="F18" i="28"/>
  <c r="F19" i="28"/>
  <c r="F20" i="28"/>
  <c r="F21" i="28"/>
  <c r="F22" i="28"/>
  <c r="F23" i="28"/>
  <c r="F25" i="28"/>
  <c r="F24" i="28"/>
  <c r="F26" i="28"/>
  <c r="F28" i="28"/>
  <c r="F29" i="28"/>
  <c r="F30" i="28"/>
  <c r="F31" i="28"/>
  <c r="F32" i="28"/>
  <c r="F33" i="28"/>
  <c r="F34" i="28"/>
  <c r="F35" i="28"/>
  <c r="F36" i="28"/>
  <c r="F37" i="28"/>
  <c r="F38" i="28"/>
  <c r="F39" i="28"/>
  <c r="F40" i="28"/>
  <c r="F7" i="28"/>
  <c r="E232" i="29" l="1"/>
  <c r="E231" i="29"/>
  <c r="I8" i="21" l="1"/>
  <c r="I10" i="21"/>
  <c r="I11" i="21"/>
  <c r="D221" i="29" l="1"/>
  <c r="D216" i="29" l="1"/>
  <c r="D199" i="29"/>
  <c r="D215" i="29"/>
  <c r="D214" i="29"/>
  <c r="D213" i="29"/>
  <c r="D212" i="29"/>
  <c r="D211" i="29"/>
  <c r="D198" i="29"/>
  <c r="D210" i="29"/>
  <c r="D209" i="29"/>
  <c r="D208" i="29"/>
  <c r="D197" i="29"/>
  <c r="D207" i="29"/>
  <c r="D206" i="29"/>
  <c r="D205" i="29"/>
  <c r="D204" i="29"/>
  <c r="D203" i="29"/>
  <c r="D202" i="29"/>
  <c r="D201" i="29"/>
  <c r="D200" i="29"/>
  <c r="D225" i="29"/>
  <c r="D224" i="29"/>
  <c r="D223" i="29"/>
  <c r="D222" i="29"/>
  <c r="D194" i="29" l="1"/>
  <c r="D193" i="29"/>
  <c r="D189" i="29"/>
  <c r="D192" i="29"/>
  <c r="D191" i="29"/>
  <c r="D190" i="29"/>
  <c r="D188" i="29"/>
  <c r="D186" i="29"/>
  <c r="D168" i="29"/>
  <c r="G19" i="21" l="1"/>
  <c r="G24" i="21" s="1"/>
  <c r="H19" i="21"/>
  <c r="H24" i="21" s="1"/>
  <c r="F19" i="21"/>
  <c r="F24" i="21" s="1"/>
  <c r="E19" i="21"/>
  <c r="E24" i="21" s="1"/>
  <c r="D19" i="21"/>
  <c r="D24" i="21" s="1"/>
  <c r="C19" i="21"/>
  <c r="C24" i="21" s="1"/>
  <c r="B19" i="21"/>
  <c r="B24" i="21" s="1"/>
</calcChain>
</file>

<file path=xl/sharedStrings.xml><?xml version="1.0" encoding="utf-8"?>
<sst xmlns="http://schemas.openxmlformats.org/spreadsheetml/2006/main" count="888" uniqueCount="544">
  <si>
    <t>Seigneur</t>
  </si>
  <si>
    <t>Christ</t>
  </si>
  <si>
    <t>Dieu</t>
  </si>
  <si>
    <t>Rameaux</t>
  </si>
  <si>
    <t>Fils</t>
  </si>
  <si>
    <t>Père</t>
  </si>
  <si>
    <t>Esprit</t>
  </si>
  <si>
    <t>&gt;10</t>
  </si>
  <si>
    <t>Jésus</t>
  </si>
  <si>
    <t>10&gt;x&gt;3</t>
  </si>
  <si>
    <t>Fréquence des noms de Dieu selon les temps liturgique</t>
  </si>
  <si>
    <t>Trinité</t>
  </si>
  <si>
    <t>Guinchat</t>
  </si>
  <si>
    <t>Louvel</t>
  </si>
  <si>
    <t>Joulin</t>
  </si>
  <si>
    <t>Dagonet</t>
  </si>
  <si>
    <t>David</t>
  </si>
  <si>
    <t>Bro</t>
  </si>
  <si>
    <t>Maillard</t>
  </si>
  <si>
    <t>Ponsar</t>
  </si>
  <si>
    <t>Talec</t>
  </si>
  <si>
    <t>Jorens</t>
  </si>
  <si>
    <t>Quoist</t>
  </si>
  <si>
    <t>Dubost</t>
  </si>
  <si>
    <t>Quilici</t>
  </si>
  <si>
    <t>Jean-Paul II</t>
  </si>
  <si>
    <t>Turquais</t>
  </si>
  <si>
    <t>Rougier</t>
  </si>
  <si>
    <t>Lintanf</t>
  </si>
  <si>
    <t>Lustiger</t>
  </si>
  <si>
    <t>Nissim</t>
  </si>
  <si>
    <t>Hubaut</t>
  </si>
  <si>
    <t>Delorme</t>
  </si>
  <si>
    <t>Bacquet</t>
  </si>
  <si>
    <t>Corbineau</t>
  </si>
  <si>
    <t>Sintas</t>
  </si>
  <si>
    <t>Marty J</t>
  </si>
  <si>
    <t>Marsset</t>
  </si>
  <si>
    <t>Delhez</t>
  </si>
  <si>
    <t>Mawet</t>
  </si>
  <si>
    <t>Marcovits</t>
  </si>
  <si>
    <t>Ledogar</t>
  </si>
  <si>
    <t>Lamboley</t>
  </si>
  <si>
    <t>Jaillot</t>
  </si>
  <si>
    <t>René-Luc</t>
  </si>
  <si>
    <t>Combeau</t>
  </si>
  <si>
    <t>Croonenberghs</t>
  </si>
  <si>
    <t>Marc Joulin</t>
  </si>
  <si>
    <t>Pierre Talec</t>
  </si>
  <si>
    <t>Robert Jorens</t>
  </si>
  <si>
    <t>Jean Corbineau</t>
  </si>
  <si>
    <t>Jean-Pierre Lintanf</t>
  </si>
  <si>
    <t>Stan Rougier</t>
  </si>
  <si>
    <t>Michel Dubost</t>
  </si>
  <si>
    <t>Philippe Dagonet</t>
  </si>
  <si>
    <t>Yves Combeau</t>
  </si>
  <si>
    <t>Didier Croonenberghs</t>
  </si>
  <si>
    <t>Christian Delorme</t>
  </si>
  <si>
    <t>André David</t>
  </si>
  <si>
    <t>Gabriel Nissim</t>
  </si>
  <si>
    <t>Michel Hubaut</t>
  </si>
  <si>
    <t>Philippe Mawet</t>
  </si>
  <si>
    <t>Philippe Maillard</t>
  </si>
  <si>
    <t>Alexis Bacquet</t>
  </si>
  <si>
    <t>Joseph Marty J</t>
  </si>
  <si>
    <t>Michel Quoist</t>
  </si>
  <si>
    <t>Paul-Dominique Marcovits</t>
  </si>
  <si>
    <t>Alain Ponsar</t>
  </si>
  <si>
    <t>Charles Delhez</t>
  </si>
  <si>
    <t>Denis Ledogar</t>
  </si>
  <si>
    <t>Louis Sintas</t>
  </si>
  <si>
    <t>Bernard Bro</t>
  </si>
  <si>
    <t>Michel Guinchat</t>
  </si>
  <si>
    <t>Philippe Marsset</t>
  </si>
  <si>
    <t>Pierre Turquais</t>
  </si>
  <si>
    <t>Philippe Jaillot</t>
  </si>
  <si>
    <t xml:space="preserve"> Jean-Paul II</t>
  </si>
  <si>
    <t>Alain Quilici</t>
  </si>
  <si>
    <t>Jean-Marie Lustiger</t>
  </si>
  <si>
    <t>François Louvel</t>
  </si>
  <si>
    <t>Gilles René-Luc</t>
  </si>
  <si>
    <t>Thierry Lamboley</t>
  </si>
  <si>
    <t>TOTAL</t>
  </si>
  <si>
    <t>Toussaint</t>
  </si>
  <si>
    <t>Christ-Roi</t>
  </si>
  <si>
    <t>Pentecôte</t>
  </si>
  <si>
    <t>Total</t>
  </si>
  <si>
    <t>Sujet</t>
  </si>
  <si>
    <t>Communication</t>
  </si>
  <si>
    <t>Mouvement</t>
  </si>
  <si>
    <t>chemin</t>
  </si>
  <si>
    <t>confiance</t>
  </si>
  <si>
    <t>homme</t>
  </si>
  <si>
    <t>peuple</t>
  </si>
  <si>
    <t>terre</t>
  </si>
  <si>
    <t>action</t>
  </si>
  <si>
    <t>mort</t>
  </si>
  <si>
    <t>prière</t>
  </si>
  <si>
    <t>vie</t>
  </si>
  <si>
    <t>croix</t>
  </si>
  <si>
    <t>Volonté</t>
  </si>
  <si>
    <t>Transformation</t>
  </si>
  <si>
    <t>Confrontation</t>
  </si>
  <si>
    <t>Soin</t>
  </si>
  <si>
    <t>Transaction</t>
  </si>
  <si>
    <t>Trameur</t>
  </si>
  <si>
    <t>Nooj</t>
  </si>
  <si>
    <t>miséricorde</t>
  </si>
  <si>
    <t>concile</t>
  </si>
  <si>
    <t>La taille des homélies</t>
  </si>
  <si>
    <t>Nombre de mots (moyenne)</t>
  </si>
  <si>
    <t>venir</t>
  </si>
  <si>
    <t>donner</t>
  </si>
  <si>
    <t>demander</t>
  </si>
  <si>
    <t>ressusciter</t>
  </si>
  <si>
    <t>aimer</t>
  </si>
  <si>
    <t>appeler</t>
  </si>
  <si>
    <t>annoncer</t>
  </si>
  <si>
    <t>révéler</t>
  </si>
  <si>
    <t>montrer</t>
  </si>
  <si>
    <t>vivre</t>
  </si>
  <si>
    <t>envoyer</t>
  </si>
  <si>
    <t>guérir</t>
  </si>
  <si>
    <t>manifester</t>
  </si>
  <si>
    <t>promettre</t>
  </si>
  <si>
    <t>raconter</t>
  </si>
  <si>
    <t>recevoir</t>
  </si>
  <si>
    <t>créer</t>
  </si>
  <si>
    <t>bénir</t>
  </si>
  <si>
    <t>Nb de prédicateurs</t>
  </si>
  <si>
    <t>alliance</t>
  </si>
  <si>
    <t>merveille</t>
  </si>
  <si>
    <t>don</t>
  </si>
  <si>
    <t>verbe</t>
  </si>
  <si>
    <t>unique</t>
  </si>
  <si>
    <t>bonté</t>
  </si>
  <si>
    <t>image</t>
  </si>
  <si>
    <t>grâce</t>
  </si>
  <si>
    <t>gloire</t>
  </si>
  <si>
    <t>mystère</t>
  </si>
  <si>
    <t>puissance</t>
  </si>
  <si>
    <t>royaume</t>
  </si>
  <si>
    <t>créateur</t>
  </si>
  <si>
    <t>temple</t>
  </si>
  <si>
    <t>projet</t>
  </si>
  <si>
    <t>tendresse</t>
  </si>
  <si>
    <t>bible</t>
  </si>
  <si>
    <t>amour</t>
  </si>
  <si>
    <t>parole</t>
  </si>
  <si>
    <t>proclamer</t>
  </si>
  <si>
    <t>création</t>
  </si>
  <si>
    <t>nous</t>
  </si>
  <si>
    <t>père</t>
  </si>
  <si>
    <t>Cooccurents de "Dieu"</t>
  </si>
  <si>
    <t>Cooccurents de "Jésus"</t>
  </si>
  <si>
    <t>disciple</t>
  </si>
  <si>
    <t>rencontrer</t>
  </si>
  <si>
    <t>résurrection</t>
  </si>
  <si>
    <t>Marie</t>
  </si>
  <si>
    <t>apôtre</t>
  </si>
  <si>
    <t>suivre</t>
  </si>
  <si>
    <t>Évangile</t>
  </si>
  <si>
    <t>parabole</t>
  </si>
  <si>
    <t>suite</t>
  </si>
  <si>
    <t>sauveur</t>
  </si>
  <si>
    <t>récit</t>
  </si>
  <si>
    <t>prononcer</t>
  </si>
  <si>
    <t>foi</t>
  </si>
  <si>
    <t>corps</t>
  </si>
  <si>
    <t>eucharistie</t>
  </si>
  <si>
    <t>Cooccurents de "Christ"</t>
  </si>
  <si>
    <t>frère</t>
  </si>
  <si>
    <t>église</t>
  </si>
  <si>
    <t>témoin</t>
  </si>
  <si>
    <t>saint</t>
  </si>
  <si>
    <t>présence</t>
  </si>
  <si>
    <t>mission</t>
  </si>
  <si>
    <t>force</t>
  </si>
  <si>
    <t>communion</t>
  </si>
  <si>
    <t>salut</t>
  </si>
  <si>
    <t>souffrance</t>
  </si>
  <si>
    <t>roi</t>
  </si>
  <si>
    <t>vivant</t>
  </si>
  <si>
    <t>victoire</t>
  </si>
  <si>
    <t>unité</t>
  </si>
  <si>
    <t>baptiser</t>
  </si>
  <si>
    <t>jour</t>
  </si>
  <si>
    <t>cœur</t>
  </si>
  <si>
    <t>joie</t>
  </si>
  <si>
    <t>Cooccurents de "Seigneur"</t>
  </si>
  <si>
    <t>servante</t>
  </si>
  <si>
    <t>psaume</t>
  </si>
  <si>
    <t>pitié</t>
  </si>
  <si>
    <t>merci</t>
  </si>
  <si>
    <t>préparer</t>
  </si>
  <si>
    <t>célébrer</t>
  </si>
  <si>
    <t>chanter</t>
  </si>
  <si>
    <t>I</t>
  </si>
  <si>
    <t>souffle</t>
  </si>
  <si>
    <t>feu</t>
  </si>
  <si>
    <t>esprit</t>
  </si>
  <si>
    <t>baptême</t>
  </si>
  <si>
    <t>ressuscité</t>
  </si>
  <si>
    <t>ton</t>
  </si>
  <si>
    <t>signe</t>
  </si>
  <si>
    <t>donne</t>
  </si>
  <si>
    <t>vérité</t>
  </si>
  <si>
    <t>Cooccurents de "Esprit"</t>
  </si>
  <si>
    <t>Missel</t>
  </si>
  <si>
    <t>Catéchisme</t>
  </si>
  <si>
    <t>Corpus</t>
  </si>
  <si>
    <t>% Prédicateurs</t>
  </si>
  <si>
    <t>% Homélies</t>
  </si>
  <si>
    <t>iTrameur</t>
  </si>
  <si>
    <t>formes</t>
  </si>
  <si>
    <t>mots</t>
  </si>
  <si>
    <t>spaCy</t>
  </si>
  <si>
    <t>iramuteq</t>
  </si>
  <si>
    <t>T. NOËL</t>
  </si>
  <si>
    <t>J. Noël</t>
  </si>
  <si>
    <t>T. CARÊME</t>
  </si>
  <si>
    <t>T. PASCAL</t>
  </si>
  <si>
    <t>T. ORDINAIRE</t>
  </si>
  <si>
    <t>V. pascale</t>
  </si>
  <si>
    <t>Baptême</t>
  </si>
  <si>
    <t>Assomption</t>
  </si>
  <si>
    <t>S.Sacrement</t>
  </si>
  <si>
    <t>SpaCy</t>
  </si>
  <si>
    <t>éternité</t>
  </si>
  <si>
    <t>Cooc.</t>
  </si>
  <si>
    <t>QT</t>
  </si>
  <si>
    <t>monde</t>
  </si>
  <si>
    <t>humain</t>
  </si>
  <si>
    <t>croire</t>
  </si>
  <si>
    <t>enfant</t>
  </si>
  <si>
    <t>fils</t>
  </si>
  <si>
    <t>vouloir</t>
  </si>
  <si>
    <t>règne</t>
  </si>
  <si>
    <t>dire</t>
  </si>
  <si>
    <t>parler</t>
  </si>
  <si>
    <t>pierre</t>
  </si>
  <si>
    <t>evangile</t>
  </si>
  <si>
    <t>inviter</t>
  </si>
  <si>
    <t>pascal</t>
  </si>
  <si>
    <t>libérateur</t>
  </si>
  <si>
    <t>royauté</t>
  </si>
  <si>
    <t>glorieux</t>
  </si>
  <si>
    <t>multitude</t>
  </si>
  <si>
    <t>universel</t>
  </si>
  <si>
    <t>renouveler</t>
  </si>
  <si>
    <t>ascension</t>
  </si>
  <si>
    <t>notre</t>
  </si>
  <si>
    <t>je</t>
  </si>
  <si>
    <t>toi</t>
  </si>
  <si>
    <t>mon</t>
  </si>
  <si>
    <t>tu</t>
  </si>
  <si>
    <t>remercier</t>
  </si>
  <si>
    <t>louange</t>
  </si>
  <si>
    <t>assemblée</t>
  </si>
  <si>
    <t>lèvre</t>
  </si>
  <si>
    <t>épiphanie</t>
  </si>
  <si>
    <t>venue</t>
  </si>
  <si>
    <t>avent</t>
  </si>
  <si>
    <t>accomplissement</t>
  </si>
  <si>
    <t>vers</t>
  </si>
  <si>
    <t>oui</t>
  </si>
  <si>
    <t>écoute</t>
  </si>
  <si>
    <t>répandre</t>
  </si>
  <si>
    <t>descendre</t>
  </si>
  <si>
    <t>jésus</t>
  </si>
  <si>
    <t>vent</t>
  </si>
  <si>
    <t>langue</t>
  </si>
  <si>
    <t>eau</t>
  </si>
  <si>
    <t>animer</t>
  </si>
  <si>
    <t>guider</t>
  </si>
  <si>
    <t>inspirer</t>
  </si>
  <si>
    <t>pousser</t>
  </si>
  <si>
    <t>diversité</t>
  </si>
  <si>
    <t>unir</t>
  </si>
  <si>
    <t>œuvre</t>
  </si>
  <si>
    <t>former</t>
  </si>
  <si>
    <t>communiquer</t>
  </si>
  <si>
    <t>éclairer</t>
  </si>
  <si>
    <t>conduire</t>
  </si>
  <si>
    <t>sagesse</t>
  </si>
  <si>
    <t>Excell</t>
  </si>
  <si>
    <t>Iramuteq</t>
  </si>
  <si>
    <t>2907723 </t>
  </si>
  <si>
    <t>2832433 </t>
  </si>
  <si>
    <t>Cooccurents de Père et Fils</t>
  </si>
  <si>
    <t>droite</t>
  </si>
  <si>
    <t>bien-aimé</t>
  </si>
  <si>
    <t>engendrer</t>
  </si>
  <si>
    <t>dieu</t>
  </si>
  <si>
    <t>justice</t>
  </si>
  <si>
    <t>paix</t>
  </si>
  <si>
    <t>Complément du Nom</t>
  </si>
  <si>
    <t>CORPUS</t>
  </si>
  <si>
    <t>1ere diffusion</t>
  </si>
  <si>
    <t>dernière diffusion</t>
  </si>
  <si>
    <t>nb. d'homélies</t>
  </si>
  <si>
    <t>AT(BJ)</t>
  </si>
  <si>
    <t>Epitres(Aelf)</t>
  </si>
  <si>
    <t>Evangiles(Aelf)</t>
  </si>
  <si>
    <t>Sujets</t>
  </si>
  <si>
    <t>Marty</t>
  </si>
  <si>
    <t>prédication</t>
  </si>
  <si>
    <t>dénoncer</t>
  </si>
  <si>
    <t>autorité</t>
  </si>
  <si>
    <t>désigner</t>
  </si>
  <si>
    <t>enseignem,</t>
  </si>
  <si>
    <t>résurrect.</t>
  </si>
  <si>
    <t>temps</t>
  </si>
  <si>
    <t>bon</t>
  </si>
  <si>
    <t>espérance</t>
  </si>
  <si>
    <t>oeil</t>
  </si>
  <si>
    <t>découvrir</t>
  </si>
  <si>
    <t>trouver</t>
  </si>
  <si>
    <t>moment</t>
  </si>
  <si>
    <t>face</t>
  </si>
  <si>
    <t>agir</t>
  </si>
  <si>
    <t>regarder</t>
  </si>
  <si>
    <t>AVENT</t>
  </si>
  <si>
    <t>TOP35</t>
  </si>
  <si>
    <t>pardon</t>
  </si>
  <si>
    <t>évangile</t>
  </si>
  <si>
    <t>rencontre</t>
  </si>
  <si>
    <t>pain</t>
  </si>
  <si>
    <t xml:space="preserve">Corbineau  </t>
  </si>
  <si>
    <t xml:space="preserve">David  </t>
  </si>
  <si>
    <t xml:space="preserve">Marcovits  </t>
  </si>
  <si>
    <t xml:space="preserve">René-Luc  </t>
  </si>
  <si>
    <t>Évangiles</t>
  </si>
  <si>
    <t>Psaumes</t>
  </si>
  <si>
    <t>TOP 35</t>
  </si>
  <si>
    <t>Perception</t>
  </si>
  <si>
    <t>Cognition</t>
  </si>
  <si>
    <t>Altération</t>
  </si>
  <si>
    <t>Physiologie</t>
  </si>
  <si>
    <t>Épitres</t>
  </si>
  <si>
    <t>coeur</t>
  </si>
  <si>
    <t>Messie</t>
  </si>
  <si>
    <t>Yahvé</t>
  </si>
  <si>
    <t>Paraclet</t>
  </si>
  <si>
    <t>&lt;0%</t>
  </si>
  <si>
    <t>0-2%</t>
  </si>
  <si>
    <t>2-4%</t>
  </si>
  <si>
    <t>4-6%</t>
  </si>
  <si>
    <t>6-8%</t>
  </si>
  <si>
    <t>8-10%</t>
  </si>
  <si>
    <t>10-12%</t>
  </si>
  <si>
    <t>12-14%</t>
  </si>
  <si>
    <t>14-16%</t>
  </si>
  <si>
    <t>16-18%</t>
  </si>
  <si>
    <t>18-20%</t>
  </si>
  <si>
    <t>18-22%</t>
  </si>
  <si>
    <t>22-24%</t>
  </si>
  <si>
    <t>CORPUS-35</t>
  </si>
  <si>
    <t>CORPUS -35</t>
  </si>
  <si>
    <t>Objet</t>
  </si>
  <si>
    <t>Sensibilité</t>
  </si>
  <si>
    <t>5 Noms divins</t>
  </si>
  <si>
    <t>Coaching</t>
  </si>
  <si>
    <t>Roman</t>
  </si>
  <si>
    <t>Cooccurrences avec Dieu</t>
  </si>
  <si>
    <t>Occurrences</t>
  </si>
  <si>
    <t>Indice de surreprésentation</t>
  </si>
  <si>
    <t>Cooccurrences avec Jésus</t>
  </si>
  <si>
    <t>Cooccurrences avec Christ</t>
  </si>
  <si>
    <t>Cooccurrences avec Seigneur</t>
  </si>
  <si>
    <t>Onglet "Corpus"</t>
  </si>
  <si>
    <t>La taille moyenne des homélies, par année</t>
  </si>
  <si>
    <t>Taille du corpus selon les logiciels</t>
  </si>
  <si>
    <t>Taille du corpus selon les logiciels utilisés</t>
  </si>
  <si>
    <t>INSTITUT CATHOLIQUE DE PARIS</t>
  </si>
  <si>
    <t>Faculté de Théologie et de Sciences Religieuses</t>
  </si>
  <si>
    <t>Cycle des Études du Doctorat</t>
  </si>
  <si>
    <t>EMMANUEL DUMONT</t>
  </si>
  <si>
    <t>PRÉCHER, DONNER UN RÔLE A DIEU</t>
  </si>
  <si>
    <t>Le rôle attribué à Dieu dans les homélies télévisées</t>
  </si>
  <si>
    <t>Annexe B : classement des verbes du corpus</t>
  </si>
  <si>
    <t>Sommaire</t>
  </si>
  <si>
    <t>Onglet "Présence"</t>
  </si>
  <si>
    <t>Informations générales sur le corpus dans son ensemble</t>
  </si>
  <si>
    <t>Données sur la présence des noms divins</t>
  </si>
  <si>
    <t xml:space="preserve">Fréquence des noms de Dieu </t>
  </si>
  <si>
    <t>Apparition du premier nom divin dans l'homélie</t>
  </si>
  <si>
    <t>&gt;0</t>
  </si>
  <si>
    <t>Outil : Excell</t>
  </si>
  <si>
    <t>Outil : spaCy</t>
  </si>
  <si>
    <t>outil : Trameur</t>
  </si>
  <si>
    <t>Nb de mots</t>
  </si>
  <si>
    <t>Noms divins</t>
  </si>
  <si>
    <t>Figure 1 : Chronologie des principaux prédicateurs</t>
  </si>
  <si>
    <t>Figure 2 : Qui prêche au Jour du Seigneur</t>
  </si>
  <si>
    <t>Figure 3 : Les mots les plus mentionnés</t>
  </si>
  <si>
    <t>Figure 5 : Combien de fois chaque nom divin est-il nommé ?</t>
  </si>
  <si>
    <t>Figure 6 : Fréquence des différents noms divins dans les homélies.</t>
  </si>
  <si>
    <t>Figure 7 : Les prédicateurs nomment Dieu plus ou moins souvent, plus ou moins tôt.</t>
  </si>
  <si>
    <t>Date</t>
  </si>
  <si>
    <t>Nb mots</t>
  </si>
  <si>
    <t>Nombre de mots par homélie</t>
  </si>
  <si>
    <t>Figure 4 : Combien de fois Dieu est-il nommé dans une homélie</t>
  </si>
  <si>
    <t>Nom de Dieu / Mots</t>
  </si>
  <si>
    <t>Outil : spaCy (sans les pronoms personnels)</t>
  </si>
  <si>
    <t>Figures 8-9 : Fréquence des noms de Dieu selon les prédicateurs</t>
  </si>
  <si>
    <t>Figure 10 : Chaque nom divin est utilisé différemment selon les corpus</t>
  </si>
  <si>
    <t>Outils : spaCy</t>
  </si>
  <si>
    <t>Fréquence de chaque nom divin</t>
  </si>
  <si>
    <t>outil : Excell</t>
  </si>
  <si>
    <t>Onglet "Cooccurrences"</t>
  </si>
  <si>
    <t>Mots à proximité des noms divins</t>
  </si>
  <si>
    <t>Figures 11-12 : Les mots associés à "Dieu"</t>
  </si>
  <si>
    <t>Figures 13-14 : Les mots associés à "Jésus"</t>
  </si>
  <si>
    <t>Figures 15-16 : Les mots associés à "Christ"</t>
  </si>
  <si>
    <t>Figures 17-18 : Les mots associés à "Seigneur"</t>
  </si>
  <si>
    <t>Figure 19 : Chaque nom divin est utilisé avec un champ sémantique différent.</t>
  </si>
  <si>
    <t>Figure 20 : Le champ lexical de "Dieu" varie selon les prédicateurs.</t>
  </si>
  <si>
    <t>Figure 21 : Le champ lexical de "Jésus" varie selon les prédicateurs.</t>
  </si>
  <si>
    <t>Cooccurrences avec Esprit</t>
  </si>
  <si>
    <t>Cooccurrences avec Père</t>
  </si>
  <si>
    <t>Cooccurrences avec Fils</t>
  </si>
  <si>
    <t>Figure 23 : Est-il normal que Dieu soit le sujet ou l’objet d’une phrase ?</t>
  </si>
  <si>
    <t>Figure 24 : Dieu est-il plus souvent sujet, objet, ou complément du nom ?</t>
  </si>
  <si>
    <t>Figure 25 : Chaque nom divin a son profil grammatical.</t>
  </si>
  <si>
    <t>Figure 26 : Dieu est-il fréquemment nommé, et sujet chez les prédicateurs ?</t>
  </si>
  <si>
    <t>Onglet "Fonctions"</t>
  </si>
  <si>
    <t>Fonction grammaticale attribuée aux noms divins</t>
  </si>
  <si>
    <t>Répartition des homélies selon le nombre de mentions des noms divins, en pourcentage du nombre total de mots.</t>
  </si>
  <si>
    <t>outil : spaCy</t>
  </si>
  <si>
    <t>Mentions des 5 noms divins</t>
  </si>
  <si>
    <t>Quantité</t>
  </si>
  <si>
    <t>Répartition des 5 noms divins selon les fonctions grammaticales qui leur sont attribués</t>
  </si>
  <si>
    <t>Prise en compte des 5 noms divins, sans les pronoms personnels qui les désignent.</t>
  </si>
  <si>
    <t>Date de l'homélie</t>
  </si>
  <si>
    <t>Compl. du nom</t>
  </si>
  <si>
    <t>Répartition par fonction</t>
  </si>
  <si>
    <t>Répartition des fonctions attribuées à chaque nom divin</t>
  </si>
  <si>
    <t>Prise en compte des 7 noms divins, sans les pronoms personnels qui les désignent.</t>
  </si>
  <si>
    <t>Répartition des principaux prédicateurs selon la fréquence avec laquelle ils nomment Dieu, la fréquence avec laquelle ils le nomment comme sujet,</t>
  </si>
  <si>
    <t>Nomination</t>
  </si>
  <si>
    <t>s/ nb. Mots</t>
  </si>
  <si>
    <t>s/ nb. Noms divins</t>
  </si>
  <si>
    <t>figures 26-27 : chaque prédicateur donne un nom différent à "Dieu" et "Jésus"</t>
  </si>
  <si>
    <t>Répartition de "Dieu" et "Jésus" selon les fonctions grammaticales qui leur sont attribuées</t>
  </si>
  <si>
    <t>Les pronoms personnels qui les désignent sont pris en compte</t>
  </si>
  <si>
    <t>Figure 27 : Chaque prédicateur donne un profil grammatical à "Dieu".</t>
  </si>
  <si>
    <t>Figure 28 : Chaque prédicateur donne un profil grammatical à "Jésus".</t>
  </si>
  <si>
    <t>Figure 31 : Chaque corpus a un usage propre des verbes de l’intériorité</t>
  </si>
  <si>
    <t>Figure 32 : Chaque corpus a un usage propre des verbes d’actions visibles</t>
  </si>
  <si>
    <t>Onglet "Verbes"</t>
  </si>
  <si>
    <t>Verbes dont Dieu est l'argument</t>
  </si>
  <si>
    <t>Figure 33 : De quels verbes les noms divins sont-ils le sujet ?</t>
  </si>
  <si>
    <t>Figure 34 : De quels verbes "Dieu" et "Jésus" sont-ils le sujet ?</t>
  </si>
  <si>
    <t>Figures 31-32 : Chaque corpus a un usage différent des types de verbes</t>
  </si>
  <si>
    <t>Figures 33-34 : De quels verbes les noms divins sont-ils le sujet ?</t>
  </si>
  <si>
    <t>Nombre d'occurrences</t>
  </si>
  <si>
    <t>Noms</t>
  </si>
  <si>
    <t>Sauveur</t>
  </si>
  <si>
    <t>Éternel</t>
  </si>
  <si>
    <t>Élohim</t>
  </si>
  <si>
    <t>Rang (total mots)</t>
  </si>
  <si>
    <t>Papes</t>
  </si>
  <si>
    <t>Evêques</t>
  </si>
  <si>
    <t>Prêtres diocésains</t>
  </si>
  <si>
    <t>Dominicains</t>
  </si>
  <si>
    <t>Autres religieux</t>
  </si>
  <si>
    <t>Pasteurs, diacres…</t>
  </si>
  <si>
    <t>Sens</t>
  </si>
  <si>
    <t>Emotion</t>
  </si>
  <si>
    <t>Cognitif</t>
  </si>
  <si>
    <t>Gn</t>
  </si>
  <si>
    <t>Ex</t>
  </si>
  <si>
    <t>Lv</t>
  </si>
  <si>
    <t>Nb</t>
  </si>
  <si>
    <t>Dt</t>
  </si>
  <si>
    <t>Jos</t>
  </si>
  <si>
    <t>Jg</t>
  </si>
  <si>
    <t>Rt</t>
  </si>
  <si>
    <t>1S</t>
  </si>
  <si>
    <t>2S</t>
  </si>
  <si>
    <t>1R</t>
  </si>
  <si>
    <t>2R</t>
  </si>
  <si>
    <t>1Ch</t>
  </si>
  <si>
    <t>2Ch</t>
  </si>
  <si>
    <t>Esd</t>
  </si>
  <si>
    <t>Ne</t>
  </si>
  <si>
    <t>Tb</t>
  </si>
  <si>
    <t>Jdt</t>
  </si>
  <si>
    <t>Est</t>
  </si>
  <si>
    <t>1M</t>
  </si>
  <si>
    <t>2M</t>
  </si>
  <si>
    <t>Jb</t>
  </si>
  <si>
    <t>Ps</t>
  </si>
  <si>
    <t>Pr</t>
  </si>
  <si>
    <t>Qo</t>
  </si>
  <si>
    <t>Ct</t>
  </si>
  <si>
    <t>Is</t>
  </si>
  <si>
    <t>Jr</t>
  </si>
  <si>
    <t>Lm</t>
  </si>
  <si>
    <t>Ez</t>
  </si>
  <si>
    <t>Dn</t>
  </si>
  <si>
    <t>Os</t>
  </si>
  <si>
    <t>Jl</t>
  </si>
  <si>
    <t>Am</t>
  </si>
  <si>
    <t>Na</t>
  </si>
  <si>
    <t>Ha</t>
  </si>
  <si>
    <t>So</t>
  </si>
  <si>
    <t>Mi</t>
  </si>
  <si>
    <t>Za</t>
  </si>
  <si>
    <t>Ag</t>
  </si>
  <si>
    <t>Ml</t>
  </si>
  <si>
    <t>Mt</t>
  </si>
  <si>
    <t>Mc</t>
  </si>
  <si>
    <t>Lc</t>
  </si>
  <si>
    <t>Jn</t>
  </si>
  <si>
    <t>Ac</t>
  </si>
  <si>
    <t>Rm</t>
  </si>
  <si>
    <t>1Co</t>
  </si>
  <si>
    <t>2Co</t>
  </si>
  <si>
    <t>Ga</t>
  </si>
  <si>
    <t>Ep</t>
  </si>
  <si>
    <t>Ph</t>
  </si>
  <si>
    <t>Col</t>
  </si>
  <si>
    <t>1Th</t>
  </si>
  <si>
    <t>2Th</t>
  </si>
  <si>
    <t>1Tm</t>
  </si>
  <si>
    <t>2Tm</t>
  </si>
  <si>
    <t>Tt</t>
  </si>
  <si>
    <t>Phm</t>
  </si>
  <si>
    <t>He</t>
  </si>
  <si>
    <t>Jc</t>
  </si>
  <si>
    <t>1P</t>
  </si>
  <si>
    <t>2P</t>
  </si>
  <si>
    <t>1Jn</t>
  </si>
  <si>
    <t>2Jn</t>
  </si>
  <si>
    <t>3Jn</t>
  </si>
  <si>
    <t>Jude</t>
  </si>
  <si>
    <t>Ap</t>
  </si>
  <si>
    <t>Bible</t>
  </si>
  <si>
    <t>Les verbes présents dans la Bible</t>
  </si>
  <si>
    <t>traduction : Aelf</t>
  </si>
  <si>
    <t>Répartition des verbes selon les livres bibliques, par catégories étudiées</t>
  </si>
  <si>
    <t>Émotion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</si>
</sst>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1"/>
      <color theme="1"/>
      <name val="Times New Roman"/>
      <family val="1"/>
    </font>
    <font>
      <sz val="14"/>
      <color theme="0"/>
      <name val="Times New Roman"/>
      <family val="1"/>
    </font>
    <font>
      <sz val="8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rgb="FF000000"/>
      <name val="Arial"/>
      <family val="2"/>
    </font>
    <font>
      <i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theme="0"/>
      <name val="Times New Roman"/>
      <family val="1"/>
    </font>
    <font>
      <sz val="10"/>
      <color rgb="FF000000"/>
      <name val="Times New Roman"/>
      <family val="1"/>
    </font>
    <font>
      <i/>
      <sz val="11"/>
      <color theme="1"/>
      <name val="Times New Roman"/>
      <family val="1"/>
    </font>
    <font>
      <b/>
      <sz val="10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sz val="10"/>
      <name val="Times New Roman"/>
      <family val="1"/>
    </font>
    <font>
      <b/>
      <i/>
      <sz val="11"/>
      <color theme="1"/>
      <name val="Times New Roman"/>
      <family val="1"/>
    </font>
    <font>
      <u/>
      <sz val="11"/>
      <color theme="10"/>
      <name val="Times New Roman"/>
      <family val="1"/>
    </font>
    <font>
      <i/>
      <sz val="10"/>
      <color rgb="FF000000"/>
      <name val="Times New Roman"/>
      <family val="1"/>
    </font>
    <font>
      <sz val="10"/>
      <color rgb="FFFFFFFF"/>
      <name val="Times New Roman"/>
      <family val="1"/>
    </font>
    <font>
      <i/>
      <sz val="10"/>
      <color theme="1"/>
      <name val="Times New Roman"/>
      <family val="1"/>
    </font>
    <font>
      <sz val="14"/>
      <color theme="1"/>
      <name val="Times New Roman"/>
      <family val="1"/>
    </font>
    <font>
      <sz val="9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rgb="FF000000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2" borderId="0"/>
    <xf numFmtId="0" fontId="1" fillId="2" borderId="0"/>
    <xf numFmtId="9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100">
    <xf numFmtId="0" fontId="0" fillId="0" borderId="0" xfId="0"/>
    <xf numFmtId="0" fontId="0" fillId="0" borderId="0" xfId="0" applyAlignment="1">
      <alignment horizontal="center"/>
    </xf>
    <xf numFmtId="0" fontId="2" fillId="3" borderId="0" xfId="0" applyFont="1" applyFill="1" applyAlignment="1">
      <alignment horizontal="left"/>
    </xf>
    <xf numFmtId="0" fontId="0" fillId="3" borderId="0" xfId="0" applyFill="1" applyAlignment="1">
      <alignment horizontal="right"/>
    </xf>
    <xf numFmtId="9" fontId="0" fillId="0" borderId="0" xfId="3" applyFont="1"/>
    <xf numFmtId="0" fontId="3" fillId="3" borderId="0" xfId="0" applyFont="1" applyFill="1" applyAlignment="1">
      <alignment horizontal="right"/>
    </xf>
    <xf numFmtId="0" fontId="4" fillId="3" borderId="0" xfId="0" applyFont="1" applyFill="1" applyAlignment="1">
      <alignment horizontal="left"/>
    </xf>
    <xf numFmtId="0" fontId="3" fillId="3" borderId="0" xfId="0" applyFont="1" applyFill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9" fontId="3" fillId="0" borderId="0" xfId="3" applyFont="1" applyAlignment="1">
      <alignment horizontal="center"/>
    </xf>
    <xf numFmtId="164" fontId="3" fillId="0" borderId="0" xfId="3" applyNumberFormat="1" applyFont="1" applyAlignment="1">
      <alignment horizontal="center"/>
    </xf>
    <xf numFmtId="10" fontId="3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0" fontId="3" fillId="0" borderId="0" xfId="3" applyNumberFormat="1" applyFont="1" applyAlignment="1">
      <alignment horizontal="center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center"/>
    </xf>
    <xf numFmtId="0" fontId="8" fillId="0" borderId="0" xfId="0" applyFont="1"/>
    <xf numFmtId="1" fontId="0" fillId="0" borderId="0" xfId="0" applyNumberFormat="1"/>
    <xf numFmtId="0" fontId="10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 wrapText="1"/>
    </xf>
    <xf numFmtId="0" fontId="9" fillId="0" borderId="0" xfId="0" applyFont="1" applyAlignment="1">
      <alignment horizontal="center" wrapText="1"/>
    </xf>
    <xf numFmtId="2" fontId="9" fillId="0" borderId="0" xfId="3" applyNumberFormat="1" applyFont="1" applyBorder="1" applyAlignment="1">
      <alignment horizontal="center" wrapText="1"/>
    </xf>
    <xf numFmtId="10" fontId="9" fillId="0" borderId="0" xfId="3" applyNumberFormat="1" applyFont="1" applyBorder="1" applyAlignment="1">
      <alignment horizontal="center" wrapText="1"/>
    </xf>
    <xf numFmtId="0" fontId="9" fillId="3" borderId="0" xfId="0" applyFont="1" applyFill="1" applyAlignment="1">
      <alignment horizontal="left" wrapText="1"/>
    </xf>
    <xf numFmtId="0" fontId="9" fillId="0" borderId="0" xfId="0" applyFont="1" applyAlignment="1">
      <alignment horizontal="left" wrapText="1"/>
    </xf>
    <xf numFmtId="0" fontId="12" fillId="0" borderId="0" xfId="0" applyFont="1"/>
    <xf numFmtId="0" fontId="7" fillId="0" borderId="1" xfId="0" applyFont="1" applyBorder="1" applyAlignment="1">
      <alignment vertical="center"/>
    </xf>
    <xf numFmtId="0" fontId="0" fillId="0" borderId="1" xfId="0" applyBorder="1"/>
    <xf numFmtId="0" fontId="9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 wrapText="1"/>
    </xf>
    <xf numFmtId="0" fontId="9" fillId="0" borderId="2" xfId="0" applyFont="1" applyBorder="1" applyAlignment="1">
      <alignment horizontal="center" wrapText="1"/>
    </xf>
    <xf numFmtId="2" fontId="9" fillId="0" borderId="2" xfId="3" applyNumberFormat="1" applyFont="1" applyBorder="1" applyAlignment="1">
      <alignment horizontal="center" wrapText="1"/>
    </xf>
    <xf numFmtId="0" fontId="9" fillId="0" borderId="0" xfId="0" applyFont="1" applyAlignment="1">
      <alignment wrapText="1"/>
    </xf>
    <xf numFmtId="0" fontId="11" fillId="0" borderId="0" xfId="0" applyFont="1"/>
    <xf numFmtId="0" fontId="9" fillId="0" borderId="0" xfId="0" applyFont="1"/>
    <xf numFmtId="14" fontId="3" fillId="0" borderId="0" xfId="0" applyNumberFormat="1" applyFont="1"/>
    <xf numFmtId="0" fontId="6" fillId="0" borderId="0" xfId="0" applyFont="1" applyAlignment="1">
      <alignment horizontal="left"/>
    </xf>
    <xf numFmtId="0" fontId="10" fillId="3" borderId="0" xfId="0" applyFont="1" applyFill="1" applyAlignment="1">
      <alignment horizontal="left"/>
    </xf>
    <xf numFmtId="0" fontId="4" fillId="3" borderId="0" xfId="0" applyFont="1" applyFill="1" applyAlignment="1">
      <alignment horizontal="center"/>
    </xf>
    <xf numFmtId="164" fontId="3" fillId="0" borderId="0" xfId="3" applyNumberFormat="1" applyFont="1" applyAlignment="1">
      <alignment horizontal="left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3" fillId="3" borderId="0" xfId="0" applyFont="1" applyFill="1" applyAlignment="1">
      <alignment horizontal="left"/>
    </xf>
    <xf numFmtId="0" fontId="3" fillId="0" borderId="0" xfId="0" applyFont="1" applyAlignment="1">
      <alignment horizontal="left" wrapText="1"/>
    </xf>
    <xf numFmtId="10" fontId="6" fillId="0" borderId="0" xfId="3" applyNumberFormat="1" applyFont="1" applyAlignment="1">
      <alignment horizontal="left"/>
    </xf>
    <xf numFmtId="0" fontId="5" fillId="0" borderId="0" xfId="0" applyFont="1" applyAlignment="1">
      <alignment horizontal="left"/>
    </xf>
    <xf numFmtId="10" fontId="3" fillId="0" borderId="0" xfId="3" applyNumberFormat="1" applyFont="1" applyAlignment="1">
      <alignment horizontal="left"/>
    </xf>
    <xf numFmtId="10" fontId="3" fillId="0" borderId="0" xfId="0" applyNumberFormat="1" applyFont="1" applyAlignment="1">
      <alignment horizontal="left"/>
    </xf>
    <xf numFmtId="0" fontId="15" fillId="0" borderId="0" xfId="0" applyFont="1" applyAlignment="1">
      <alignment horizontal="left"/>
    </xf>
    <xf numFmtId="0" fontId="13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14" fontId="16" fillId="0" borderId="0" xfId="0" applyNumberFormat="1" applyFont="1" applyAlignment="1">
      <alignment horizontal="left"/>
    </xf>
    <xf numFmtId="10" fontId="16" fillId="0" borderId="0" xfId="3" applyNumberFormat="1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17" fillId="0" borderId="0" xfId="4" applyFont="1"/>
    <xf numFmtId="0" fontId="12" fillId="0" borderId="0" xfId="0" applyFont="1" applyAlignment="1">
      <alignment horizontal="left"/>
    </xf>
    <xf numFmtId="14" fontId="4" fillId="3" borderId="0" xfId="0" applyNumberFormat="1" applyFont="1" applyFill="1" applyAlignment="1">
      <alignment horizontal="left"/>
    </xf>
    <xf numFmtId="14" fontId="3" fillId="0" borderId="0" xfId="3" applyNumberFormat="1" applyFont="1" applyAlignment="1">
      <alignment horizontal="left"/>
    </xf>
    <xf numFmtId="14" fontId="6" fillId="0" borderId="0" xfId="0" applyNumberFormat="1" applyFont="1" applyAlignment="1">
      <alignment horizontal="left"/>
    </xf>
    <xf numFmtId="14" fontId="15" fillId="0" borderId="0" xfId="0" applyNumberFormat="1" applyFont="1" applyAlignment="1">
      <alignment horizontal="left"/>
    </xf>
    <xf numFmtId="164" fontId="3" fillId="3" borderId="0" xfId="3" applyNumberFormat="1" applyFont="1" applyFill="1" applyAlignment="1">
      <alignment horizontal="left"/>
    </xf>
    <xf numFmtId="164" fontId="6" fillId="0" borderId="0" xfId="3" applyNumberFormat="1" applyFont="1" applyAlignment="1">
      <alignment horizontal="left"/>
    </xf>
    <xf numFmtId="164" fontId="16" fillId="0" borderId="0" xfId="3" applyNumberFormat="1" applyFont="1" applyAlignment="1">
      <alignment horizontal="left"/>
    </xf>
    <xf numFmtId="14" fontId="12" fillId="0" borderId="0" xfId="0" applyNumberFormat="1" applyFont="1" applyAlignment="1">
      <alignment horizontal="left"/>
    </xf>
    <xf numFmtId="0" fontId="18" fillId="0" borderId="0" xfId="0" applyFont="1" applyAlignment="1">
      <alignment horizontal="left" vertical="center" wrapText="1"/>
    </xf>
    <xf numFmtId="0" fontId="19" fillId="4" borderId="0" xfId="0" applyFont="1" applyFill="1" applyAlignment="1">
      <alignment horizontal="center"/>
    </xf>
    <xf numFmtId="0" fontId="19" fillId="4" borderId="0" xfId="0" applyFont="1" applyFill="1" applyAlignment="1">
      <alignment horizontal="left"/>
    </xf>
    <xf numFmtId="2" fontId="11" fillId="0" borderId="0" xfId="3" applyNumberFormat="1" applyFont="1" applyAlignment="1">
      <alignment horizontal="center" wrapText="1"/>
    </xf>
    <xf numFmtId="0" fontId="11" fillId="0" borderId="0" xfId="0" applyFont="1" applyAlignment="1">
      <alignment wrapText="1"/>
    </xf>
    <xf numFmtId="0" fontId="11" fillId="0" borderId="0" xfId="0" applyFont="1" applyAlignment="1">
      <alignment horizontal="left" wrapText="1"/>
    </xf>
    <xf numFmtId="0" fontId="1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165" fontId="11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 wrapText="1"/>
    </xf>
    <xf numFmtId="10" fontId="3" fillId="0" borderId="0" xfId="3" applyNumberFormat="1" applyFont="1" applyBorder="1" applyAlignment="1">
      <alignment horizontal="center" wrapText="1"/>
    </xf>
    <xf numFmtId="2" fontId="20" fillId="0" borderId="0" xfId="3" applyNumberFormat="1" applyFont="1" applyBorder="1" applyAlignment="1">
      <alignment horizontal="left"/>
    </xf>
    <xf numFmtId="0" fontId="21" fillId="0" borderId="0" xfId="0" applyFont="1" applyAlignment="1">
      <alignment horizontal="left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14" fontId="3" fillId="0" borderId="0" xfId="0" applyNumberFormat="1" applyFont="1" applyAlignment="1">
      <alignment wrapText="1"/>
    </xf>
    <xf numFmtId="14" fontId="3" fillId="0" borderId="0" xfId="0" applyNumberFormat="1" applyFont="1" applyAlignment="1">
      <alignment horizontal="center"/>
    </xf>
    <xf numFmtId="9" fontId="3" fillId="0" borderId="0" xfId="3" applyFont="1" applyAlignment="1">
      <alignment horizontal="center" wrapText="1"/>
    </xf>
    <xf numFmtId="0" fontId="6" fillId="0" borderId="0" xfId="0" applyFont="1"/>
    <xf numFmtId="0" fontId="22" fillId="0" borderId="0" xfId="0" applyFont="1" applyAlignment="1">
      <alignment horizontal="center" wrapText="1"/>
    </xf>
    <xf numFmtId="0" fontId="16" fillId="0" borderId="0" xfId="0" applyFont="1" applyAlignment="1">
      <alignment horizontal="center"/>
    </xf>
    <xf numFmtId="164" fontId="3" fillId="0" borderId="0" xfId="3" applyNumberFormat="1" applyFont="1"/>
    <xf numFmtId="0" fontId="2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9" fontId="6" fillId="0" borderId="0" xfId="3" applyFont="1" applyAlignment="1">
      <alignment horizontal="center"/>
    </xf>
    <xf numFmtId="14" fontId="3" fillId="0" borderId="0" xfId="0" applyNumberFormat="1" applyFont="1" applyAlignment="1">
      <alignment horizontal="left" wrapText="1"/>
    </xf>
    <xf numFmtId="0" fontId="9" fillId="0" borderId="0" xfId="0" applyFont="1" applyAlignment="1">
      <alignment horizontal="center" wrapText="1"/>
    </xf>
    <xf numFmtId="9" fontId="3" fillId="0" borderId="0" xfId="3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</cellXfs>
  <cellStyles count="5">
    <cellStyle name="Lien hypertexte" xfId="4" builtinId="8"/>
    <cellStyle name="Normal" xfId="0" builtinId="0"/>
    <cellStyle name="Normal 2" xfId="1" xr:uid="{1EEF9987-1232-45C7-861C-62DBDD48FFAC}"/>
    <cellStyle name="Normal 3" xfId="2" xr:uid="{E1776677-BD6E-44CB-998A-D7B8AE60B615}"/>
    <cellStyle name="Pourcentag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Corpus!$B$6:$B$40</c:f>
              <c:strCache>
                <c:ptCount val="35"/>
                <c:pt idx="0">
                  <c:v>Guinchat</c:v>
                </c:pt>
                <c:pt idx="1">
                  <c:v>Joulin</c:v>
                </c:pt>
                <c:pt idx="2">
                  <c:v>Louvel</c:v>
                </c:pt>
                <c:pt idx="3">
                  <c:v>Bro</c:v>
                </c:pt>
                <c:pt idx="4">
                  <c:v>Dagonet</c:v>
                </c:pt>
                <c:pt idx="5">
                  <c:v>David</c:v>
                </c:pt>
                <c:pt idx="6">
                  <c:v>Maillard</c:v>
                </c:pt>
                <c:pt idx="7">
                  <c:v>Ponsar</c:v>
                </c:pt>
                <c:pt idx="8">
                  <c:v>Jorens</c:v>
                </c:pt>
                <c:pt idx="9">
                  <c:v>Talec</c:v>
                </c:pt>
                <c:pt idx="10">
                  <c:v>Dubost</c:v>
                </c:pt>
                <c:pt idx="11">
                  <c:v>Quoist</c:v>
                </c:pt>
                <c:pt idx="12">
                  <c:v>Quilici</c:v>
                </c:pt>
                <c:pt idx="13">
                  <c:v>Jean-Paul II</c:v>
                </c:pt>
                <c:pt idx="14">
                  <c:v>Rougier</c:v>
                </c:pt>
                <c:pt idx="15">
                  <c:v>Turquais</c:v>
                </c:pt>
                <c:pt idx="16">
                  <c:v>Lintanf</c:v>
                </c:pt>
                <c:pt idx="17">
                  <c:v>Hubaut</c:v>
                </c:pt>
                <c:pt idx="18">
                  <c:v>Lustiger</c:v>
                </c:pt>
                <c:pt idx="19">
                  <c:v>Nissim</c:v>
                </c:pt>
                <c:pt idx="20">
                  <c:v>Delorme</c:v>
                </c:pt>
                <c:pt idx="21">
                  <c:v>Bacquet</c:v>
                </c:pt>
                <c:pt idx="22">
                  <c:v>Corbineau</c:v>
                </c:pt>
                <c:pt idx="23">
                  <c:v>Sintas</c:v>
                </c:pt>
                <c:pt idx="24">
                  <c:v>Marty J</c:v>
                </c:pt>
                <c:pt idx="25">
                  <c:v>Marsset</c:v>
                </c:pt>
                <c:pt idx="26">
                  <c:v>Delhez</c:v>
                </c:pt>
                <c:pt idx="27">
                  <c:v>Mawet</c:v>
                </c:pt>
                <c:pt idx="28">
                  <c:v>Marcovits</c:v>
                </c:pt>
                <c:pt idx="29">
                  <c:v>Ledogar</c:v>
                </c:pt>
                <c:pt idx="30">
                  <c:v>Lamboley</c:v>
                </c:pt>
                <c:pt idx="31">
                  <c:v>Jaillot</c:v>
                </c:pt>
                <c:pt idx="32">
                  <c:v>Combeau</c:v>
                </c:pt>
                <c:pt idx="33">
                  <c:v>Croonenberghs</c:v>
                </c:pt>
                <c:pt idx="34">
                  <c:v>René-Luc</c:v>
                </c:pt>
              </c:strCache>
            </c:strRef>
          </c:cat>
          <c:val>
            <c:numRef>
              <c:f>Corpus!$C$6:$C$40</c:f>
              <c:numCache>
                <c:formatCode>General</c:formatCode>
                <c:ptCount val="35"/>
                <c:pt idx="0">
                  <c:v>1969</c:v>
                </c:pt>
                <c:pt idx="1">
                  <c:v>1969</c:v>
                </c:pt>
                <c:pt idx="2">
                  <c:v>1969</c:v>
                </c:pt>
                <c:pt idx="3">
                  <c:v>1970</c:v>
                </c:pt>
                <c:pt idx="4">
                  <c:v>1970</c:v>
                </c:pt>
                <c:pt idx="5">
                  <c:v>1970</c:v>
                </c:pt>
                <c:pt idx="6">
                  <c:v>1971</c:v>
                </c:pt>
                <c:pt idx="7">
                  <c:v>1971</c:v>
                </c:pt>
                <c:pt idx="8">
                  <c:v>1973</c:v>
                </c:pt>
                <c:pt idx="9">
                  <c:v>1973</c:v>
                </c:pt>
                <c:pt idx="10">
                  <c:v>1975</c:v>
                </c:pt>
                <c:pt idx="11">
                  <c:v>1975</c:v>
                </c:pt>
                <c:pt idx="12">
                  <c:v>1977</c:v>
                </c:pt>
                <c:pt idx="13">
                  <c:v>1978</c:v>
                </c:pt>
                <c:pt idx="14">
                  <c:v>1979</c:v>
                </c:pt>
                <c:pt idx="15">
                  <c:v>1979</c:v>
                </c:pt>
                <c:pt idx="16">
                  <c:v>1981</c:v>
                </c:pt>
                <c:pt idx="17">
                  <c:v>1982</c:v>
                </c:pt>
                <c:pt idx="18">
                  <c:v>1982</c:v>
                </c:pt>
                <c:pt idx="19">
                  <c:v>1982</c:v>
                </c:pt>
                <c:pt idx="20">
                  <c:v>1984</c:v>
                </c:pt>
                <c:pt idx="21">
                  <c:v>1988</c:v>
                </c:pt>
                <c:pt idx="22">
                  <c:v>1989</c:v>
                </c:pt>
                <c:pt idx="23">
                  <c:v>1990</c:v>
                </c:pt>
                <c:pt idx="24">
                  <c:v>1992</c:v>
                </c:pt>
                <c:pt idx="25">
                  <c:v>1994</c:v>
                </c:pt>
                <c:pt idx="26">
                  <c:v>1996</c:v>
                </c:pt>
                <c:pt idx="27">
                  <c:v>1996</c:v>
                </c:pt>
                <c:pt idx="28">
                  <c:v>1997</c:v>
                </c:pt>
                <c:pt idx="29">
                  <c:v>2005</c:v>
                </c:pt>
                <c:pt idx="30">
                  <c:v>2006</c:v>
                </c:pt>
                <c:pt idx="31">
                  <c:v>2009</c:v>
                </c:pt>
                <c:pt idx="32">
                  <c:v>2013</c:v>
                </c:pt>
                <c:pt idx="33">
                  <c:v>2013</c:v>
                </c:pt>
                <c:pt idx="34">
                  <c:v>2013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31-4E1D-A7F3-8B0B68DB3D1D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Corpus!$B$6:$B$40</c:f>
              <c:strCache>
                <c:ptCount val="35"/>
                <c:pt idx="0">
                  <c:v>Guinchat</c:v>
                </c:pt>
                <c:pt idx="1">
                  <c:v>Joulin</c:v>
                </c:pt>
                <c:pt idx="2">
                  <c:v>Louvel</c:v>
                </c:pt>
                <c:pt idx="3">
                  <c:v>Bro</c:v>
                </c:pt>
                <c:pt idx="4">
                  <c:v>Dagonet</c:v>
                </c:pt>
                <c:pt idx="5">
                  <c:v>David</c:v>
                </c:pt>
                <c:pt idx="6">
                  <c:v>Maillard</c:v>
                </c:pt>
                <c:pt idx="7">
                  <c:v>Ponsar</c:v>
                </c:pt>
                <c:pt idx="8">
                  <c:v>Jorens</c:v>
                </c:pt>
                <c:pt idx="9">
                  <c:v>Talec</c:v>
                </c:pt>
                <c:pt idx="10">
                  <c:v>Dubost</c:v>
                </c:pt>
                <c:pt idx="11">
                  <c:v>Quoist</c:v>
                </c:pt>
                <c:pt idx="12">
                  <c:v>Quilici</c:v>
                </c:pt>
                <c:pt idx="13">
                  <c:v>Jean-Paul II</c:v>
                </c:pt>
                <c:pt idx="14">
                  <c:v>Rougier</c:v>
                </c:pt>
                <c:pt idx="15">
                  <c:v>Turquais</c:v>
                </c:pt>
                <c:pt idx="16">
                  <c:v>Lintanf</c:v>
                </c:pt>
                <c:pt idx="17">
                  <c:v>Hubaut</c:v>
                </c:pt>
                <c:pt idx="18">
                  <c:v>Lustiger</c:v>
                </c:pt>
                <c:pt idx="19">
                  <c:v>Nissim</c:v>
                </c:pt>
                <c:pt idx="20">
                  <c:v>Delorme</c:v>
                </c:pt>
                <c:pt idx="21">
                  <c:v>Bacquet</c:v>
                </c:pt>
                <c:pt idx="22">
                  <c:v>Corbineau</c:v>
                </c:pt>
                <c:pt idx="23">
                  <c:v>Sintas</c:v>
                </c:pt>
                <c:pt idx="24">
                  <c:v>Marty J</c:v>
                </c:pt>
                <c:pt idx="25">
                  <c:v>Marsset</c:v>
                </c:pt>
                <c:pt idx="26">
                  <c:v>Delhez</c:v>
                </c:pt>
                <c:pt idx="27">
                  <c:v>Mawet</c:v>
                </c:pt>
                <c:pt idx="28">
                  <c:v>Marcovits</c:v>
                </c:pt>
                <c:pt idx="29">
                  <c:v>Ledogar</c:v>
                </c:pt>
                <c:pt idx="30">
                  <c:v>Lamboley</c:v>
                </c:pt>
                <c:pt idx="31">
                  <c:v>Jaillot</c:v>
                </c:pt>
                <c:pt idx="32">
                  <c:v>Combeau</c:v>
                </c:pt>
                <c:pt idx="33">
                  <c:v>Croonenberghs</c:v>
                </c:pt>
                <c:pt idx="34">
                  <c:v>René-Luc</c:v>
                </c:pt>
              </c:strCache>
            </c:strRef>
          </c:cat>
          <c:val>
            <c:numRef>
              <c:f>Corpus!$D$6:$D$40</c:f>
              <c:numCache>
                <c:formatCode>General</c:formatCode>
                <c:ptCount val="35"/>
                <c:pt idx="0">
                  <c:v>1980</c:v>
                </c:pt>
                <c:pt idx="1">
                  <c:v>1999</c:v>
                </c:pt>
                <c:pt idx="2">
                  <c:v>1978</c:v>
                </c:pt>
                <c:pt idx="3">
                  <c:v>1982</c:v>
                </c:pt>
                <c:pt idx="4">
                  <c:v>1981</c:v>
                </c:pt>
                <c:pt idx="5">
                  <c:v>2000</c:v>
                </c:pt>
                <c:pt idx="6">
                  <c:v>2007</c:v>
                </c:pt>
                <c:pt idx="7">
                  <c:v>1981</c:v>
                </c:pt>
                <c:pt idx="8">
                  <c:v>2006</c:v>
                </c:pt>
                <c:pt idx="9">
                  <c:v>1996</c:v>
                </c:pt>
                <c:pt idx="10">
                  <c:v>2008</c:v>
                </c:pt>
                <c:pt idx="11">
                  <c:v>1989</c:v>
                </c:pt>
                <c:pt idx="12">
                  <c:v>1988</c:v>
                </c:pt>
                <c:pt idx="13">
                  <c:v>2004</c:v>
                </c:pt>
                <c:pt idx="14">
                  <c:v>2004</c:v>
                </c:pt>
                <c:pt idx="15">
                  <c:v>1993</c:v>
                </c:pt>
                <c:pt idx="16">
                  <c:v>2005</c:v>
                </c:pt>
                <c:pt idx="17">
                  <c:v>1991</c:v>
                </c:pt>
                <c:pt idx="18">
                  <c:v>2004</c:v>
                </c:pt>
                <c:pt idx="19">
                  <c:v>2022</c:v>
                </c:pt>
                <c:pt idx="20">
                  <c:v>2009</c:v>
                </c:pt>
                <c:pt idx="21">
                  <c:v>2009</c:v>
                </c:pt>
                <c:pt idx="22">
                  <c:v>2007</c:v>
                </c:pt>
                <c:pt idx="23">
                  <c:v>2004</c:v>
                </c:pt>
                <c:pt idx="24">
                  <c:v>2005</c:v>
                </c:pt>
                <c:pt idx="25">
                  <c:v>2021</c:v>
                </c:pt>
                <c:pt idx="26">
                  <c:v>2019</c:v>
                </c:pt>
                <c:pt idx="27">
                  <c:v>2021</c:v>
                </c:pt>
                <c:pt idx="28">
                  <c:v>2011</c:v>
                </c:pt>
                <c:pt idx="29">
                  <c:v>2022</c:v>
                </c:pt>
                <c:pt idx="30">
                  <c:v>2017</c:v>
                </c:pt>
                <c:pt idx="31">
                  <c:v>2018</c:v>
                </c:pt>
                <c:pt idx="32">
                  <c:v>2022</c:v>
                </c:pt>
                <c:pt idx="33">
                  <c:v>2022</c:v>
                </c:pt>
                <c:pt idx="34">
                  <c:v>2019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31-4E1D-A7F3-8B0B68DB3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tx1"/>
              </a:solidFill>
              <a:ln w="9525">
                <a:noFill/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smooth val="0"/>
        <c:axId val="1703452544"/>
        <c:axId val="1426642032"/>
      </c:lineChart>
      <c:catAx>
        <c:axId val="170345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26642032"/>
        <c:crosses val="autoZero"/>
        <c:auto val="1"/>
        <c:lblAlgn val="ctr"/>
        <c:lblOffset val="100"/>
        <c:noMultiLvlLbl val="0"/>
      </c:catAx>
      <c:valAx>
        <c:axId val="1426642032"/>
        <c:scaling>
          <c:orientation val="minMax"/>
          <c:max val="2022"/>
          <c:min val="196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03452544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200"/>
              <a:t>Moyenne</a:t>
            </a:r>
            <a:r>
              <a:rPr lang="fr-FR" sz="1200" baseline="0"/>
              <a:t> annuelle du nombre de mots par prédication</a:t>
            </a:r>
            <a:endParaRPr lang="fr-FR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Corpus!$B$45:$B$98</c:f>
              <c:numCache>
                <c:formatCode>General</c:formatCode>
                <c:ptCount val="54"/>
                <c:pt idx="0">
                  <c:v>1969</c:v>
                </c:pt>
                <c:pt idx="1">
                  <c:v>1970</c:v>
                </c:pt>
                <c:pt idx="2">
                  <c:v>1971</c:v>
                </c:pt>
                <c:pt idx="3">
                  <c:v>1972</c:v>
                </c:pt>
                <c:pt idx="4">
                  <c:v>1973</c:v>
                </c:pt>
                <c:pt idx="5">
                  <c:v>1974</c:v>
                </c:pt>
                <c:pt idx="6">
                  <c:v>1975</c:v>
                </c:pt>
                <c:pt idx="7">
                  <c:v>1976</c:v>
                </c:pt>
                <c:pt idx="8">
                  <c:v>1977</c:v>
                </c:pt>
                <c:pt idx="9">
                  <c:v>1978</c:v>
                </c:pt>
                <c:pt idx="10">
                  <c:v>1979</c:v>
                </c:pt>
                <c:pt idx="11">
                  <c:v>1980</c:v>
                </c:pt>
                <c:pt idx="12">
                  <c:v>1981</c:v>
                </c:pt>
                <c:pt idx="13">
                  <c:v>1982</c:v>
                </c:pt>
                <c:pt idx="14">
                  <c:v>1983</c:v>
                </c:pt>
                <c:pt idx="15">
                  <c:v>1984</c:v>
                </c:pt>
                <c:pt idx="16">
                  <c:v>1985</c:v>
                </c:pt>
                <c:pt idx="17">
                  <c:v>1986</c:v>
                </c:pt>
                <c:pt idx="18">
                  <c:v>1987</c:v>
                </c:pt>
                <c:pt idx="19">
                  <c:v>1988</c:v>
                </c:pt>
                <c:pt idx="20">
                  <c:v>1989</c:v>
                </c:pt>
                <c:pt idx="21">
                  <c:v>1990</c:v>
                </c:pt>
                <c:pt idx="22">
                  <c:v>1991</c:v>
                </c:pt>
                <c:pt idx="23">
                  <c:v>1992</c:v>
                </c:pt>
                <c:pt idx="24">
                  <c:v>1993</c:v>
                </c:pt>
                <c:pt idx="25">
                  <c:v>1994</c:v>
                </c:pt>
                <c:pt idx="26">
                  <c:v>1995</c:v>
                </c:pt>
                <c:pt idx="27">
                  <c:v>1996</c:v>
                </c:pt>
                <c:pt idx="28">
                  <c:v>1997</c:v>
                </c:pt>
                <c:pt idx="29">
                  <c:v>1998</c:v>
                </c:pt>
                <c:pt idx="30">
                  <c:v>1999</c:v>
                </c:pt>
                <c:pt idx="31">
                  <c:v>2000</c:v>
                </c:pt>
                <c:pt idx="32">
                  <c:v>2001</c:v>
                </c:pt>
                <c:pt idx="33">
                  <c:v>2002</c:v>
                </c:pt>
                <c:pt idx="34">
                  <c:v>2003</c:v>
                </c:pt>
                <c:pt idx="35">
                  <c:v>2004</c:v>
                </c:pt>
                <c:pt idx="36">
                  <c:v>2005</c:v>
                </c:pt>
                <c:pt idx="37">
                  <c:v>2006</c:v>
                </c:pt>
                <c:pt idx="38">
                  <c:v>2007</c:v>
                </c:pt>
                <c:pt idx="39">
                  <c:v>2008</c:v>
                </c:pt>
                <c:pt idx="40">
                  <c:v>2009</c:v>
                </c:pt>
                <c:pt idx="41">
                  <c:v>2010</c:v>
                </c:pt>
                <c:pt idx="42">
                  <c:v>2011</c:v>
                </c:pt>
                <c:pt idx="43">
                  <c:v>2012</c:v>
                </c:pt>
                <c:pt idx="44">
                  <c:v>2013</c:v>
                </c:pt>
                <c:pt idx="45">
                  <c:v>2014</c:v>
                </c:pt>
                <c:pt idx="46">
                  <c:v>2015</c:v>
                </c:pt>
                <c:pt idx="47">
                  <c:v>2016</c:v>
                </c:pt>
                <c:pt idx="48">
                  <c:v>2017</c:v>
                </c:pt>
                <c:pt idx="49">
                  <c:v>2018</c:v>
                </c:pt>
                <c:pt idx="50">
                  <c:v>2019</c:v>
                </c:pt>
                <c:pt idx="51">
                  <c:v>2020</c:v>
                </c:pt>
                <c:pt idx="52">
                  <c:v>2021</c:v>
                </c:pt>
                <c:pt idx="53">
                  <c:v>2022</c:v>
                </c:pt>
              </c:numCache>
            </c:numRef>
          </c:xVal>
          <c:yVal>
            <c:numRef>
              <c:f>Corpus!$C$45:$C$98</c:f>
              <c:numCache>
                <c:formatCode>0</c:formatCode>
                <c:ptCount val="54"/>
                <c:pt idx="0">
                  <c:v>1237.2857142857142</c:v>
                </c:pt>
                <c:pt idx="1">
                  <c:v>1319.0784313725489</c:v>
                </c:pt>
                <c:pt idx="2">
                  <c:v>1287.6153846153845</c:v>
                </c:pt>
                <c:pt idx="3">
                  <c:v>1323.0975609756097</c:v>
                </c:pt>
                <c:pt idx="4">
                  <c:v>1265.8846153846155</c:v>
                </c:pt>
                <c:pt idx="5">
                  <c:v>1372</c:v>
                </c:pt>
                <c:pt idx="6">
                  <c:v>1249.6851851851852</c:v>
                </c:pt>
                <c:pt idx="7">
                  <c:v>1281.98</c:v>
                </c:pt>
                <c:pt idx="8">
                  <c:v>1335.3636363636363</c:v>
                </c:pt>
                <c:pt idx="9">
                  <c:v>1199.4615384615386</c:v>
                </c:pt>
                <c:pt idx="10">
                  <c:v>1222.8333333333333</c:v>
                </c:pt>
                <c:pt idx="11">
                  <c:v>1058.1454545454546</c:v>
                </c:pt>
                <c:pt idx="12">
                  <c:v>1047.0185185185185</c:v>
                </c:pt>
                <c:pt idx="13">
                  <c:v>1070.7777777777778</c:v>
                </c:pt>
                <c:pt idx="14">
                  <c:v>1079.6415094339623</c:v>
                </c:pt>
                <c:pt idx="15">
                  <c:v>1100.4912280701753</c:v>
                </c:pt>
                <c:pt idx="16">
                  <c:v>1010.3636363636364</c:v>
                </c:pt>
                <c:pt idx="17">
                  <c:v>1081.5636363636363</c:v>
                </c:pt>
                <c:pt idx="18">
                  <c:v>942.0181818181818</c:v>
                </c:pt>
                <c:pt idx="19">
                  <c:v>1016.6545454545454</c:v>
                </c:pt>
                <c:pt idx="20">
                  <c:v>1008.1607142857143</c:v>
                </c:pt>
                <c:pt idx="21">
                  <c:v>906.0545454545454</c:v>
                </c:pt>
                <c:pt idx="22">
                  <c:v>940.05357142857144</c:v>
                </c:pt>
                <c:pt idx="23">
                  <c:v>925.5272727272727</c:v>
                </c:pt>
                <c:pt idx="24">
                  <c:v>898</c:v>
                </c:pt>
                <c:pt idx="25">
                  <c:v>908.375</c:v>
                </c:pt>
                <c:pt idx="26">
                  <c:v>918.65517241379314</c:v>
                </c:pt>
                <c:pt idx="27">
                  <c:v>956.91525423728808</c:v>
                </c:pt>
                <c:pt idx="28">
                  <c:v>925.08771929824559</c:v>
                </c:pt>
                <c:pt idx="29">
                  <c:v>887.57142857142856</c:v>
                </c:pt>
                <c:pt idx="30">
                  <c:v>894.26785714285711</c:v>
                </c:pt>
                <c:pt idx="31">
                  <c:v>913.01724137931035</c:v>
                </c:pt>
                <c:pt idx="32">
                  <c:v>884.52631578947364</c:v>
                </c:pt>
                <c:pt idx="33">
                  <c:v>888.68421052631584</c:v>
                </c:pt>
                <c:pt idx="34">
                  <c:v>916.84210526315792</c:v>
                </c:pt>
                <c:pt idx="35">
                  <c:v>873.19642857142856</c:v>
                </c:pt>
                <c:pt idx="36">
                  <c:v>866.70689655172418</c:v>
                </c:pt>
                <c:pt idx="37">
                  <c:v>843.12068965517244</c:v>
                </c:pt>
                <c:pt idx="38">
                  <c:v>862.35087719298247</c:v>
                </c:pt>
                <c:pt idx="39">
                  <c:v>889.79310344827582</c:v>
                </c:pt>
                <c:pt idx="40">
                  <c:v>860.51785714285711</c:v>
                </c:pt>
                <c:pt idx="41">
                  <c:v>729.07142857142856</c:v>
                </c:pt>
                <c:pt idx="42">
                  <c:v>732.26785714285711</c:v>
                </c:pt>
                <c:pt idx="43">
                  <c:v>680.74137931034488</c:v>
                </c:pt>
                <c:pt idx="44">
                  <c:v>707.35087719298247</c:v>
                </c:pt>
                <c:pt idx="45">
                  <c:v>702</c:v>
                </c:pt>
                <c:pt idx="46">
                  <c:v>677.44642857142856</c:v>
                </c:pt>
                <c:pt idx="47">
                  <c:v>705.67857142857144</c:v>
                </c:pt>
                <c:pt idx="48">
                  <c:v>660.01724137931035</c:v>
                </c:pt>
                <c:pt idx="49">
                  <c:v>673.9473684210526</c:v>
                </c:pt>
                <c:pt idx="50">
                  <c:v>730.69642857142856</c:v>
                </c:pt>
                <c:pt idx="51">
                  <c:v>774.07142857142856</c:v>
                </c:pt>
                <c:pt idx="52">
                  <c:v>763.9818181818182</c:v>
                </c:pt>
                <c:pt idx="53">
                  <c:v>759.66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5F-4DC4-AEF3-909DE86B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9586495"/>
        <c:axId val="1859567359"/>
      </c:scatterChart>
      <c:valAx>
        <c:axId val="1859586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567359"/>
        <c:crosses val="autoZero"/>
        <c:crossBetween val="midCat"/>
      </c:valAx>
      <c:valAx>
        <c:axId val="185956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586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Corpus!$C$104</c:f>
              <c:strCache>
                <c:ptCount val="1"/>
                <c:pt idx="0">
                  <c:v>% Prédicateurs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5C4-4B72-A1D7-2EA2DCE638C4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5C4-4B72-A1D7-2EA2DCE638C4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5C4-4B72-A1D7-2EA2DCE638C4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5C4-4B72-A1D7-2EA2DCE638C4}"/>
              </c:ext>
            </c:extLst>
          </c:dPt>
          <c:dPt>
            <c:idx val="4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5C4-4B72-A1D7-2EA2DCE638C4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5C4-4B72-A1D7-2EA2DCE638C4}"/>
              </c:ext>
            </c:extLst>
          </c:dPt>
          <c:cat>
            <c:strRef>
              <c:f>Corpus!$B$105:$B$110</c:f>
              <c:strCache>
                <c:ptCount val="6"/>
                <c:pt idx="0">
                  <c:v>Papes</c:v>
                </c:pt>
                <c:pt idx="1">
                  <c:v>Evêques</c:v>
                </c:pt>
                <c:pt idx="2">
                  <c:v>Prêtres diocésains</c:v>
                </c:pt>
                <c:pt idx="3">
                  <c:v>Dominicains</c:v>
                </c:pt>
                <c:pt idx="4">
                  <c:v>Autres religieux</c:v>
                </c:pt>
                <c:pt idx="5">
                  <c:v>Pasteurs, diacres…</c:v>
                </c:pt>
              </c:strCache>
            </c:strRef>
          </c:cat>
          <c:val>
            <c:numRef>
              <c:f>Corpus!$C$105:$C$110</c:f>
              <c:numCache>
                <c:formatCode>0%</c:formatCode>
                <c:ptCount val="6"/>
                <c:pt idx="0">
                  <c:v>5.1948051948051948E-3</c:v>
                </c:pt>
                <c:pt idx="1">
                  <c:v>0.35974025974025975</c:v>
                </c:pt>
                <c:pt idx="2">
                  <c:v>0.32467532467532467</c:v>
                </c:pt>
                <c:pt idx="3">
                  <c:v>0.1038961038961039</c:v>
                </c:pt>
                <c:pt idx="4">
                  <c:v>0.12207792207792208</c:v>
                </c:pt>
                <c:pt idx="5">
                  <c:v>8.4415584415584416E-2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9A-4FF1-812E-8DAA3E68E706}"/>
            </c:ext>
          </c:extLst>
        </c:ser>
        <c:ser>
          <c:idx val="1"/>
          <c:order val="1"/>
          <c:tx>
            <c:strRef>
              <c:f>Corpus!$D$104</c:f>
              <c:strCache>
                <c:ptCount val="1"/>
                <c:pt idx="0">
                  <c:v>% Homélies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5C4-4B72-A1D7-2EA2DCE638C4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5C4-4B72-A1D7-2EA2DCE638C4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5C4-4B72-A1D7-2EA2DCE638C4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5C4-4B72-A1D7-2EA2DCE638C4}"/>
              </c:ext>
            </c:extLst>
          </c:dPt>
          <c:dPt>
            <c:idx val="4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5C4-4B72-A1D7-2EA2DCE638C4}"/>
              </c:ext>
            </c:extLst>
          </c:dPt>
          <c:dPt>
            <c:idx val="5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5C4-4B72-A1D7-2EA2DCE638C4}"/>
              </c:ext>
            </c:extLst>
          </c:dPt>
          <c:cat>
            <c:strRef>
              <c:f>Corpus!$B$105:$B$110</c:f>
              <c:strCache>
                <c:ptCount val="6"/>
                <c:pt idx="0">
                  <c:v>Papes</c:v>
                </c:pt>
                <c:pt idx="1">
                  <c:v>Evêques</c:v>
                </c:pt>
                <c:pt idx="2">
                  <c:v>Prêtres diocésains</c:v>
                </c:pt>
                <c:pt idx="3">
                  <c:v>Dominicains</c:v>
                </c:pt>
                <c:pt idx="4">
                  <c:v>Autres religieux</c:v>
                </c:pt>
                <c:pt idx="5">
                  <c:v>Pasteurs, diacres…</c:v>
                </c:pt>
              </c:strCache>
            </c:strRef>
          </c:cat>
          <c:val>
            <c:numRef>
              <c:f>Corpus!$D$105:$D$110</c:f>
              <c:numCache>
                <c:formatCode>0%</c:formatCode>
                <c:ptCount val="6"/>
                <c:pt idx="0">
                  <c:v>1.8958979662185453E-2</c:v>
                </c:pt>
                <c:pt idx="1">
                  <c:v>0.19924164081351259</c:v>
                </c:pt>
                <c:pt idx="2">
                  <c:v>0.37090658393657361</c:v>
                </c:pt>
                <c:pt idx="3">
                  <c:v>0.25232678386763185</c:v>
                </c:pt>
                <c:pt idx="4">
                  <c:v>0.1468459152016546</c:v>
                </c:pt>
                <c:pt idx="5">
                  <c:v>1.1720096518441917E-2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9A-4FF1-812E-8DAA3E68E7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01573551"/>
        <c:axId val="1701577391"/>
      </c:barChart>
      <c:catAx>
        <c:axId val="17015735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577391"/>
        <c:crosses val="autoZero"/>
        <c:auto val="1"/>
        <c:lblAlgn val="ctr"/>
        <c:lblOffset val="100"/>
        <c:noMultiLvlLbl val="0"/>
      </c:catAx>
      <c:valAx>
        <c:axId val="170157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573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Présence!$A$18</c:f>
              <c:strCache>
                <c:ptCount val="1"/>
                <c:pt idx="0">
                  <c:v>&gt;10</c:v>
                </c:pt>
              </c:strCache>
            </c:strRef>
          </c:tx>
          <c:spPr>
            <a:solidFill>
              <a:schemeClr val="tx1">
                <a:lumMod val="95000"/>
                <a:lumOff val="5000"/>
              </a:schemeClr>
            </a:solidFill>
            <a:ln>
              <a:noFill/>
            </a:ln>
            <a:effectLst/>
          </c:spPr>
          <c:invertIfNegative val="0"/>
          <c:cat>
            <c:strRef>
              <c:f>Présence!$B$17:$H$17</c:f>
              <c:strCache>
                <c:ptCount val="7"/>
                <c:pt idx="0">
                  <c:v>Dieu</c:v>
                </c:pt>
                <c:pt idx="1">
                  <c:v>Jésus</c:v>
                </c:pt>
                <c:pt idx="2">
                  <c:v>Christ</c:v>
                </c:pt>
                <c:pt idx="3">
                  <c:v>Seigneur</c:v>
                </c:pt>
                <c:pt idx="4">
                  <c:v>Père</c:v>
                </c:pt>
                <c:pt idx="5">
                  <c:v>Fils</c:v>
                </c:pt>
                <c:pt idx="6">
                  <c:v>Esprit</c:v>
                </c:pt>
              </c:strCache>
            </c:strRef>
          </c:cat>
          <c:val>
            <c:numRef>
              <c:f>Présence!$B$18:$H$18</c:f>
              <c:numCache>
                <c:formatCode>General</c:formatCode>
                <c:ptCount val="7"/>
                <c:pt idx="0">
                  <c:v>867</c:v>
                </c:pt>
                <c:pt idx="1">
                  <c:v>537</c:v>
                </c:pt>
                <c:pt idx="2">
                  <c:v>180</c:v>
                </c:pt>
                <c:pt idx="3">
                  <c:v>13</c:v>
                </c:pt>
                <c:pt idx="4">
                  <c:v>26</c:v>
                </c:pt>
                <c:pt idx="5">
                  <c:v>5</c:v>
                </c:pt>
                <c:pt idx="6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8B-4152-8290-76110458E677}"/>
            </c:ext>
          </c:extLst>
        </c:ser>
        <c:ser>
          <c:idx val="1"/>
          <c:order val="1"/>
          <c:tx>
            <c:strRef>
              <c:f>Présence!$A$19</c:f>
              <c:strCache>
                <c:ptCount val="1"/>
                <c:pt idx="0">
                  <c:v>10&gt;x&gt;3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cat>
            <c:strRef>
              <c:f>Présence!$B$17:$H$17</c:f>
              <c:strCache>
                <c:ptCount val="7"/>
                <c:pt idx="0">
                  <c:v>Dieu</c:v>
                </c:pt>
                <c:pt idx="1">
                  <c:v>Jésus</c:v>
                </c:pt>
                <c:pt idx="2">
                  <c:v>Christ</c:v>
                </c:pt>
                <c:pt idx="3">
                  <c:v>Seigneur</c:v>
                </c:pt>
                <c:pt idx="4">
                  <c:v>Père</c:v>
                </c:pt>
                <c:pt idx="5">
                  <c:v>Fils</c:v>
                </c:pt>
                <c:pt idx="6">
                  <c:v>Esprit</c:v>
                </c:pt>
              </c:strCache>
            </c:strRef>
          </c:cat>
          <c:val>
            <c:numRef>
              <c:f>Présence!$B$19:$H$19</c:f>
              <c:numCache>
                <c:formatCode>General</c:formatCode>
                <c:ptCount val="7"/>
                <c:pt idx="0">
                  <c:v>1340</c:v>
                </c:pt>
                <c:pt idx="1">
                  <c:v>1273</c:v>
                </c:pt>
                <c:pt idx="2">
                  <c:v>850</c:v>
                </c:pt>
                <c:pt idx="3">
                  <c:v>311</c:v>
                </c:pt>
                <c:pt idx="4">
                  <c:v>278</c:v>
                </c:pt>
                <c:pt idx="5">
                  <c:v>129</c:v>
                </c:pt>
                <c:pt idx="6">
                  <c:v>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8B-4152-8290-76110458E677}"/>
            </c:ext>
          </c:extLst>
        </c:ser>
        <c:ser>
          <c:idx val="2"/>
          <c:order val="2"/>
          <c:tx>
            <c:strRef>
              <c:f>Présence!$A$20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Présence!$B$17:$H$17</c:f>
              <c:strCache>
                <c:ptCount val="7"/>
                <c:pt idx="0">
                  <c:v>Dieu</c:v>
                </c:pt>
                <c:pt idx="1">
                  <c:v>Jésus</c:v>
                </c:pt>
                <c:pt idx="2">
                  <c:v>Christ</c:v>
                </c:pt>
                <c:pt idx="3">
                  <c:v>Seigneur</c:v>
                </c:pt>
                <c:pt idx="4">
                  <c:v>Père</c:v>
                </c:pt>
                <c:pt idx="5">
                  <c:v>Fils</c:v>
                </c:pt>
                <c:pt idx="6">
                  <c:v>Esprit</c:v>
                </c:pt>
              </c:strCache>
            </c:strRef>
          </c:cat>
          <c:val>
            <c:numRef>
              <c:f>Présence!$B$20:$H$20</c:f>
              <c:numCache>
                <c:formatCode>General</c:formatCode>
                <c:ptCount val="7"/>
                <c:pt idx="0">
                  <c:v>214</c:v>
                </c:pt>
                <c:pt idx="1">
                  <c:v>241</c:v>
                </c:pt>
                <c:pt idx="2">
                  <c:v>288</c:v>
                </c:pt>
                <c:pt idx="3">
                  <c:v>221</c:v>
                </c:pt>
                <c:pt idx="4">
                  <c:v>179</c:v>
                </c:pt>
                <c:pt idx="5">
                  <c:v>99</c:v>
                </c:pt>
                <c:pt idx="6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8B-4152-8290-76110458E677}"/>
            </c:ext>
          </c:extLst>
        </c:ser>
        <c:ser>
          <c:idx val="3"/>
          <c:order val="3"/>
          <c:tx>
            <c:strRef>
              <c:f>Présence!$A$21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Présence!$B$17:$H$17</c:f>
              <c:strCache>
                <c:ptCount val="7"/>
                <c:pt idx="0">
                  <c:v>Dieu</c:v>
                </c:pt>
                <c:pt idx="1">
                  <c:v>Jésus</c:v>
                </c:pt>
                <c:pt idx="2">
                  <c:v>Christ</c:v>
                </c:pt>
                <c:pt idx="3">
                  <c:v>Seigneur</c:v>
                </c:pt>
                <c:pt idx="4">
                  <c:v>Père</c:v>
                </c:pt>
                <c:pt idx="5">
                  <c:v>Fils</c:v>
                </c:pt>
                <c:pt idx="6">
                  <c:v>Esprit</c:v>
                </c:pt>
              </c:strCache>
            </c:strRef>
          </c:cat>
          <c:val>
            <c:numRef>
              <c:f>Présence!$B$21:$H$21</c:f>
              <c:numCache>
                <c:formatCode>General</c:formatCode>
                <c:ptCount val="7"/>
                <c:pt idx="0">
                  <c:v>199</c:v>
                </c:pt>
                <c:pt idx="1">
                  <c:v>294</c:v>
                </c:pt>
                <c:pt idx="2">
                  <c:v>405</c:v>
                </c:pt>
                <c:pt idx="3">
                  <c:v>369</c:v>
                </c:pt>
                <c:pt idx="4">
                  <c:v>330</c:v>
                </c:pt>
                <c:pt idx="5">
                  <c:v>201</c:v>
                </c:pt>
                <c:pt idx="6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8B-4152-8290-76110458E677}"/>
            </c:ext>
          </c:extLst>
        </c:ser>
        <c:ser>
          <c:idx val="4"/>
          <c:order val="4"/>
          <c:tx>
            <c:strRef>
              <c:f>Présence!$A$22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Présence!$B$17:$H$17</c:f>
              <c:strCache>
                <c:ptCount val="7"/>
                <c:pt idx="0">
                  <c:v>Dieu</c:v>
                </c:pt>
                <c:pt idx="1">
                  <c:v>Jésus</c:v>
                </c:pt>
                <c:pt idx="2">
                  <c:v>Christ</c:v>
                </c:pt>
                <c:pt idx="3">
                  <c:v>Seigneur</c:v>
                </c:pt>
                <c:pt idx="4">
                  <c:v>Père</c:v>
                </c:pt>
                <c:pt idx="5">
                  <c:v>Fils</c:v>
                </c:pt>
                <c:pt idx="6">
                  <c:v>Esprit</c:v>
                </c:pt>
              </c:strCache>
            </c:strRef>
          </c:cat>
          <c:val>
            <c:numRef>
              <c:f>Présence!$B$22:$H$22</c:f>
              <c:numCache>
                <c:formatCode>General</c:formatCode>
                <c:ptCount val="7"/>
                <c:pt idx="0">
                  <c:v>169</c:v>
                </c:pt>
                <c:pt idx="1">
                  <c:v>271</c:v>
                </c:pt>
                <c:pt idx="2">
                  <c:v>499</c:v>
                </c:pt>
                <c:pt idx="3">
                  <c:v>681</c:v>
                </c:pt>
                <c:pt idx="4">
                  <c:v>614</c:v>
                </c:pt>
                <c:pt idx="5">
                  <c:v>503</c:v>
                </c:pt>
                <c:pt idx="6">
                  <c:v>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8B-4152-8290-76110458E677}"/>
            </c:ext>
          </c:extLst>
        </c:ser>
        <c:ser>
          <c:idx val="5"/>
          <c:order val="5"/>
          <c:tx>
            <c:strRef>
              <c:f>Présence!$A$23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Présence!$B$17:$H$17</c:f>
              <c:strCache>
                <c:ptCount val="7"/>
                <c:pt idx="0">
                  <c:v>Dieu</c:v>
                </c:pt>
                <c:pt idx="1">
                  <c:v>Jésus</c:v>
                </c:pt>
                <c:pt idx="2">
                  <c:v>Christ</c:v>
                </c:pt>
                <c:pt idx="3">
                  <c:v>Seigneur</c:v>
                </c:pt>
                <c:pt idx="4">
                  <c:v>Père</c:v>
                </c:pt>
                <c:pt idx="5">
                  <c:v>Fils</c:v>
                </c:pt>
                <c:pt idx="6">
                  <c:v>Esprit</c:v>
                </c:pt>
              </c:strCache>
            </c:strRef>
          </c:cat>
          <c:val>
            <c:numRef>
              <c:f>Présence!$B$23:$H$23</c:f>
              <c:numCache>
                <c:formatCode>General</c:formatCode>
                <c:ptCount val="7"/>
                <c:pt idx="0">
                  <c:v>112</c:v>
                </c:pt>
                <c:pt idx="1">
                  <c:v>285</c:v>
                </c:pt>
                <c:pt idx="2">
                  <c:v>679</c:v>
                </c:pt>
                <c:pt idx="3">
                  <c:v>1306</c:v>
                </c:pt>
                <c:pt idx="4">
                  <c:v>1474</c:v>
                </c:pt>
                <c:pt idx="5">
                  <c:v>1964</c:v>
                </c:pt>
                <c:pt idx="6">
                  <c:v>1781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58B-4152-8290-76110458E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03413023"/>
        <c:axId val="686136847"/>
      </c:barChart>
      <c:catAx>
        <c:axId val="903413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86136847"/>
        <c:crosses val="autoZero"/>
        <c:auto val="1"/>
        <c:lblAlgn val="ctr"/>
        <c:lblOffset val="100"/>
        <c:noMultiLvlLbl val="0"/>
      </c:catAx>
      <c:valAx>
        <c:axId val="68613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0341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Présence!$B$6:$H$6</c:f>
              <c:strCache>
                <c:ptCount val="7"/>
                <c:pt idx="0">
                  <c:v>Dieu</c:v>
                </c:pt>
                <c:pt idx="1">
                  <c:v>Jésus</c:v>
                </c:pt>
                <c:pt idx="2">
                  <c:v>Christ</c:v>
                </c:pt>
                <c:pt idx="3">
                  <c:v>Seigneur</c:v>
                </c:pt>
                <c:pt idx="4">
                  <c:v>Esprit</c:v>
                </c:pt>
                <c:pt idx="5">
                  <c:v>Père</c:v>
                </c:pt>
                <c:pt idx="6">
                  <c:v>Fils</c:v>
                </c:pt>
              </c:strCache>
            </c:strRef>
          </c:cat>
          <c:val>
            <c:numRef>
              <c:f>Présence!$B$7:$H$7</c:f>
              <c:numCache>
                <c:formatCode>General</c:formatCode>
                <c:ptCount val="7"/>
                <c:pt idx="0">
                  <c:v>25176</c:v>
                </c:pt>
                <c:pt idx="1">
                  <c:v>18115</c:v>
                </c:pt>
                <c:pt idx="2">
                  <c:v>9854</c:v>
                </c:pt>
                <c:pt idx="3">
                  <c:v>3957</c:v>
                </c:pt>
                <c:pt idx="4">
                  <c:v>3463</c:v>
                </c:pt>
                <c:pt idx="5">
                  <c:v>3717</c:v>
                </c:pt>
                <c:pt idx="6">
                  <c:v>1936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DF-431B-B1C9-C62AFE785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4523599"/>
        <c:axId val="897869583"/>
      </c:barChart>
      <c:catAx>
        <c:axId val="614523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97869583"/>
        <c:crosses val="autoZero"/>
        <c:auto val="1"/>
        <c:lblAlgn val="ctr"/>
        <c:lblOffset val="100"/>
        <c:noMultiLvlLbl val="0"/>
      </c:catAx>
      <c:valAx>
        <c:axId val="89786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14523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Cooccurrences!$B$6</c:f>
              <c:strCache>
                <c:ptCount val="1"/>
                <c:pt idx="0">
                  <c:v>Occurrences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Cooccurrences!$A$7:$A$21</c:f>
              <c:strCache>
                <c:ptCount val="15"/>
                <c:pt idx="0">
                  <c:v>bonté</c:v>
                </c:pt>
                <c:pt idx="1">
                  <c:v>miséricorde</c:v>
                </c:pt>
                <c:pt idx="2">
                  <c:v>fils</c:v>
                </c:pt>
                <c:pt idx="3">
                  <c:v>don</c:v>
                </c:pt>
                <c:pt idx="4">
                  <c:v>tendresse</c:v>
                </c:pt>
                <c:pt idx="5">
                  <c:v>esprit</c:v>
                </c:pt>
                <c:pt idx="6">
                  <c:v>amour</c:v>
                </c:pt>
                <c:pt idx="7">
                  <c:v>aimer</c:v>
                </c:pt>
                <c:pt idx="8">
                  <c:v>croire</c:v>
                </c:pt>
                <c:pt idx="9">
                  <c:v>cœur</c:v>
                </c:pt>
                <c:pt idx="10">
                  <c:v>enfant</c:v>
                </c:pt>
                <c:pt idx="11">
                  <c:v>vouloir</c:v>
                </c:pt>
                <c:pt idx="12">
                  <c:v>père</c:v>
                </c:pt>
                <c:pt idx="13">
                  <c:v>donner</c:v>
                </c:pt>
                <c:pt idx="14">
                  <c:v>paix</c:v>
                </c:pt>
              </c:strCache>
            </c:strRef>
          </c:cat>
          <c:val>
            <c:numRef>
              <c:f>Cooccurrences!$B$7:$B$21</c:f>
              <c:numCache>
                <c:formatCode>General</c:formatCode>
                <c:ptCount val="15"/>
                <c:pt idx="0">
                  <c:v>237</c:v>
                </c:pt>
                <c:pt idx="1">
                  <c:v>551</c:v>
                </c:pt>
                <c:pt idx="2">
                  <c:v>3180</c:v>
                </c:pt>
                <c:pt idx="3">
                  <c:v>1320</c:v>
                </c:pt>
                <c:pt idx="4">
                  <c:v>714</c:v>
                </c:pt>
                <c:pt idx="5">
                  <c:v>3047</c:v>
                </c:pt>
                <c:pt idx="6">
                  <c:v>8140</c:v>
                </c:pt>
                <c:pt idx="7">
                  <c:v>5833</c:v>
                </c:pt>
                <c:pt idx="8">
                  <c:v>3803</c:v>
                </c:pt>
                <c:pt idx="9">
                  <c:v>5640</c:v>
                </c:pt>
                <c:pt idx="10">
                  <c:v>4035</c:v>
                </c:pt>
                <c:pt idx="11">
                  <c:v>5556</c:v>
                </c:pt>
                <c:pt idx="12">
                  <c:v>4320</c:v>
                </c:pt>
                <c:pt idx="13">
                  <c:v>4446</c:v>
                </c:pt>
                <c:pt idx="14">
                  <c:v>2419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18-4548-A102-D93AD3684D28}"/>
            </c:ext>
          </c:extLst>
        </c:ser>
        <c:ser>
          <c:idx val="0"/>
          <c:order val="1"/>
          <c:tx>
            <c:strRef>
              <c:f>Cooccurrences!$C$6</c:f>
              <c:strCache>
                <c:ptCount val="1"/>
                <c:pt idx="0">
                  <c:v>Cooccurrences avec Dieu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Cooccurrences!$A$7:$A$21</c:f>
              <c:strCache>
                <c:ptCount val="15"/>
                <c:pt idx="0">
                  <c:v>bonté</c:v>
                </c:pt>
                <c:pt idx="1">
                  <c:v>miséricorde</c:v>
                </c:pt>
                <c:pt idx="2">
                  <c:v>fils</c:v>
                </c:pt>
                <c:pt idx="3">
                  <c:v>don</c:v>
                </c:pt>
                <c:pt idx="4">
                  <c:v>tendresse</c:v>
                </c:pt>
                <c:pt idx="5">
                  <c:v>esprit</c:v>
                </c:pt>
                <c:pt idx="6">
                  <c:v>amour</c:v>
                </c:pt>
                <c:pt idx="7">
                  <c:v>aimer</c:v>
                </c:pt>
                <c:pt idx="8">
                  <c:v>croire</c:v>
                </c:pt>
                <c:pt idx="9">
                  <c:v>cœur</c:v>
                </c:pt>
                <c:pt idx="10">
                  <c:v>enfant</c:v>
                </c:pt>
                <c:pt idx="11">
                  <c:v>vouloir</c:v>
                </c:pt>
                <c:pt idx="12">
                  <c:v>père</c:v>
                </c:pt>
                <c:pt idx="13">
                  <c:v>donner</c:v>
                </c:pt>
                <c:pt idx="14">
                  <c:v>paix</c:v>
                </c:pt>
              </c:strCache>
            </c:strRef>
          </c:cat>
          <c:val>
            <c:numRef>
              <c:f>Cooccurrences!$C$7:$C$21</c:f>
              <c:numCache>
                <c:formatCode>General</c:formatCode>
                <c:ptCount val="15"/>
                <c:pt idx="0">
                  <c:v>106</c:v>
                </c:pt>
                <c:pt idx="1">
                  <c:v>239</c:v>
                </c:pt>
                <c:pt idx="2">
                  <c:v>1367</c:v>
                </c:pt>
                <c:pt idx="3">
                  <c:v>510</c:v>
                </c:pt>
                <c:pt idx="4">
                  <c:v>265</c:v>
                </c:pt>
                <c:pt idx="5">
                  <c:v>1024</c:v>
                </c:pt>
                <c:pt idx="6">
                  <c:v>2479</c:v>
                </c:pt>
                <c:pt idx="7">
                  <c:v>1644</c:v>
                </c:pt>
                <c:pt idx="8">
                  <c:v>922</c:v>
                </c:pt>
                <c:pt idx="9">
                  <c:v>1301</c:v>
                </c:pt>
                <c:pt idx="10">
                  <c:v>907</c:v>
                </c:pt>
                <c:pt idx="11">
                  <c:v>1174</c:v>
                </c:pt>
                <c:pt idx="12">
                  <c:v>904</c:v>
                </c:pt>
                <c:pt idx="13">
                  <c:v>868</c:v>
                </c:pt>
                <c:pt idx="14">
                  <c:v>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18-4548-A102-D93AD3684D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3607567"/>
        <c:axId val="1633606127"/>
      </c:barChart>
      <c:lineChart>
        <c:grouping val="standard"/>
        <c:varyColors val="0"/>
        <c:ser>
          <c:idx val="2"/>
          <c:order val="2"/>
          <c:tx>
            <c:strRef>
              <c:f>Cooccurrences!$D$6</c:f>
              <c:strCache>
                <c:ptCount val="1"/>
                <c:pt idx="0">
                  <c:v>Indice de surreprésentation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Cooccurrences!$A$7:$A$21</c:f>
              <c:strCache>
                <c:ptCount val="15"/>
                <c:pt idx="0">
                  <c:v>bonté</c:v>
                </c:pt>
                <c:pt idx="1">
                  <c:v>miséricorde</c:v>
                </c:pt>
                <c:pt idx="2">
                  <c:v>fils</c:v>
                </c:pt>
                <c:pt idx="3">
                  <c:v>don</c:v>
                </c:pt>
                <c:pt idx="4">
                  <c:v>tendresse</c:v>
                </c:pt>
                <c:pt idx="5">
                  <c:v>esprit</c:v>
                </c:pt>
                <c:pt idx="6">
                  <c:v>amour</c:v>
                </c:pt>
                <c:pt idx="7">
                  <c:v>aimer</c:v>
                </c:pt>
                <c:pt idx="8">
                  <c:v>croire</c:v>
                </c:pt>
                <c:pt idx="9">
                  <c:v>cœur</c:v>
                </c:pt>
                <c:pt idx="10">
                  <c:v>enfant</c:v>
                </c:pt>
                <c:pt idx="11">
                  <c:v>vouloir</c:v>
                </c:pt>
                <c:pt idx="12">
                  <c:v>père</c:v>
                </c:pt>
                <c:pt idx="13">
                  <c:v>donner</c:v>
                </c:pt>
                <c:pt idx="14">
                  <c:v>paix</c:v>
                </c:pt>
              </c:strCache>
            </c:strRef>
          </c:cat>
          <c:val>
            <c:numRef>
              <c:f>Cooccurrences!$D$7:$D$21</c:f>
              <c:numCache>
                <c:formatCode>0.00</c:formatCode>
                <c:ptCount val="15"/>
                <c:pt idx="0">
                  <c:v>3.52</c:v>
                </c:pt>
                <c:pt idx="1">
                  <c:v>3.42</c:v>
                </c:pt>
                <c:pt idx="2">
                  <c:v>3.3848363294210868</c:v>
                </c:pt>
                <c:pt idx="3">
                  <c:v>3.04</c:v>
                </c:pt>
                <c:pt idx="4">
                  <c:v>2.92</c:v>
                </c:pt>
                <c:pt idx="5">
                  <c:v>2.646206802095258</c:v>
                </c:pt>
                <c:pt idx="6">
                  <c:v>2.3979957050823195</c:v>
                </c:pt>
                <c:pt idx="7">
                  <c:v>2.2192494239265863</c:v>
                </c:pt>
                <c:pt idx="8">
                  <c:v>1.9089777858756349</c:v>
                </c:pt>
                <c:pt idx="9">
                  <c:v>1.8163288099625845</c:v>
                </c:pt>
                <c:pt idx="10">
                  <c:v>1.7699460429899794</c:v>
                </c:pt>
                <c:pt idx="11">
                  <c:v>1.6638039035617309</c:v>
                </c:pt>
                <c:pt idx="12">
                  <c:v>1.6477107028288129</c:v>
                </c:pt>
                <c:pt idx="13">
                  <c:v>1.54</c:v>
                </c:pt>
                <c:pt idx="14">
                  <c:v>1.25971232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18-4548-A102-D93AD3684D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844207"/>
        <c:axId val="40842287"/>
      </c:lineChart>
      <c:catAx>
        <c:axId val="163360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606127"/>
        <c:crosses val="autoZero"/>
        <c:auto val="1"/>
        <c:lblAlgn val="ctr"/>
        <c:lblOffset val="100"/>
        <c:noMultiLvlLbl val="0"/>
      </c:catAx>
      <c:valAx>
        <c:axId val="163360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607567"/>
        <c:crosses val="autoZero"/>
        <c:crossBetween val="between"/>
      </c:valAx>
      <c:valAx>
        <c:axId val="40842287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44207"/>
        <c:crosses val="max"/>
        <c:crossBetween val="between"/>
      </c:valAx>
      <c:catAx>
        <c:axId val="408442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08422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Cooccurrences!$B$23</c:f>
              <c:strCache>
                <c:ptCount val="1"/>
                <c:pt idx="0">
                  <c:v>Occurrences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Cooccurrences!$A$24:$A$50</c:f>
              <c:strCache>
                <c:ptCount val="27"/>
                <c:pt idx="0">
                  <c:v>règne</c:v>
                </c:pt>
                <c:pt idx="1">
                  <c:v>alliance</c:v>
                </c:pt>
                <c:pt idx="2">
                  <c:v>verbe</c:v>
                </c:pt>
                <c:pt idx="3">
                  <c:v>créateur</c:v>
                </c:pt>
                <c:pt idx="4">
                  <c:v>manifester</c:v>
                </c:pt>
                <c:pt idx="5">
                  <c:v>sauveur</c:v>
                </c:pt>
                <c:pt idx="6">
                  <c:v>révéler</c:v>
                </c:pt>
                <c:pt idx="7">
                  <c:v>créer</c:v>
                </c:pt>
                <c:pt idx="8">
                  <c:v>royaume</c:v>
                </c:pt>
                <c:pt idx="9">
                  <c:v>projet</c:v>
                </c:pt>
                <c:pt idx="10">
                  <c:v>peuple</c:v>
                </c:pt>
                <c:pt idx="11">
                  <c:v>création</c:v>
                </c:pt>
                <c:pt idx="12">
                  <c:v>bible</c:v>
                </c:pt>
                <c:pt idx="13">
                  <c:v>image</c:v>
                </c:pt>
                <c:pt idx="14">
                  <c:v>homme</c:v>
                </c:pt>
                <c:pt idx="15">
                  <c:v>puissance</c:v>
                </c:pt>
                <c:pt idx="16">
                  <c:v>parole</c:v>
                </c:pt>
                <c:pt idx="17">
                  <c:v>présence</c:v>
                </c:pt>
                <c:pt idx="18">
                  <c:v>saint</c:v>
                </c:pt>
                <c:pt idx="19">
                  <c:v>appeler</c:v>
                </c:pt>
                <c:pt idx="20">
                  <c:v>humain</c:v>
                </c:pt>
                <c:pt idx="21">
                  <c:v>justice</c:v>
                </c:pt>
                <c:pt idx="22">
                  <c:v>terre</c:v>
                </c:pt>
                <c:pt idx="23">
                  <c:v>monde</c:v>
                </c:pt>
                <c:pt idx="24">
                  <c:v>venir</c:v>
                </c:pt>
                <c:pt idx="25">
                  <c:v>vivre</c:v>
                </c:pt>
                <c:pt idx="26">
                  <c:v>vie</c:v>
                </c:pt>
              </c:strCache>
            </c:strRef>
          </c:cat>
          <c:val>
            <c:numRef>
              <c:f>Cooccurrences!$B$24:$B$50</c:f>
              <c:numCache>
                <c:formatCode>General</c:formatCode>
                <c:ptCount val="27"/>
                <c:pt idx="0">
                  <c:v>248</c:v>
                </c:pt>
                <c:pt idx="1">
                  <c:v>460</c:v>
                </c:pt>
                <c:pt idx="2">
                  <c:v>268</c:v>
                </c:pt>
                <c:pt idx="3">
                  <c:v>346</c:v>
                </c:pt>
                <c:pt idx="4">
                  <c:v>266</c:v>
                </c:pt>
                <c:pt idx="5">
                  <c:v>272</c:v>
                </c:pt>
                <c:pt idx="6">
                  <c:v>1083</c:v>
                </c:pt>
                <c:pt idx="7">
                  <c:v>580</c:v>
                </c:pt>
                <c:pt idx="8">
                  <c:v>1445</c:v>
                </c:pt>
                <c:pt idx="9">
                  <c:v>421</c:v>
                </c:pt>
                <c:pt idx="10">
                  <c:v>2127</c:v>
                </c:pt>
                <c:pt idx="11">
                  <c:v>434</c:v>
                </c:pt>
                <c:pt idx="12">
                  <c:v>465</c:v>
                </c:pt>
                <c:pt idx="13">
                  <c:v>1248</c:v>
                </c:pt>
                <c:pt idx="14">
                  <c:v>12415</c:v>
                </c:pt>
                <c:pt idx="15">
                  <c:v>757</c:v>
                </c:pt>
                <c:pt idx="16">
                  <c:v>5177</c:v>
                </c:pt>
                <c:pt idx="17">
                  <c:v>1506</c:v>
                </c:pt>
                <c:pt idx="18">
                  <c:v>3779</c:v>
                </c:pt>
                <c:pt idx="19">
                  <c:v>2589</c:v>
                </c:pt>
                <c:pt idx="20">
                  <c:v>2429</c:v>
                </c:pt>
                <c:pt idx="21">
                  <c:v>978</c:v>
                </c:pt>
                <c:pt idx="22">
                  <c:v>2299</c:v>
                </c:pt>
                <c:pt idx="23">
                  <c:v>6863</c:v>
                </c:pt>
                <c:pt idx="24">
                  <c:v>6666</c:v>
                </c:pt>
                <c:pt idx="25">
                  <c:v>5490</c:v>
                </c:pt>
                <c:pt idx="26">
                  <c:v>13040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CB-4613-906D-7FD5E87AFE84}"/>
            </c:ext>
          </c:extLst>
        </c:ser>
        <c:ser>
          <c:idx val="0"/>
          <c:order val="1"/>
          <c:tx>
            <c:strRef>
              <c:f>Cooccurrences!$C$23</c:f>
              <c:strCache>
                <c:ptCount val="1"/>
                <c:pt idx="0">
                  <c:v>Cooccurrences avec Dieu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Cooccurrences!$A$24:$A$50</c:f>
              <c:strCache>
                <c:ptCount val="27"/>
                <c:pt idx="0">
                  <c:v>règne</c:v>
                </c:pt>
                <c:pt idx="1">
                  <c:v>alliance</c:v>
                </c:pt>
                <c:pt idx="2">
                  <c:v>verbe</c:v>
                </c:pt>
                <c:pt idx="3">
                  <c:v>créateur</c:v>
                </c:pt>
                <c:pt idx="4">
                  <c:v>manifester</c:v>
                </c:pt>
                <c:pt idx="5">
                  <c:v>sauveur</c:v>
                </c:pt>
                <c:pt idx="6">
                  <c:v>révéler</c:v>
                </c:pt>
                <c:pt idx="7">
                  <c:v>créer</c:v>
                </c:pt>
                <c:pt idx="8">
                  <c:v>royaume</c:v>
                </c:pt>
                <c:pt idx="9">
                  <c:v>projet</c:v>
                </c:pt>
                <c:pt idx="10">
                  <c:v>peuple</c:v>
                </c:pt>
                <c:pt idx="11">
                  <c:v>création</c:v>
                </c:pt>
                <c:pt idx="12">
                  <c:v>bible</c:v>
                </c:pt>
                <c:pt idx="13">
                  <c:v>image</c:v>
                </c:pt>
                <c:pt idx="14">
                  <c:v>homme</c:v>
                </c:pt>
                <c:pt idx="15">
                  <c:v>puissance</c:v>
                </c:pt>
                <c:pt idx="16">
                  <c:v>parole</c:v>
                </c:pt>
                <c:pt idx="17">
                  <c:v>présence</c:v>
                </c:pt>
                <c:pt idx="18">
                  <c:v>saint</c:v>
                </c:pt>
                <c:pt idx="19">
                  <c:v>appeler</c:v>
                </c:pt>
                <c:pt idx="20">
                  <c:v>humain</c:v>
                </c:pt>
                <c:pt idx="21">
                  <c:v>justice</c:v>
                </c:pt>
                <c:pt idx="22">
                  <c:v>terre</c:v>
                </c:pt>
                <c:pt idx="23">
                  <c:v>monde</c:v>
                </c:pt>
                <c:pt idx="24">
                  <c:v>venir</c:v>
                </c:pt>
                <c:pt idx="25">
                  <c:v>vivre</c:v>
                </c:pt>
                <c:pt idx="26">
                  <c:v>vie</c:v>
                </c:pt>
              </c:strCache>
            </c:strRef>
          </c:cat>
          <c:val>
            <c:numRef>
              <c:f>Cooccurrences!$C$24:$C$50</c:f>
              <c:numCache>
                <c:formatCode>General</c:formatCode>
                <c:ptCount val="27"/>
                <c:pt idx="0">
                  <c:v>137</c:v>
                </c:pt>
                <c:pt idx="1">
                  <c:v>225</c:v>
                </c:pt>
                <c:pt idx="2">
                  <c:v>127</c:v>
                </c:pt>
                <c:pt idx="3">
                  <c:v>150</c:v>
                </c:pt>
                <c:pt idx="4">
                  <c:v>110</c:v>
                </c:pt>
                <c:pt idx="5">
                  <c:v>111</c:v>
                </c:pt>
                <c:pt idx="6">
                  <c:v>431</c:v>
                </c:pt>
                <c:pt idx="7">
                  <c:v>227</c:v>
                </c:pt>
                <c:pt idx="8">
                  <c:v>541</c:v>
                </c:pt>
                <c:pt idx="9">
                  <c:v>157</c:v>
                </c:pt>
                <c:pt idx="10">
                  <c:v>789</c:v>
                </c:pt>
                <c:pt idx="11">
                  <c:v>149</c:v>
                </c:pt>
                <c:pt idx="12">
                  <c:v>157</c:v>
                </c:pt>
                <c:pt idx="13">
                  <c:v>405</c:v>
                </c:pt>
                <c:pt idx="14">
                  <c:v>3934</c:v>
                </c:pt>
                <c:pt idx="15">
                  <c:v>229</c:v>
                </c:pt>
                <c:pt idx="16">
                  <c:v>1529</c:v>
                </c:pt>
                <c:pt idx="17">
                  <c:v>419</c:v>
                </c:pt>
                <c:pt idx="18">
                  <c:v>984</c:v>
                </c:pt>
                <c:pt idx="19">
                  <c:v>641</c:v>
                </c:pt>
                <c:pt idx="20">
                  <c:v>600</c:v>
                </c:pt>
                <c:pt idx="21">
                  <c:v>226</c:v>
                </c:pt>
                <c:pt idx="22">
                  <c:v>505</c:v>
                </c:pt>
                <c:pt idx="23">
                  <c:v>1393</c:v>
                </c:pt>
                <c:pt idx="24">
                  <c:v>1294</c:v>
                </c:pt>
                <c:pt idx="25">
                  <c:v>1039</c:v>
                </c:pt>
                <c:pt idx="26">
                  <c:v>2438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CB-4613-906D-7FD5E87AF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3607567"/>
        <c:axId val="1633606127"/>
      </c:barChart>
      <c:lineChart>
        <c:grouping val="standard"/>
        <c:varyColors val="0"/>
        <c:ser>
          <c:idx val="2"/>
          <c:order val="2"/>
          <c:tx>
            <c:strRef>
              <c:f>Cooccurrences!$D$23</c:f>
              <c:strCache>
                <c:ptCount val="1"/>
                <c:pt idx="0">
                  <c:v>Indice de surreprésentation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Cooccurrences!$A$24:$A$50</c:f>
              <c:strCache>
                <c:ptCount val="27"/>
                <c:pt idx="0">
                  <c:v>règne</c:v>
                </c:pt>
                <c:pt idx="1">
                  <c:v>alliance</c:v>
                </c:pt>
                <c:pt idx="2">
                  <c:v>verbe</c:v>
                </c:pt>
                <c:pt idx="3">
                  <c:v>créateur</c:v>
                </c:pt>
                <c:pt idx="4">
                  <c:v>manifester</c:v>
                </c:pt>
                <c:pt idx="5">
                  <c:v>sauveur</c:v>
                </c:pt>
                <c:pt idx="6">
                  <c:v>révéler</c:v>
                </c:pt>
                <c:pt idx="7">
                  <c:v>créer</c:v>
                </c:pt>
                <c:pt idx="8">
                  <c:v>royaume</c:v>
                </c:pt>
                <c:pt idx="9">
                  <c:v>projet</c:v>
                </c:pt>
                <c:pt idx="10">
                  <c:v>peuple</c:v>
                </c:pt>
                <c:pt idx="11">
                  <c:v>création</c:v>
                </c:pt>
                <c:pt idx="12">
                  <c:v>bible</c:v>
                </c:pt>
                <c:pt idx="13">
                  <c:v>image</c:v>
                </c:pt>
                <c:pt idx="14">
                  <c:v>homme</c:v>
                </c:pt>
                <c:pt idx="15">
                  <c:v>puissance</c:v>
                </c:pt>
                <c:pt idx="16">
                  <c:v>parole</c:v>
                </c:pt>
                <c:pt idx="17">
                  <c:v>présence</c:v>
                </c:pt>
                <c:pt idx="18">
                  <c:v>saint</c:v>
                </c:pt>
                <c:pt idx="19">
                  <c:v>appeler</c:v>
                </c:pt>
                <c:pt idx="20">
                  <c:v>humain</c:v>
                </c:pt>
                <c:pt idx="21">
                  <c:v>justice</c:v>
                </c:pt>
                <c:pt idx="22">
                  <c:v>terre</c:v>
                </c:pt>
                <c:pt idx="23">
                  <c:v>monde</c:v>
                </c:pt>
                <c:pt idx="24">
                  <c:v>venir</c:v>
                </c:pt>
                <c:pt idx="25">
                  <c:v>vivre</c:v>
                </c:pt>
                <c:pt idx="26">
                  <c:v>vie</c:v>
                </c:pt>
              </c:strCache>
            </c:strRef>
          </c:cat>
          <c:val>
            <c:numRef>
              <c:f>Cooccurrences!$D$24:$D$50</c:f>
              <c:numCache>
                <c:formatCode>0.00</c:formatCode>
                <c:ptCount val="27"/>
                <c:pt idx="0">
                  <c:v>4.3499999999999996</c:v>
                </c:pt>
                <c:pt idx="1">
                  <c:v>3.85</c:v>
                </c:pt>
                <c:pt idx="2">
                  <c:v>3.7313432835820892</c:v>
                </c:pt>
                <c:pt idx="3">
                  <c:v>3.41</c:v>
                </c:pt>
                <c:pt idx="4">
                  <c:v>3.26</c:v>
                </c:pt>
                <c:pt idx="5">
                  <c:v>3.21</c:v>
                </c:pt>
                <c:pt idx="6">
                  <c:v>3.13</c:v>
                </c:pt>
                <c:pt idx="7">
                  <c:v>3.08</c:v>
                </c:pt>
                <c:pt idx="8">
                  <c:v>2.95</c:v>
                </c:pt>
                <c:pt idx="9">
                  <c:v>2.94</c:v>
                </c:pt>
                <c:pt idx="10">
                  <c:v>2.9208267161245183</c:v>
                </c:pt>
                <c:pt idx="11">
                  <c:v>2.7</c:v>
                </c:pt>
                <c:pt idx="12">
                  <c:v>2.66</c:v>
                </c:pt>
                <c:pt idx="13">
                  <c:v>2.56</c:v>
                </c:pt>
                <c:pt idx="14">
                  <c:v>2.49507675817607</c:v>
                </c:pt>
                <c:pt idx="15">
                  <c:v>2.3819677800000001</c:v>
                </c:pt>
                <c:pt idx="16">
                  <c:v>2.3255495612787636</c:v>
                </c:pt>
                <c:pt idx="17">
                  <c:v>2.1907122167497985</c:v>
                </c:pt>
                <c:pt idx="18">
                  <c:v>2.0502861857800987</c:v>
                </c:pt>
                <c:pt idx="19">
                  <c:v>1.95</c:v>
                </c:pt>
                <c:pt idx="20">
                  <c:v>1.9450018315433915</c:v>
                </c:pt>
                <c:pt idx="21">
                  <c:v>1.8195578299999999</c:v>
                </c:pt>
                <c:pt idx="22">
                  <c:v>1.7296119846698153</c:v>
                </c:pt>
                <c:pt idx="23">
                  <c:v>1.598208354510837</c:v>
                </c:pt>
                <c:pt idx="24">
                  <c:v>1.53</c:v>
                </c:pt>
                <c:pt idx="25">
                  <c:v>1.4901825796365618</c:v>
                </c:pt>
                <c:pt idx="26">
                  <c:v>1.4721511038114101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CB-4613-906D-7FD5E87AF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844207"/>
        <c:axId val="40842287"/>
      </c:lineChart>
      <c:catAx>
        <c:axId val="163360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606127"/>
        <c:crosses val="autoZero"/>
        <c:auto val="1"/>
        <c:lblAlgn val="ctr"/>
        <c:lblOffset val="100"/>
        <c:noMultiLvlLbl val="0"/>
      </c:catAx>
      <c:valAx>
        <c:axId val="163360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607567"/>
        <c:crosses val="autoZero"/>
        <c:crossBetween val="between"/>
      </c:valAx>
      <c:valAx>
        <c:axId val="40842287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44207"/>
        <c:crosses val="max"/>
        <c:crossBetween val="between"/>
      </c:valAx>
      <c:catAx>
        <c:axId val="408442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08422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Cooccurrences!$B$54</c:f>
              <c:strCache>
                <c:ptCount val="1"/>
                <c:pt idx="0">
                  <c:v>Occurrences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Cooccurrences!$A$55:$A$75</c:f>
              <c:strCache>
                <c:ptCount val="21"/>
                <c:pt idx="0">
                  <c:v>prédication</c:v>
                </c:pt>
                <c:pt idx="1">
                  <c:v>dénoncer</c:v>
                </c:pt>
                <c:pt idx="2">
                  <c:v>enseignem,</c:v>
                </c:pt>
                <c:pt idx="3">
                  <c:v>autorité</c:v>
                </c:pt>
                <c:pt idx="4">
                  <c:v>désigner</c:v>
                </c:pt>
                <c:pt idx="5">
                  <c:v>prononcer</c:v>
                </c:pt>
                <c:pt idx="6">
                  <c:v>révéler</c:v>
                </c:pt>
                <c:pt idx="7">
                  <c:v>annoncer</c:v>
                </c:pt>
                <c:pt idx="8">
                  <c:v>raconter</c:v>
                </c:pt>
                <c:pt idx="9">
                  <c:v>récit</c:v>
                </c:pt>
                <c:pt idx="10">
                  <c:v>parabole</c:v>
                </c:pt>
                <c:pt idx="11">
                  <c:v>manifester</c:v>
                </c:pt>
                <c:pt idx="12">
                  <c:v>promettre</c:v>
                </c:pt>
                <c:pt idx="13">
                  <c:v>demander</c:v>
                </c:pt>
                <c:pt idx="14">
                  <c:v>proclamer</c:v>
                </c:pt>
                <c:pt idx="15">
                  <c:v>montrer</c:v>
                </c:pt>
                <c:pt idx="16">
                  <c:v>rencontrer</c:v>
                </c:pt>
                <c:pt idx="17">
                  <c:v>inviter</c:v>
                </c:pt>
                <c:pt idx="18">
                  <c:v>parole</c:v>
                </c:pt>
                <c:pt idx="19">
                  <c:v>dire</c:v>
                </c:pt>
                <c:pt idx="20">
                  <c:v>parler</c:v>
                </c:pt>
              </c:strCache>
            </c:strRef>
          </c:cat>
          <c:val>
            <c:numRef>
              <c:f>Cooccurrences!$B$55:$B$75</c:f>
              <c:numCache>
                <c:formatCode>General</c:formatCode>
                <c:ptCount val="21"/>
                <c:pt idx="0">
                  <c:v>133</c:v>
                </c:pt>
                <c:pt idx="1">
                  <c:v>154</c:v>
                </c:pt>
                <c:pt idx="2">
                  <c:v>229</c:v>
                </c:pt>
                <c:pt idx="3">
                  <c:v>267</c:v>
                </c:pt>
                <c:pt idx="4">
                  <c:v>205</c:v>
                </c:pt>
                <c:pt idx="5">
                  <c:v>317</c:v>
                </c:pt>
                <c:pt idx="6">
                  <c:v>1083</c:v>
                </c:pt>
                <c:pt idx="7">
                  <c:v>1443</c:v>
                </c:pt>
                <c:pt idx="8">
                  <c:v>459</c:v>
                </c:pt>
                <c:pt idx="9">
                  <c:v>596</c:v>
                </c:pt>
                <c:pt idx="10">
                  <c:v>803</c:v>
                </c:pt>
                <c:pt idx="11">
                  <c:v>449</c:v>
                </c:pt>
                <c:pt idx="12">
                  <c:v>453</c:v>
                </c:pt>
                <c:pt idx="13">
                  <c:v>1173</c:v>
                </c:pt>
                <c:pt idx="14">
                  <c:v>694</c:v>
                </c:pt>
                <c:pt idx="15">
                  <c:v>565</c:v>
                </c:pt>
                <c:pt idx="16">
                  <c:v>1007</c:v>
                </c:pt>
                <c:pt idx="17">
                  <c:v>968</c:v>
                </c:pt>
                <c:pt idx="18">
                  <c:v>5177</c:v>
                </c:pt>
                <c:pt idx="19">
                  <c:v>14163</c:v>
                </c:pt>
                <c:pt idx="20">
                  <c:v>3383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4D-48F2-8301-D69A670126B4}"/>
            </c:ext>
          </c:extLst>
        </c:ser>
        <c:ser>
          <c:idx val="0"/>
          <c:order val="1"/>
          <c:tx>
            <c:strRef>
              <c:f>Cooccurrences!$C$54</c:f>
              <c:strCache>
                <c:ptCount val="1"/>
                <c:pt idx="0">
                  <c:v>Cooccurrences avec Jésus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Cooccurrences!$A$55:$A$75</c:f>
              <c:strCache>
                <c:ptCount val="21"/>
                <c:pt idx="0">
                  <c:v>prédication</c:v>
                </c:pt>
                <c:pt idx="1">
                  <c:v>dénoncer</c:v>
                </c:pt>
                <c:pt idx="2">
                  <c:v>enseignem,</c:v>
                </c:pt>
                <c:pt idx="3">
                  <c:v>autorité</c:v>
                </c:pt>
                <c:pt idx="4">
                  <c:v>désigner</c:v>
                </c:pt>
                <c:pt idx="5">
                  <c:v>prononcer</c:v>
                </c:pt>
                <c:pt idx="6">
                  <c:v>révéler</c:v>
                </c:pt>
                <c:pt idx="7">
                  <c:v>annoncer</c:v>
                </c:pt>
                <c:pt idx="8">
                  <c:v>raconter</c:v>
                </c:pt>
                <c:pt idx="9">
                  <c:v>récit</c:v>
                </c:pt>
                <c:pt idx="10">
                  <c:v>parabole</c:v>
                </c:pt>
                <c:pt idx="11">
                  <c:v>manifester</c:v>
                </c:pt>
                <c:pt idx="12">
                  <c:v>promettre</c:v>
                </c:pt>
                <c:pt idx="13">
                  <c:v>demander</c:v>
                </c:pt>
                <c:pt idx="14">
                  <c:v>proclamer</c:v>
                </c:pt>
                <c:pt idx="15">
                  <c:v>montrer</c:v>
                </c:pt>
                <c:pt idx="16">
                  <c:v>rencontrer</c:v>
                </c:pt>
                <c:pt idx="17">
                  <c:v>inviter</c:v>
                </c:pt>
                <c:pt idx="18">
                  <c:v>parole</c:v>
                </c:pt>
                <c:pt idx="19">
                  <c:v>dire</c:v>
                </c:pt>
                <c:pt idx="20">
                  <c:v>parler</c:v>
                </c:pt>
              </c:strCache>
            </c:strRef>
          </c:cat>
          <c:val>
            <c:numRef>
              <c:f>Cooccurrences!$C$55:$C$75</c:f>
              <c:numCache>
                <c:formatCode>General</c:formatCode>
                <c:ptCount val="21"/>
                <c:pt idx="0">
                  <c:v>43</c:v>
                </c:pt>
                <c:pt idx="1">
                  <c:v>49</c:v>
                </c:pt>
                <c:pt idx="2">
                  <c:v>72</c:v>
                </c:pt>
                <c:pt idx="3">
                  <c:v>71</c:v>
                </c:pt>
                <c:pt idx="4">
                  <c:v>54</c:v>
                </c:pt>
                <c:pt idx="5">
                  <c:v>81</c:v>
                </c:pt>
                <c:pt idx="6">
                  <c:v>275</c:v>
                </c:pt>
                <c:pt idx="7">
                  <c:v>359</c:v>
                </c:pt>
                <c:pt idx="8">
                  <c:v>108</c:v>
                </c:pt>
                <c:pt idx="9">
                  <c:v>138</c:v>
                </c:pt>
                <c:pt idx="10">
                  <c:v>182</c:v>
                </c:pt>
                <c:pt idx="11">
                  <c:v>100</c:v>
                </c:pt>
                <c:pt idx="12">
                  <c:v>100</c:v>
                </c:pt>
                <c:pt idx="13">
                  <c:v>249</c:v>
                </c:pt>
                <c:pt idx="14">
                  <c:v>145</c:v>
                </c:pt>
                <c:pt idx="15">
                  <c:v>118</c:v>
                </c:pt>
                <c:pt idx="16">
                  <c:v>202</c:v>
                </c:pt>
                <c:pt idx="17">
                  <c:v>194</c:v>
                </c:pt>
                <c:pt idx="18">
                  <c:v>1023</c:v>
                </c:pt>
                <c:pt idx="19">
                  <c:v>2627</c:v>
                </c:pt>
                <c:pt idx="20">
                  <c:v>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4D-48F2-8301-D69A67012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3607567"/>
        <c:axId val="1633606127"/>
      </c:barChart>
      <c:lineChart>
        <c:grouping val="standard"/>
        <c:varyColors val="0"/>
        <c:ser>
          <c:idx val="2"/>
          <c:order val="2"/>
          <c:tx>
            <c:strRef>
              <c:f>Cooccurrences!$D$54</c:f>
              <c:strCache>
                <c:ptCount val="1"/>
                <c:pt idx="0">
                  <c:v>Indice de surreprésentation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Cooccurrences!$A$55:$A$75</c:f>
              <c:strCache>
                <c:ptCount val="21"/>
                <c:pt idx="0">
                  <c:v>prédication</c:v>
                </c:pt>
                <c:pt idx="1">
                  <c:v>dénoncer</c:v>
                </c:pt>
                <c:pt idx="2">
                  <c:v>enseignem,</c:v>
                </c:pt>
                <c:pt idx="3">
                  <c:v>autorité</c:v>
                </c:pt>
                <c:pt idx="4">
                  <c:v>désigner</c:v>
                </c:pt>
                <c:pt idx="5">
                  <c:v>prononcer</c:v>
                </c:pt>
                <c:pt idx="6">
                  <c:v>révéler</c:v>
                </c:pt>
                <c:pt idx="7">
                  <c:v>annoncer</c:v>
                </c:pt>
                <c:pt idx="8">
                  <c:v>raconter</c:v>
                </c:pt>
                <c:pt idx="9">
                  <c:v>récit</c:v>
                </c:pt>
                <c:pt idx="10">
                  <c:v>parabole</c:v>
                </c:pt>
                <c:pt idx="11">
                  <c:v>manifester</c:v>
                </c:pt>
                <c:pt idx="12">
                  <c:v>promettre</c:v>
                </c:pt>
                <c:pt idx="13">
                  <c:v>demander</c:v>
                </c:pt>
                <c:pt idx="14">
                  <c:v>proclamer</c:v>
                </c:pt>
                <c:pt idx="15">
                  <c:v>montrer</c:v>
                </c:pt>
                <c:pt idx="16">
                  <c:v>rencontrer</c:v>
                </c:pt>
                <c:pt idx="17">
                  <c:v>inviter</c:v>
                </c:pt>
                <c:pt idx="18">
                  <c:v>parole</c:v>
                </c:pt>
                <c:pt idx="19">
                  <c:v>dire</c:v>
                </c:pt>
                <c:pt idx="20">
                  <c:v>parler</c:v>
                </c:pt>
              </c:strCache>
            </c:strRef>
          </c:cat>
          <c:val>
            <c:numRef>
              <c:f>Cooccurrences!$D$55:$D$75</c:f>
              <c:numCache>
                <c:formatCode>0.00</c:formatCode>
                <c:ptCount val="21"/>
                <c:pt idx="0">
                  <c:v>3.233082706766917</c:v>
                </c:pt>
                <c:pt idx="1">
                  <c:v>3.1818181818181817</c:v>
                </c:pt>
                <c:pt idx="2">
                  <c:v>3.1441048034934496</c:v>
                </c:pt>
                <c:pt idx="3">
                  <c:v>2.6591760299625467</c:v>
                </c:pt>
                <c:pt idx="4">
                  <c:v>2.6341463414634148</c:v>
                </c:pt>
                <c:pt idx="5">
                  <c:v>2.5552050473186121</c:v>
                </c:pt>
                <c:pt idx="6">
                  <c:v>2.5392428439519854</c:v>
                </c:pt>
                <c:pt idx="7">
                  <c:v>2.4878724878724876</c:v>
                </c:pt>
                <c:pt idx="8">
                  <c:v>2.3529411764705879</c:v>
                </c:pt>
                <c:pt idx="9">
                  <c:v>2.3154362416107381</c:v>
                </c:pt>
                <c:pt idx="10">
                  <c:v>2.266500622665006</c:v>
                </c:pt>
                <c:pt idx="11">
                  <c:v>2.2271714922048997</c:v>
                </c:pt>
                <c:pt idx="12">
                  <c:v>2.2075055187637966</c:v>
                </c:pt>
                <c:pt idx="13">
                  <c:v>2.1227621483375958</c:v>
                </c:pt>
                <c:pt idx="14">
                  <c:v>2.0893371757925072</c:v>
                </c:pt>
                <c:pt idx="15">
                  <c:v>2.0884955752212386</c:v>
                </c:pt>
                <c:pt idx="16">
                  <c:v>2.0059582919563059</c:v>
                </c:pt>
                <c:pt idx="17">
                  <c:v>2.0041322314049586</c:v>
                </c:pt>
                <c:pt idx="18">
                  <c:v>1.9760479041916168</c:v>
                </c:pt>
                <c:pt idx="19">
                  <c:v>1.8548330156040387</c:v>
                </c:pt>
                <c:pt idx="20">
                  <c:v>1.7676618386047886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4D-48F2-8301-D69A67012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844207"/>
        <c:axId val="40842287"/>
      </c:lineChart>
      <c:catAx>
        <c:axId val="163360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606127"/>
        <c:crosses val="autoZero"/>
        <c:auto val="1"/>
        <c:lblAlgn val="ctr"/>
        <c:lblOffset val="100"/>
        <c:noMultiLvlLbl val="0"/>
      </c:catAx>
      <c:valAx>
        <c:axId val="163360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607567"/>
        <c:crosses val="autoZero"/>
        <c:crossBetween val="between"/>
      </c:valAx>
      <c:valAx>
        <c:axId val="40842287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44207"/>
        <c:crosses val="max"/>
        <c:crossBetween val="between"/>
      </c:valAx>
      <c:catAx>
        <c:axId val="408442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08422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Cooccurrences!$B$54</c:f>
              <c:strCache>
                <c:ptCount val="1"/>
                <c:pt idx="0">
                  <c:v>Occurrences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Cooccurrences!$A$78:$A$89</c:f>
              <c:strCache>
                <c:ptCount val="12"/>
                <c:pt idx="0">
                  <c:v>sauveur</c:v>
                </c:pt>
                <c:pt idx="1">
                  <c:v>croix</c:v>
                </c:pt>
                <c:pt idx="2">
                  <c:v>ressuscité</c:v>
                </c:pt>
                <c:pt idx="3">
                  <c:v>guérir</c:v>
                </c:pt>
                <c:pt idx="4">
                  <c:v>résurrection</c:v>
                </c:pt>
                <c:pt idx="5">
                  <c:v>ressusciter</c:v>
                </c:pt>
                <c:pt idx="6">
                  <c:v>père</c:v>
                </c:pt>
                <c:pt idx="7">
                  <c:v>fils</c:v>
                </c:pt>
                <c:pt idx="8">
                  <c:v>esprit</c:v>
                </c:pt>
                <c:pt idx="9">
                  <c:v>mort</c:v>
                </c:pt>
                <c:pt idx="10">
                  <c:v>saint</c:v>
                </c:pt>
                <c:pt idx="11">
                  <c:v>Christ</c:v>
                </c:pt>
              </c:strCache>
            </c:strRef>
          </c:cat>
          <c:val>
            <c:numRef>
              <c:f>Cooccurrences!$B$78:$B$89</c:f>
              <c:numCache>
                <c:formatCode>General</c:formatCode>
                <c:ptCount val="12"/>
                <c:pt idx="0">
                  <c:v>272</c:v>
                </c:pt>
                <c:pt idx="1">
                  <c:v>1161</c:v>
                </c:pt>
                <c:pt idx="2">
                  <c:v>886</c:v>
                </c:pt>
                <c:pt idx="3">
                  <c:v>526</c:v>
                </c:pt>
                <c:pt idx="4">
                  <c:v>1326</c:v>
                </c:pt>
                <c:pt idx="5">
                  <c:v>740</c:v>
                </c:pt>
                <c:pt idx="6">
                  <c:v>4320</c:v>
                </c:pt>
                <c:pt idx="7">
                  <c:v>3180</c:v>
                </c:pt>
                <c:pt idx="8">
                  <c:v>3047</c:v>
                </c:pt>
                <c:pt idx="9">
                  <c:v>4270</c:v>
                </c:pt>
                <c:pt idx="10">
                  <c:v>3779</c:v>
                </c:pt>
                <c:pt idx="11">
                  <c:v>9773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F7-40A4-BA43-FAB74463E587}"/>
            </c:ext>
          </c:extLst>
        </c:ser>
        <c:ser>
          <c:idx val="0"/>
          <c:order val="1"/>
          <c:tx>
            <c:strRef>
              <c:f>Cooccurrences!$C$54</c:f>
              <c:strCache>
                <c:ptCount val="1"/>
                <c:pt idx="0">
                  <c:v>Cooccurrences avec Jésus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Cooccurrences!$A$78:$A$89</c:f>
              <c:strCache>
                <c:ptCount val="12"/>
                <c:pt idx="0">
                  <c:v>sauveur</c:v>
                </c:pt>
                <c:pt idx="1">
                  <c:v>croix</c:v>
                </c:pt>
                <c:pt idx="2">
                  <c:v>ressuscité</c:v>
                </c:pt>
                <c:pt idx="3">
                  <c:v>guérir</c:v>
                </c:pt>
                <c:pt idx="4">
                  <c:v>résurrection</c:v>
                </c:pt>
                <c:pt idx="5">
                  <c:v>ressusciter</c:v>
                </c:pt>
                <c:pt idx="6">
                  <c:v>père</c:v>
                </c:pt>
                <c:pt idx="7">
                  <c:v>fils</c:v>
                </c:pt>
                <c:pt idx="8">
                  <c:v>esprit</c:v>
                </c:pt>
                <c:pt idx="9">
                  <c:v>mort</c:v>
                </c:pt>
                <c:pt idx="10">
                  <c:v>saint</c:v>
                </c:pt>
                <c:pt idx="11">
                  <c:v>Christ</c:v>
                </c:pt>
              </c:strCache>
            </c:strRef>
          </c:cat>
          <c:val>
            <c:numRef>
              <c:f>Cooccurrences!$C$78:$C$89</c:f>
              <c:numCache>
                <c:formatCode>General</c:formatCode>
                <c:ptCount val="12"/>
                <c:pt idx="0">
                  <c:v>137</c:v>
                </c:pt>
                <c:pt idx="1">
                  <c:v>388</c:v>
                </c:pt>
                <c:pt idx="2">
                  <c:v>269</c:v>
                </c:pt>
                <c:pt idx="3">
                  <c:v>157</c:v>
                </c:pt>
                <c:pt idx="4">
                  <c:v>379</c:v>
                </c:pt>
                <c:pt idx="5">
                  <c:v>203</c:v>
                </c:pt>
                <c:pt idx="6">
                  <c:v>956</c:v>
                </c:pt>
                <c:pt idx="7">
                  <c:v>669</c:v>
                </c:pt>
                <c:pt idx="8">
                  <c:v>640</c:v>
                </c:pt>
                <c:pt idx="9">
                  <c:v>863</c:v>
                </c:pt>
                <c:pt idx="10">
                  <c:v>667</c:v>
                </c:pt>
                <c:pt idx="11">
                  <c:v>2173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F7-40A4-BA43-FAB74463E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3607567"/>
        <c:axId val="1633606127"/>
      </c:barChart>
      <c:lineChart>
        <c:grouping val="standard"/>
        <c:varyColors val="0"/>
        <c:ser>
          <c:idx val="2"/>
          <c:order val="2"/>
          <c:tx>
            <c:strRef>
              <c:f>Cooccurrences!$D$54</c:f>
              <c:strCache>
                <c:ptCount val="1"/>
                <c:pt idx="0">
                  <c:v>Indice de surreprésentation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Cooccurrences!$A$78:$A$89</c:f>
              <c:strCache>
                <c:ptCount val="12"/>
                <c:pt idx="0">
                  <c:v>sauveur</c:v>
                </c:pt>
                <c:pt idx="1">
                  <c:v>croix</c:v>
                </c:pt>
                <c:pt idx="2">
                  <c:v>ressuscité</c:v>
                </c:pt>
                <c:pt idx="3">
                  <c:v>guérir</c:v>
                </c:pt>
                <c:pt idx="4">
                  <c:v>résurrection</c:v>
                </c:pt>
                <c:pt idx="5">
                  <c:v>ressusciter</c:v>
                </c:pt>
                <c:pt idx="6">
                  <c:v>père</c:v>
                </c:pt>
                <c:pt idx="7">
                  <c:v>fils</c:v>
                </c:pt>
                <c:pt idx="8">
                  <c:v>esprit</c:v>
                </c:pt>
                <c:pt idx="9">
                  <c:v>mort</c:v>
                </c:pt>
                <c:pt idx="10">
                  <c:v>saint</c:v>
                </c:pt>
                <c:pt idx="11">
                  <c:v>Christ</c:v>
                </c:pt>
              </c:strCache>
            </c:strRef>
          </c:cat>
          <c:val>
            <c:numRef>
              <c:f>Cooccurrences!$D$78:$D$89</c:f>
              <c:numCache>
                <c:formatCode>0.00</c:formatCode>
                <c:ptCount val="12"/>
                <c:pt idx="0">
                  <c:v>5.0367647058823524</c:v>
                </c:pt>
                <c:pt idx="1">
                  <c:v>3.3419465977605509</c:v>
                </c:pt>
                <c:pt idx="2">
                  <c:v>3.0361173814898414</c:v>
                </c:pt>
                <c:pt idx="3">
                  <c:v>2.9847908745247147</c:v>
                </c:pt>
                <c:pt idx="4">
                  <c:v>2.8582202111613872</c:v>
                </c:pt>
                <c:pt idx="5">
                  <c:v>2.743243243243243</c:v>
                </c:pt>
                <c:pt idx="6">
                  <c:v>2.2129629629629628</c:v>
                </c:pt>
                <c:pt idx="7">
                  <c:v>2.1037735849056602</c:v>
                </c:pt>
                <c:pt idx="8">
                  <c:v>2.1004266491631109</c:v>
                </c:pt>
                <c:pt idx="9">
                  <c:v>2.0210772833723651</c:v>
                </c:pt>
                <c:pt idx="10">
                  <c:v>1.7650172003175442</c:v>
                </c:pt>
                <c:pt idx="11">
                  <c:v>1.6327557167994544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F7-40A4-BA43-FAB74463E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844207"/>
        <c:axId val="40842287"/>
      </c:lineChart>
      <c:catAx>
        <c:axId val="163360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606127"/>
        <c:crosses val="autoZero"/>
        <c:auto val="1"/>
        <c:lblAlgn val="ctr"/>
        <c:lblOffset val="100"/>
        <c:noMultiLvlLbl val="0"/>
      </c:catAx>
      <c:valAx>
        <c:axId val="163360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607567"/>
        <c:crosses val="autoZero"/>
        <c:crossBetween val="between"/>
      </c:valAx>
      <c:valAx>
        <c:axId val="40842287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44207"/>
        <c:crosses val="max"/>
        <c:crossBetween val="between"/>
      </c:valAx>
      <c:catAx>
        <c:axId val="408442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08422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Cooccurrences!$B$95</c:f>
              <c:strCache>
                <c:ptCount val="1"/>
                <c:pt idx="0">
                  <c:v>Occurrences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Cooccurrences!$A$96:$A$115</c:f>
              <c:strCache>
                <c:ptCount val="20"/>
                <c:pt idx="0">
                  <c:v>royauté</c:v>
                </c:pt>
                <c:pt idx="1">
                  <c:v>ressusciter</c:v>
                </c:pt>
                <c:pt idx="2">
                  <c:v>royaume</c:v>
                </c:pt>
                <c:pt idx="3">
                  <c:v>sauveur</c:v>
                </c:pt>
                <c:pt idx="4">
                  <c:v>glorieux</c:v>
                </c:pt>
                <c:pt idx="5">
                  <c:v>pascal</c:v>
                </c:pt>
                <c:pt idx="6">
                  <c:v>résurrect.</c:v>
                </c:pt>
                <c:pt idx="7">
                  <c:v>libérateur</c:v>
                </c:pt>
                <c:pt idx="8">
                  <c:v>victoire</c:v>
                </c:pt>
                <c:pt idx="9">
                  <c:v>multitude</c:v>
                </c:pt>
                <c:pt idx="10">
                  <c:v>universel</c:v>
                </c:pt>
                <c:pt idx="11">
                  <c:v>renouveler</c:v>
                </c:pt>
                <c:pt idx="12">
                  <c:v>salut</c:v>
                </c:pt>
                <c:pt idx="13">
                  <c:v>roi</c:v>
                </c:pt>
                <c:pt idx="14">
                  <c:v>vivant</c:v>
                </c:pt>
                <c:pt idx="15">
                  <c:v>ascension</c:v>
                </c:pt>
                <c:pt idx="16">
                  <c:v>gloire</c:v>
                </c:pt>
                <c:pt idx="17">
                  <c:v>mystère</c:v>
                </c:pt>
                <c:pt idx="18">
                  <c:v>vivre</c:v>
                </c:pt>
                <c:pt idx="19">
                  <c:v>vie</c:v>
                </c:pt>
              </c:strCache>
            </c:strRef>
          </c:cat>
          <c:val>
            <c:numRef>
              <c:f>Cooccurrences!$B$96:$B$115</c:f>
              <c:numCache>
                <c:formatCode>General</c:formatCode>
                <c:ptCount val="20"/>
                <c:pt idx="0">
                  <c:v>108</c:v>
                </c:pt>
                <c:pt idx="1">
                  <c:v>740</c:v>
                </c:pt>
                <c:pt idx="2">
                  <c:v>280</c:v>
                </c:pt>
                <c:pt idx="3">
                  <c:v>272</c:v>
                </c:pt>
                <c:pt idx="4">
                  <c:v>116</c:v>
                </c:pt>
                <c:pt idx="5">
                  <c:v>194</c:v>
                </c:pt>
                <c:pt idx="6">
                  <c:v>1326</c:v>
                </c:pt>
                <c:pt idx="7">
                  <c:v>104</c:v>
                </c:pt>
                <c:pt idx="8">
                  <c:v>367</c:v>
                </c:pt>
                <c:pt idx="9">
                  <c:v>170</c:v>
                </c:pt>
                <c:pt idx="10">
                  <c:v>287</c:v>
                </c:pt>
                <c:pt idx="11">
                  <c:v>268</c:v>
                </c:pt>
                <c:pt idx="12">
                  <c:v>727</c:v>
                </c:pt>
                <c:pt idx="13">
                  <c:v>769</c:v>
                </c:pt>
                <c:pt idx="14">
                  <c:v>981</c:v>
                </c:pt>
                <c:pt idx="15">
                  <c:v>203</c:v>
                </c:pt>
                <c:pt idx="16">
                  <c:v>961</c:v>
                </c:pt>
                <c:pt idx="17">
                  <c:v>1105</c:v>
                </c:pt>
                <c:pt idx="18">
                  <c:v>5490</c:v>
                </c:pt>
                <c:pt idx="19">
                  <c:v>13040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FD-4043-8B7F-378BF8D80105}"/>
            </c:ext>
          </c:extLst>
        </c:ser>
        <c:ser>
          <c:idx val="0"/>
          <c:order val="1"/>
          <c:tx>
            <c:strRef>
              <c:f>Cooccurrences!$C$95</c:f>
              <c:strCache>
                <c:ptCount val="1"/>
                <c:pt idx="0">
                  <c:v>Cooccurrences avec Christ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Cooccurrences!$A$96:$A$115</c:f>
              <c:strCache>
                <c:ptCount val="20"/>
                <c:pt idx="0">
                  <c:v>royauté</c:v>
                </c:pt>
                <c:pt idx="1">
                  <c:v>ressusciter</c:v>
                </c:pt>
                <c:pt idx="2">
                  <c:v>royaume</c:v>
                </c:pt>
                <c:pt idx="3">
                  <c:v>sauveur</c:v>
                </c:pt>
                <c:pt idx="4">
                  <c:v>glorieux</c:v>
                </c:pt>
                <c:pt idx="5">
                  <c:v>pascal</c:v>
                </c:pt>
                <c:pt idx="6">
                  <c:v>résurrect.</c:v>
                </c:pt>
                <c:pt idx="7">
                  <c:v>libérateur</c:v>
                </c:pt>
                <c:pt idx="8">
                  <c:v>victoire</c:v>
                </c:pt>
                <c:pt idx="9">
                  <c:v>multitude</c:v>
                </c:pt>
                <c:pt idx="10">
                  <c:v>universel</c:v>
                </c:pt>
                <c:pt idx="11">
                  <c:v>renouveler</c:v>
                </c:pt>
                <c:pt idx="12">
                  <c:v>salut</c:v>
                </c:pt>
                <c:pt idx="13">
                  <c:v>roi</c:v>
                </c:pt>
                <c:pt idx="14">
                  <c:v>vivant</c:v>
                </c:pt>
                <c:pt idx="15">
                  <c:v>ascension</c:v>
                </c:pt>
                <c:pt idx="16">
                  <c:v>gloire</c:v>
                </c:pt>
                <c:pt idx="17">
                  <c:v>mystère</c:v>
                </c:pt>
                <c:pt idx="18">
                  <c:v>vivre</c:v>
                </c:pt>
                <c:pt idx="19">
                  <c:v>vie</c:v>
                </c:pt>
              </c:strCache>
            </c:strRef>
          </c:cat>
          <c:val>
            <c:numRef>
              <c:f>Cooccurrences!$C$96:$C$115</c:f>
              <c:numCache>
                <c:formatCode>General</c:formatCode>
                <c:ptCount val="20"/>
                <c:pt idx="0">
                  <c:v>41</c:v>
                </c:pt>
                <c:pt idx="1">
                  <c:v>270</c:v>
                </c:pt>
                <c:pt idx="2">
                  <c:v>94</c:v>
                </c:pt>
                <c:pt idx="3">
                  <c:v>86</c:v>
                </c:pt>
                <c:pt idx="4">
                  <c:v>33</c:v>
                </c:pt>
                <c:pt idx="5">
                  <c:v>54</c:v>
                </c:pt>
                <c:pt idx="6">
                  <c:v>314</c:v>
                </c:pt>
                <c:pt idx="7">
                  <c:v>24</c:v>
                </c:pt>
                <c:pt idx="8">
                  <c:v>78</c:v>
                </c:pt>
                <c:pt idx="9">
                  <c:v>32</c:v>
                </c:pt>
                <c:pt idx="10">
                  <c:v>51</c:v>
                </c:pt>
                <c:pt idx="11">
                  <c:v>47</c:v>
                </c:pt>
                <c:pt idx="12">
                  <c:v>127</c:v>
                </c:pt>
                <c:pt idx="13">
                  <c:v>134</c:v>
                </c:pt>
                <c:pt idx="14">
                  <c:v>169</c:v>
                </c:pt>
                <c:pt idx="15">
                  <c:v>34</c:v>
                </c:pt>
                <c:pt idx="16">
                  <c:v>152</c:v>
                </c:pt>
                <c:pt idx="17">
                  <c:v>167</c:v>
                </c:pt>
                <c:pt idx="18">
                  <c:v>664</c:v>
                </c:pt>
                <c:pt idx="19">
                  <c:v>1358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FD-4043-8B7F-378BF8D80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3607567"/>
        <c:axId val="1633606127"/>
      </c:barChart>
      <c:lineChart>
        <c:grouping val="standard"/>
        <c:varyColors val="0"/>
        <c:ser>
          <c:idx val="2"/>
          <c:order val="2"/>
          <c:tx>
            <c:strRef>
              <c:f>Cooccurrences!$D$95</c:f>
              <c:strCache>
                <c:ptCount val="1"/>
                <c:pt idx="0">
                  <c:v>Indice de surreprésentation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Cooccurrences!$A$96:$A$115</c:f>
              <c:strCache>
                <c:ptCount val="20"/>
                <c:pt idx="0">
                  <c:v>royauté</c:v>
                </c:pt>
                <c:pt idx="1">
                  <c:v>ressusciter</c:v>
                </c:pt>
                <c:pt idx="2">
                  <c:v>royaume</c:v>
                </c:pt>
                <c:pt idx="3">
                  <c:v>sauveur</c:v>
                </c:pt>
                <c:pt idx="4">
                  <c:v>glorieux</c:v>
                </c:pt>
                <c:pt idx="5">
                  <c:v>pascal</c:v>
                </c:pt>
                <c:pt idx="6">
                  <c:v>résurrect.</c:v>
                </c:pt>
                <c:pt idx="7">
                  <c:v>libérateur</c:v>
                </c:pt>
                <c:pt idx="8">
                  <c:v>victoire</c:v>
                </c:pt>
                <c:pt idx="9">
                  <c:v>multitude</c:v>
                </c:pt>
                <c:pt idx="10">
                  <c:v>universel</c:v>
                </c:pt>
                <c:pt idx="11">
                  <c:v>renouveler</c:v>
                </c:pt>
                <c:pt idx="12">
                  <c:v>salut</c:v>
                </c:pt>
                <c:pt idx="13">
                  <c:v>roi</c:v>
                </c:pt>
                <c:pt idx="14">
                  <c:v>vivant</c:v>
                </c:pt>
                <c:pt idx="15">
                  <c:v>ascension</c:v>
                </c:pt>
                <c:pt idx="16">
                  <c:v>gloire</c:v>
                </c:pt>
                <c:pt idx="17">
                  <c:v>mystère</c:v>
                </c:pt>
                <c:pt idx="18">
                  <c:v>vivre</c:v>
                </c:pt>
                <c:pt idx="19">
                  <c:v>vie</c:v>
                </c:pt>
              </c:strCache>
            </c:strRef>
          </c:cat>
          <c:val>
            <c:numRef>
              <c:f>Cooccurrences!$D$96:$D$115</c:f>
              <c:numCache>
                <c:formatCode>0.00</c:formatCode>
                <c:ptCount val="20"/>
                <c:pt idx="0">
                  <c:v>7.0602497606403132</c:v>
                </c:pt>
                <c:pt idx="1">
                  <c:v>6.7856586361328786</c:v>
                </c:pt>
                <c:pt idx="2">
                  <c:v>6.243524004357182</c:v>
                </c:pt>
                <c:pt idx="3">
                  <c:v>5.8801649728144927</c:v>
                </c:pt>
                <c:pt idx="4">
                  <c:v>5.2907338408162481</c:v>
                </c:pt>
                <c:pt idx="5">
                  <c:v>5.1766880316890003</c:v>
                </c:pt>
                <c:pt idx="6">
                  <c:v>4.4039876003905807</c:v>
                </c:pt>
                <c:pt idx="7">
                  <c:v>4.291784094648146</c:v>
                </c:pt>
                <c:pt idx="8">
                  <c:v>3.9526512915288095</c:v>
                </c:pt>
                <c:pt idx="9">
                  <c:v>3.5007493791639774</c:v>
                </c:pt>
                <c:pt idx="10">
                  <c:v>3.3048232923945653</c:v>
                </c:pt>
                <c:pt idx="11">
                  <c:v>3.2615423903358418</c:v>
                </c:pt>
                <c:pt idx="12">
                  <c:v>3.2488471069528142</c:v>
                </c:pt>
                <c:pt idx="13">
                  <c:v>3.240696962668864</c:v>
                </c:pt>
                <c:pt idx="14">
                  <c:v>3.2038904709282963</c:v>
                </c:pt>
                <c:pt idx="15">
                  <c:v>3.1148909192684404</c:v>
                </c:pt>
                <c:pt idx="16">
                  <c:v>2.9415766115243618</c:v>
                </c:pt>
                <c:pt idx="17">
                  <c:v>2.8106978188480007</c:v>
                </c:pt>
                <c:pt idx="18">
                  <c:v>2.2493430664846867</c:v>
                </c:pt>
                <c:pt idx="19">
                  <c:v>1.9367882517105919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FD-4043-8B7F-378BF8D80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844207"/>
        <c:axId val="40842287"/>
      </c:lineChart>
      <c:catAx>
        <c:axId val="163360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606127"/>
        <c:crosses val="autoZero"/>
        <c:auto val="1"/>
        <c:lblAlgn val="ctr"/>
        <c:lblOffset val="100"/>
        <c:noMultiLvlLbl val="0"/>
      </c:catAx>
      <c:valAx>
        <c:axId val="163360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607567"/>
        <c:crosses val="autoZero"/>
        <c:crossBetween val="between"/>
      </c:valAx>
      <c:valAx>
        <c:axId val="40842287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44207"/>
        <c:crosses val="max"/>
        <c:crossBetween val="between"/>
      </c:valAx>
      <c:catAx>
        <c:axId val="408442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08422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Cooccurrences!$B$117</c:f>
              <c:strCache>
                <c:ptCount val="1"/>
                <c:pt idx="0">
                  <c:v>Occurrences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Cooccurrences!$A$118:$A$137</c:f>
              <c:strCache>
                <c:ptCount val="20"/>
                <c:pt idx="0">
                  <c:v>evangile</c:v>
                </c:pt>
                <c:pt idx="1">
                  <c:v>pierre</c:v>
                </c:pt>
                <c:pt idx="2">
                  <c:v>suite</c:v>
                </c:pt>
                <c:pt idx="3">
                  <c:v>suivre</c:v>
                </c:pt>
                <c:pt idx="4">
                  <c:v>eucharistie</c:v>
                </c:pt>
                <c:pt idx="5">
                  <c:v>témoin</c:v>
                </c:pt>
                <c:pt idx="6">
                  <c:v>unité</c:v>
                </c:pt>
                <c:pt idx="7">
                  <c:v>esprit</c:v>
                </c:pt>
                <c:pt idx="8">
                  <c:v>apôtre</c:v>
                </c:pt>
                <c:pt idx="9">
                  <c:v>baptême</c:v>
                </c:pt>
                <c:pt idx="10">
                  <c:v>présence</c:v>
                </c:pt>
                <c:pt idx="11">
                  <c:v>communion</c:v>
                </c:pt>
                <c:pt idx="12">
                  <c:v>église</c:v>
                </c:pt>
                <c:pt idx="13">
                  <c:v>célébrer</c:v>
                </c:pt>
                <c:pt idx="14">
                  <c:v>saint</c:v>
                </c:pt>
                <c:pt idx="15">
                  <c:v>frère</c:v>
                </c:pt>
                <c:pt idx="16">
                  <c:v>annoncer</c:v>
                </c:pt>
                <c:pt idx="17">
                  <c:v>foi</c:v>
                </c:pt>
                <c:pt idx="18">
                  <c:v>amour</c:v>
                </c:pt>
                <c:pt idx="19">
                  <c:v>parole</c:v>
                </c:pt>
              </c:strCache>
            </c:strRef>
          </c:cat>
          <c:val>
            <c:numRef>
              <c:f>Cooccurrences!$B$118:$B$137</c:f>
              <c:numCache>
                <c:formatCode>General</c:formatCode>
                <c:ptCount val="20"/>
                <c:pt idx="0">
                  <c:v>226</c:v>
                </c:pt>
                <c:pt idx="1">
                  <c:v>567</c:v>
                </c:pt>
                <c:pt idx="2">
                  <c:v>675</c:v>
                </c:pt>
                <c:pt idx="3">
                  <c:v>1091</c:v>
                </c:pt>
                <c:pt idx="4">
                  <c:v>935</c:v>
                </c:pt>
                <c:pt idx="5">
                  <c:v>950</c:v>
                </c:pt>
                <c:pt idx="6">
                  <c:v>675</c:v>
                </c:pt>
                <c:pt idx="7">
                  <c:v>3047</c:v>
                </c:pt>
                <c:pt idx="8">
                  <c:v>1421</c:v>
                </c:pt>
                <c:pt idx="9">
                  <c:v>806</c:v>
                </c:pt>
                <c:pt idx="10">
                  <c:v>1506</c:v>
                </c:pt>
                <c:pt idx="11">
                  <c:v>864</c:v>
                </c:pt>
                <c:pt idx="12">
                  <c:v>4113</c:v>
                </c:pt>
                <c:pt idx="13">
                  <c:v>870</c:v>
                </c:pt>
                <c:pt idx="14">
                  <c:v>3779</c:v>
                </c:pt>
                <c:pt idx="15">
                  <c:v>4352</c:v>
                </c:pt>
                <c:pt idx="16">
                  <c:v>1443</c:v>
                </c:pt>
                <c:pt idx="17">
                  <c:v>4628</c:v>
                </c:pt>
                <c:pt idx="18">
                  <c:v>8140</c:v>
                </c:pt>
                <c:pt idx="19">
                  <c:v>5177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3C-468D-83A8-8FEE67FFB5A1}"/>
            </c:ext>
          </c:extLst>
        </c:ser>
        <c:ser>
          <c:idx val="0"/>
          <c:order val="1"/>
          <c:tx>
            <c:strRef>
              <c:f>Cooccurrences!$C$117</c:f>
              <c:strCache>
                <c:ptCount val="1"/>
                <c:pt idx="0">
                  <c:v>Cooccurrences avec Christ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Cooccurrences!$A$118:$A$137</c:f>
              <c:strCache>
                <c:ptCount val="20"/>
                <c:pt idx="0">
                  <c:v>evangile</c:v>
                </c:pt>
                <c:pt idx="1">
                  <c:v>pierre</c:v>
                </c:pt>
                <c:pt idx="2">
                  <c:v>suite</c:v>
                </c:pt>
                <c:pt idx="3">
                  <c:v>suivre</c:v>
                </c:pt>
                <c:pt idx="4">
                  <c:v>eucharistie</c:v>
                </c:pt>
                <c:pt idx="5">
                  <c:v>témoin</c:v>
                </c:pt>
                <c:pt idx="6">
                  <c:v>unité</c:v>
                </c:pt>
                <c:pt idx="7">
                  <c:v>esprit</c:v>
                </c:pt>
                <c:pt idx="8">
                  <c:v>apôtre</c:v>
                </c:pt>
                <c:pt idx="9">
                  <c:v>baptême</c:v>
                </c:pt>
                <c:pt idx="10">
                  <c:v>présence</c:v>
                </c:pt>
                <c:pt idx="11">
                  <c:v>communion</c:v>
                </c:pt>
                <c:pt idx="12">
                  <c:v>église</c:v>
                </c:pt>
                <c:pt idx="13">
                  <c:v>célébrer</c:v>
                </c:pt>
                <c:pt idx="14">
                  <c:v>saint</c:v>
                </c:pt>
                <c:pt idx="15">
                  <c:v>frère</c:v>
                </c:pt>
                <c:pt idx="16">
                  <c:v>annoncer</c:v>
                </c:pt>
                <c:pt idx="17">
                  <c:v>foi</c:v>
                </c:pt>
                <c:pt idx="18">
                  <c:v>amour</c:v>
                </c:pt>
                <c:pt idx="19">
                  <c:v>parole</c:v>
                </c:pt>
              </c:strCache>
            </c:strRef>
          </c:cat>
          <c:val>
            <c:numRef>
              <c:f>Cooccurrences!$C$118:$C$137</c:f>
              <c:numCache>
                <c:formatCode>General</c:formatCode>
                <c:ptCount val="20"/>
                <c:pt idx="0">
                  <c:v>102</c:v>
                </c:pt>
                <c:pt idx="1">
                  <c:v>191</c:v>
                </c:pt>
                <c:pt idx="2">
                  <c:v>137</c:v>
                </c:pt>
                <c:pt idx="3">
                  <c:v>213</c:v>
                </c:pt>
                <c:pt idx="4">
                  <c:v>181</c:v>
                </c:pt>
                <c:pt idx="5">
                  <c:v>169</c:v>
                </c:pt>
                <c:pt idx="6">
                  <c:v>112</c:v>
                </c:pt>
                <c:pt idx="7">
                  <c:v>505</c:v>
                </c:pt>
                <c:pt idx="8">
                  <c:v>232</c:v>
                </c:pt>
                <c:pt idx="9">
                  <c:v>128</c:v>
                </c:pt>
                <c:pt idx="10">
                  <c:v>239</c:v>
                </c:pt>
                <c:pt idx="11">
                  <c:v>133</c:v>
                </c:pt>
                <c:pt idx="12">
                  <c:v>610</c:v>
                </c:pt>
                <c:pt idx="13">
                  <c:v>129</c:v>
                </c:pt>
                <c:pt idx="14">
                  <c:v>534</c:v>
                </c:pt>
                <c:pt idx="15">
                  <c:v>604</c:v>
                </c:pt>
                <c:pt idx="16">
                  <c:v>194</c:v>
                </c:pt>
                <c:pt idx="17">
                  <c:v>573</c:v>
                </c:pt>
                <c:pt idx="18">
                  <c:v>901</c:v>
                </c:pt>
                <c:pt idx="19">
                  <c:v>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3C-468D-83A8-8FEE67FFB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3607567"/>
        <c:axId val="1633606127"/>
      </c:barChart>
      <c:lineChart>
        <c:grouping val="standard"/>
        <c:varyColors val="0"/>
        <c:ser>
          <c:idx val="2"/>
          <c:order val="2"/>
          <c:tx>
            <c:strRef>
              <c:f>Cooccurrences!$D$117</c:f>
              <c:strCache>
                <c:ptCount val="1"/>
                <c:pt idx="0">
                  <c:v>Indice de surreprésentation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Cooccurrences!$A$118:$A$137</c:f>
              <c:strCache>
                <c:ptCount val="20"/>
                <c:pt idx="0">
                  <c:v>evangile</c:v>
                </c:pt>
                <c:pt idx="1">
                  <c:v>pierre</c:v>
                </c:pt>
                <c:pt idx="2">
                  <c:v>suite</c:v>
                </c:pt>
                <c:pt idx="3">
                  <c:v>suivre</c:v>
                </c:pt>
                <c:pt idx="4">
                  <c:v>eucharistie</c:v>
                </c:pt>
                <c:pt idx="5">
                  <c:v>témoin</c:v>
                </c:pt>
                <c:pt idx="6">
                  <c:v>unité</c:v>
                </c:pt>
                <c:pt idx="7">
                  <c:v>esprit</c:v>
                </c:pt>
                <c:pt idx="8">
                  <c:v>apôtre</c:v>
                </c:pt>
                <c:pt idx="9">
                  <c:v>baptême</c:v>
                </c:pt>
                <c:pt idx="10">
                  <c:v>présence</c:v>
                </c:pt>
                <c:pt idx="11">
                  <c:v>communion</c:v>
                </c:pt>
                <c:pt idx="12">
                  <c:v>église</c:v>
                </c:pt>
                <c:pt idx="13">
                  <c:v>célébrer</c:v>
                </c:pt>
                <c:pt idx="14">
                  <c:v>saint</c:v>
                </c:pt>
                <c:pt idx="15">
                  <c:v>frère</c:v>
                </c:pt>
                <c:pt idx="16">
                  <c:v>annoncer</c:v>
                </c:pt>
                <c:pt idx="17">
                  <c:v>foi</c:v>
                </c:pt>
                <c:pt idx="18">
                  <c:v>amour</c:v>
                </c:pt>
                <c:pt idx="19">
                  <c:v>parole</c:v>
                </c:pt>
              </c:strCache>
            </c:strRef>
          </c:cat>
          <c:val>
            <c:numRef>
              <c:f>Cooccurrences!$D$118:$D$137</c:f>
              <c:numCache>
                <c:formatCode>0.00</c:formatCode>
                <c:ptCount val="20"/>
                <c:pt idx="0">
                  <c:v>8.3936662382056646</c:v>
                </c:pt>
                <c:pt idx="1">
                  <c:v>6.2648441546216018</c:v>
                </c:pt>
                <c:pt idx="2">
                  <c:v>3.774650603737455</c:v>
                </c:pt>
                <c:pt idx="3">
                  <c:v>3.6309044173787699</c:v>
                </c:pt>
                <c:pt idx="4">
                  <c:v>3.60020248652659</c:v>
                </c:pt>
                <c:pt idx="5">
                  <c:v>3.3084384757691145</c:v>
                </c:pt>
                <c:pt idx="6">
                  <c:v>3.0858457490408391</c:v>
                </c:pt>
                <c:pt idx="7">
                  <c:v>3.0823282552636551</c:v>
                </c:pt>
                <c:pt idx="8">
                  <c:v>3.0363642574381435</c:v>
                </c:pt>
                <c:pt idx="9">
                  <c:v>2.9534858285750678</c:v>
                </c:pt>
                <c:pt idx="10">
                  <c:v>2.9514327538892844</c:v>
                </c:pt>
                <c:pt idx="11">
                  <c:v>2.8628451773328099</c:v>
                </c:pt>
                <c:pt idx="12">
                  <c:v>2.7582338820455297</c:v>
                </c:pt>
                <c:pt idx="13">
                  <c:v>2.75759460794059</c:v>
                </c:pt>
                <c:pt idx="14">
                  <c:v>2.6279937536427118</c:v>
                </c:pt>
                <c:pt idx="15">
                  <c:v>2.5811189270203156</c:v>
                </c:pt>
                <c:pt idx="16">
                  <c:v>2.5003186617469675</c:v>
                </c:pt>
                <c:pt idx="17">
                  <c:v>2.3026145002185272</c:v>
                </c:pt>
                <c:pt idx="18">
                  <c:v>2.0585449263150584</c:v>
                </c:pt>
                <c:pt idx="19">
                  <c:v>2.0189153689716921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3C-468D-83A8-8FEE67FFB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844207"/>
        <c:axId val="40842287"/>
      </c:lineChart>
      <c:catAx>
        <c:axId val="163360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606127"/>
        <c:crosses val="autoZero"/>
        <c:auto val="1"/>
        <c:lblAlgn val="ctr"/>
        <c:lblOffset val="100"/>
        <c:noMultiLvlLbl val="0"/>
      </c:catAx>
      <c:valAx>
        <c:axId val="163360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607567"/>
        <c:crosses val="autoZero"/>
        <c:crossBetween val="between"/>
      </c:valAx>
      <c:valAx>
        <c:axId val="40842287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44207"/>
        <c:crosses val="max"/>
        <c:crossBetween val="between"/>
      </c:valAx>
      <c:catAx>
        <c:axId val="408442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08422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Cooccurrences!$B$141</c:f>
              <c:strCache>
                <c:ptCount val="1"/>
                <c:pt idx="0">
                  <c:v>Occurrences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Cooccurrences!$A$142:$A$158</c:f>
              <c:strCache>
                <c:ptCount val="17"/>
                <c:pt idx="0">
                  <c:v>remercier</c:v>
                </c:pt>
                <c:pt idx="1">
                  <c:v>psaume</c:v>
                </c:pt>
                <c:pt idx="2">
                  <c:v>bénir</c:v>
                </c:pt>
                <c:pt idx="3">
                  <c:v>pitié</c:v>
                </c:pt>
                <c:pt idx="4">
                  <c:v>louange</c:v>
                </c:pt>
                <c:pt idx="5">
                  <c:v>ton</c:v>
                </c:pt>
                <c:pt idx="6">
                  <c:v>toi</c:v>
                </c:pt>
                <c:pt idx="7">
                  <c:v>merci</c:v>
                </c:pt>
                <c:pt idx="8">
                  <c:v>assemblée</c:v>
                </c:pt>
                <c:pt idx="9">
                  <c:v>lèvre</c:v>
                </c:pt>
                <c:pt idx="10">
                  <c:v>célébrer</c:v>
                </c:pt>
                <c:pt idx="11">
                  <c:v>chanter</c:v>
                </c:pt>
                <c:pt idx="12">
                  <c:v>écoute</c:v>
                </c:pt>
                <c:pt idx="13">
                  <c:v>mon</c:v>
                </c:pt>
                <c:pt idx="14">
                  <c:v>tu</c:v>
                </c:pt>
                <c:pt idx="15">
                  <c:v>demander</c:v>
                </c:pt>
                <c:pt idx="16">
                  <c:v>prière</c:v>
                </c:pt>
              </c:strCache>
            </c:strRef>
          </c:cat>
          <c:val>
            <c:numRef>
              <c:f>Cooccurrences!$B$142:$B$158</c:f>
              <c:numCache>
                <c:formatCode>General</c:formatCode>
                <c:ptCount val="17"/>
                <c:pt idx="0">
                  <c:v>118</c:v>
                </c:pt>
                <c:pt idx="1">
                  <c:v>153</c:v>
                </c:pt>
                <c:pt idx="2">
                  <c:v>230</c:v>
                </c:pt>
                <c:pt idx="3">
                  <c:v>177</c:v>
                </c:pt>
                <c:pt idx="4">
                  <c:v>158</c:v>
                </c:pt>
                <c:pt idx="5">
                  <c:v>3016</c:v>
                </c:pt>
                <c:pt idx="6">
                  <c:v>1960</c:v>
                </c:pt>
                <c:pt idx="7">
                  <c:v>288</c:v>
                </c:pt>
                <c:pt idx="8">
                  <c:v>178</c:v>
                </c:pt>
                <c:pt idx="9">
                  <c:v>147</c:v>
                </c:pt>
                <c:pt idx="10">
                  <c:v>870</c:v>
                </c:pt>
                <c:pt idx="11">
                  <c:v>450</c:v>
                </c:pt>
                <c:pt idx="12">
                  <c:v>430</c:v>
                </c:pt>
                <c:pt idx="13">
                  <c:v>5753</c:v>
                </c:pt>
                <c:pt idx="14">
                  <c:v>4164</c:v>
                </c:pt>
                <c:pt idx="15">
                  <c:v>1575</c:v>
                </c:pt>
                <c:pt idx="16">
                  <c:v>1924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AB-453B-A789-D1EF6D00D465}"/>
            </c:ext>
          </c:extLst>
        </c:ser>
        <c:ser>
          <c:idx val="0"/>
          <c:order val="1"/>
          <c:tx>
            <c:strRef>
              <c:f>Cooccurrences!$C$141</c:f>
              <c:strCache>
                <c:ptCount val="1"/>
                <c:pt idx="0">
                  <c:v>Cooccurrences avec Seigneur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Cooccurrences!$A$142:$A$158</c:f>
              <c:strCache>
                <c:ptCount val="17"/>
                <c:pt idx="0">
                  <c:v>remercier</c:v>
                </c:pt>
                <c:pt idx="1">
                  <c:v>psaume</c:v>
                </c:pt>
                <c:pt idx="2">
                  <c:v>bénir</c:v>
                </c:pt>
                <c:pt idx="3">
                  <c:v>pitié</c:v>
                </c:pt>
                <c:pt idx="4">
                  <c:v>louange</c:v>
                </c:pt>
                <c:pt idx="5">
                  <c:v>ton</c:v>
                </c:pt>
                <c:pt idx="6">
                  <c:v>toi</c:v>
                </c:pt>
                <c:pt idx="7">
                  <c:v>merci</c:v>
                </c:pt>
                <c:pt idx="8">
                  <c:v>assemblée</c:v>
                </c:pt>
                <c:pt idx="9">
                  <c:v>lèvre</c:v>
                </c:pt>
                <c:pt idx="10">
                  <c:v>célébrer</c:v>
                </c:pt>
                <c:pt idx="11">
                  <c:v>chanter</c:v>
                </c:pt>
                <c:pt idx="12">
                  <c:v>écoute</c:v>
                </c:pt>
                <c:pt idx="13">
                  <c:v>mon</c:v>
                </c:pt>
                <c:pt idx="14">
                  <c:v>tu</c:v>
                </c:pt>
                <c:pt idx="15">
                  <c:v>demander</c:v>
                </c:pt>
                <c:pt idx="16">
                  <c:v>prière</c:v>
                </c:pt>
              </c:strCache>
            </c:strRef>
          </c:cat>
          <c:val>
            <c:numRef>
              <c:f>Cooccurrences!$C$142:$C$158</c:f>
              <c:numCache>
                <c:formatCode>General</c:formatCode>
                <c:ptCount val="17"/>
                <c:pt idx="0">
                  <c:v>25</c:v>
                </c:pt>
                <c:pt idx="1">
                  <c:v>28</c:v>
                </c:pt>
                <c:pt idx="2">
                  <c:v>39</c:v>
                </c:pt>
                <c:pt idx="3">
                  <c:v>30</c:v>
                </c:pt>
                <c:pt idx="4">
                  <c:v>22</c:v>
                </c:pt>
                <c:pt idx="5">
                  <c:v>390</c:v>
                </c:pt>
                <c:pt idx="6">
                  <c:v>231</c:v>
                </c:pt>
                <c:pt idx="7">
                  <c:v>30</c:v>
                </c:pt>
                <c:pt idx="8">
                  <c:v>17</c:v>
                </c:pt>
                <c:pt idx="9">
                  <c:v>14</c:v>
                </c:pt>
                <c:pt idx="10">
                  <c:v>82</c:v>
                </c:pt>
                <c:pt idx="11">
                  <c:v>37</c:v>
                </c:pt>
                <c:pt idx="12">
                  <c:v>35</c:v>
                </c:pt>
                <c:pt idx="13">
                  <c:v>439</c:v>
                </c:pt>
                <c:pt idx="14">
                  <c:v>316</c:v>
                </c:pt>
                <c:pt idx="15">
                  <c:v>86</c:v>
                </c:pt>
                <c:pt idx="16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AB-453B-A789-D1EF6D00D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3607567"/>
        <c:axId val="1633606127"/>
      </c:barChart>
      <c:lineChart>
        <c:grouping val="standard"/>
        <c:varyColors val="0"/>
        <c:ser>
          <c:idx val="2"/>
          <c:order val="2"/>
          <c:tx>
            <c:strRef>
              <c:f>Cooccurrences!$D$141</c:f>
              <c:strCache>
                <c:ptCount val="1"/>
                <c:pt idx="0">
                  <c:v>Indice de surreprésentation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Cooccurrences!$A$142:$A$158</c:f>
              <c:strCache>
                <c:ptCount val="17"/>
                <c:pt idx="0">
                  <c:v>remercier</c:v>
                </c:pt>
                <c:pt idx="1">
                  <c:v>psaume</c:v>
                </c:pt>
                <c:pt idx="2">
                  <c:v>bénir</c:v>
                </c:pt>
                <c:pt idx="3">
                  <c:v>pitié</c:v>
                </c:pt>
                <c:pt idx="4">
                  <c:v>louange</c:v>
                </c:pt>
                <c:pt idx="5">
                  <c:v>ton</c:v>
                </c:pt>
                <c:pt idx="6">
                  <c:v>toi</c:v>
                </c:pt>
                <c:pt idx="7">
                  <c:v>merci</c:v>
                </c:pt>
                <c:pt idx="8">
                  <c:v>assemblée</c:v>
                </c:pt>
                <c:pt idx="9">
                  <c:v>lèvre</c:v>
                </c:pt>
                <c:pt idx="10">
                  <c:v>célébrer</c:v>
                </c:pt>
                <c:pt idx="11">
                  <c:v>chanter</c:v>
                </c:pt>
                <c:pt idx="12">
                  <c:v>écoute</c:v>
                </c:pt>
                <c:pt idx="13">
                  <c:v>mon</c:v>
                </c:pt>
                <c:pt idx="14">
                  <c:v>tu</c:v>
                </c:pt>
                <c:pt idx="15">
                  <c:v>demander</c:v>
                </c:pt>
                <c:pt idx="16">
                  <c:v>prière</c:v>
                </c:pt>
              </c:strCache>
            </c:strRef>
          </c:cat>
          <c:val>
            <c:numRef>
              <c:f>Cooccurrences!$D$142:$D$158</c:f>
              <c:numCache>
                <c:formatCode>0.00</c:formatCode>
                <c:ptCount val="17"/>
                <c:pt idx="0">
                  <c:v>9.4161958568738235</c:v>
                </c:pt>
                <c:pt idx="1">
                  <c:v>8.1336238198983288</c:v>
                </c:pt>
                <c:pt idx="2">
                  <c:v>7.5362318840579707</c:v>
                </c:pt>
                <c:pt idx="3">
                  <c:v>7.5329566854990579</c:v>
                </c:pt>
                <c:pt idx="4">
                  <c:v>6.1884669479606185</c:v>
                </c:pt>
                <c:pt idx="5">
                  <c:v>5.7471264367816097</c:v>
                </c:pt>
                <c:pt idx="6">
                  <c:v>5.2380952380952381</c:v>
                </c:pt>
                <c:pt idx="7">
                  <c:v>4.6296296296296298</c:v>
                </c:pt>
                <c:pt idx="8">
                  <c:v>4.2446941323345815</c:v>
                </c:pt>
                <c:pt idx="9">
                  <c:v>4.2328042328042326</c:v>
                </c:pt>
                <c:pt idx="10">
                  <c:v>4.1890166028097067</c:v>
                </c:pt>
                <c:pt idx="11">
                  <c:v>3.6543209876543212</c:v>
                </c:pt>
                <c:pt idx="12">
                  <c:v>3.6175710594315249</c:v>
                </c:pt>
                <c:pt idx="13">
                  <c:v>3.3914672537999504</c:v>
                </c:pt>
                <c:pt idx="14">
                  <c:v>3.3728252748425658</c:v>
                </c:pt>
                <c:pt idx="15">
                  <c:v>2.4268077601410938</c:v>
                </c:pt>
                <c:pt idx="16">
                  <c:v>2.4255024255024256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AB-453B-A789-D1EF6D00D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844207"/>
        <c:axId val="40842287"/>
      </c:lineChart>
      <c:catAx>
        <c:axId val="163360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606127"/>
        <c:crosses val="autoZero"/>
        <c:auto val="1"/>
        <c:lblAlgn val="ctr"/>
        <c:lblOffset val="100"/>
        <c:noMultiLvlLbl val="0"/>
      </c:catAx>
      <c:valAx>
        <c:axId val="163360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607567"/>
        <c:crosses val="autoZero"/>
        <c:crossBetween val="between"/>
      </c:valAx>
      <c:valAx>
        <c:axId val="40842287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44207"/>
        <c:crosses val="max"/>
        <c:crossBetween val="between"/>
      </c:valAx>
      <c:catAx>
        <c:axId val="408442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08422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Cooccurrences!$B$163</c:f>
              <c:strCache>
                <c:ptCount val="1"/>
                <c:pt idx="0">
                  <c:v>Occurrences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Cooccurrences!$A$164:$A$172</c:f>
              <c:strCache>
                <c:ptCount val="9"/>
                <c:pt idx="0">
                  <c:v>préparer</c:v>
                </c:pt>
                <c:pt idx="1">
                  <c:v>grâce</c:v>
                </c:pt>
                <c:pt idx="2">
                  <c:v>esprit</c:v>
                </c:pt>
                <c:pt idx="3">
                  <c:v>donne</c:v>
                </c:pt>
                <c:pt idx="4">
                  <c:v>Marie</c:v>
                </c:pt>
                <c:pt idx="5">
                  <c:v>joie</c:v>
                </c:pt>
                <c:pt idx="6">
                  <c:v>vers</c:v>
                </c:pt>
                <c:pt idx="7">
                  <c:v>oui</c:v>
                </c:pt>
                <c:pt idx="8">
                  <c:v>chemin</c:v>
                </c:pt>
              </c:strCache>
            </c:strRef>
          </c:cat>
          <c:val>
            <c:numRef>
              <c:f>Cooccurrences!$B$164:$B$172</c:f>
              <c:numCache>
                <c:formatCode>General</c:formatCode>
                <c:ptCount val="9"/>
                <c:pt idx="0">
                  <c:v>654</c:v>
                </c:pt>
                <c:pt idx="1">
                  <c:v>1530</c:v>
                </c:pt>
                <c:pt idx="2">
                  <c:v>3047</c:v>
                </c:pt>
                <c:pt idx="3">
                  <c:v>2351</c:v>
                </c:pt>
                <c:pt idx="4">
                  <c:v>2201</c:v>
                </c:pt>
                <c:pt idx="5">
                  <c:v>2932</c:v>
                </c:pt>
                <c:pt idx="6">
                  <c:v>2549</c:v>
                </c:pt>
                <c:pt idx="7">
                  <c:v>2082</c:v>
                </c:pt>
                <c:pt idx="8">
                  <c:v>2443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09-4168-913F-2C44012B465C}"/>
            </c:ext>
          </c:extLst>
        </c:ser>
        <c:ser>
          <c:idx val="0"/>
          <c:order val="1"/>
          <c:tx>
            <c:strRef>
              <c:f>Cooccurrences!$C$163</c:f>
              <c:strCache>
                <c:ptCount val="1"/>
                <c:pt idx="0">
                  <c:v>Cooccurrences avec Seigneur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Cooccurrences!$A$164:$A$172</c:f>
              <c:strCache>
                <c:ptCount val="9"/>
                <c:pt idx="0">
                  <c:v>préparer</c:v>
                </c:pt>
                <c:pt idx="1">
                  <c:v>grâce</c:v>
                </c:pt>
                <c:pt idx="2">
                  <c:v>esprit</c:v>
                </c:pt>
                <c:pt idx="3">
                  <c:v>donne</c:v>
                </c:pt>
                <c:pt idx="4">
                  <c:v>Marie</c:v>
                </c:pt>
                <c:pt idx="5">
                  <c:v>joie</c:v>
                </c:pt>
                <c:pt idx="6">
                  <c:v>vers</c:v>
                </c:pt>
                <c:pt idx="7">
                  <c:v>oui</c:v>
                </c:pt>
                <c:pt idx="8">
                  <c:v>chemin</c:v>
                </c:pt>
              </c:strCache>
            </c:strRef>
          </c:cat>
          <c:val>
            <c:numRef>
              <c:f>Cooccurrences!$C$164:$C$172</c:f>
              <c:numCache>
                <c:formatCode>General</c:formatCode>
                <c:ptCount val="9"/>
                <c:pt idx="0">
                  <c:v>87</c:v>
                </c:pt>
                <c:pt idx="1">
                  <c:v>135</c:v>
                </c:pt>
                <c:pt idx="2">
                  <c:v>203</c:v>
                </c:pt>
                <c:pt idx="3">
                  <c:v>144</c:v>
                </c:pt>
                <c:pt idx="4">
                  <c:v>130</c:v>
                </c:pt>
                <c:pt idx="5">
                  <c:v>167</c:v>
                </c:pt>
                <c:pt idx="6">
                  <c:v>136</c:v>
                </c:pt>
                <c:pt idx="7">
                  <c:v>102</c:v>
                </c:pt>
                <c:pt idx="8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09-4168-913F-2C44012B4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3607567"/>
        <c:axId val="1633606127"/>
      </c:barChart>
      <c:lineChart>
        <c:grouping val="standard"/>
        <c:varyColors val="0"/>
        <c:ser>
          <c:idx val="2"/>
          <c:order val="2"/>
          <c:tx>
            <c:strRef>
              <c:f>Cooccurrences!$D$163</c:f>
              <c:strCache>
                <c:ptCount val="1"/>
                <c:pt idx="0">
                  <c:v>Indice de surreprésentation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Cooccurrences!$A$164:$A$172</c:f>
              <c:strCache>
                <c:ptCount val="9"/>
                <c:pt idx="0">
                  <c:v>préparer</c:v>
                </c:pt>
                <c:pt idx="1">
                  <c:v>grâce</c:v>
                </c:pt>
                <c:pt idx="2">
                  <c:v>esprit</c:v>
                </c:pt>
                <c:pt idx="3">
                  <c:v>donne</c:v>
                </c:pt>
                <c:pt idx="4">
                  <c:v>Marie</c:v>
                </c:pt>
                <c:pt idx="5">
                  <c:v>joie</c:v>
                </c:pt>
                <c:pt idx="6">
                  <c:v>vers</c:v>
                </c:pt>
                <c:pt idx="7">
                  <c:v>oui</c:v>
                </c:pt>
                <c:pt idx="8">
                  <c:v>chemin</c:v>
                </c:pt>
              </c:strCache>
            </c:strRef>
          </c:cat>
          <c:val>
            <c:numRef>
              <c:f>Cooccurrences!$D$164:$D$172</c:f>
              <c:numCache>
                <c:formatCode>0.00</c:formatCode>
                <c:ptCount val="9"/>
                <c:pt idx="0">
                  <c:v>5.9123343527013255</c:v>
                </c:pt>
                <c:pt idx="1">
                  <c:v>3.9215686274509807</c:v>
                </c:pt>
                <c:pt idx="2">
                  <c:v>2.9610181234729973</c:v>
                </c:pt>
                <c:pt idx="3">
                  <c:v>2.7222458528285838</c:v>
                </c:pt>
                <c:pt idx="4">
                  <c:v>2.6250694128931298</c:v>
                </c:pt>
                <c:pt idx="5">
                  <c:v>2.5314536910716994</c:v>
                </c:pt>
                <c:pt idx="6">
                  <c:v>2.3713002920535287</c:v>
                </c:pt>
                <c:pt idx="7">
                  <c:v>2.1773935318603908</c:v>
                </c:pt>
                <c:pt idx="8">
                  <c:v>2.1649156319643428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09-4168-913F-2C44012B4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844207"/>
        <c:axId val="40842287"/>
      </c:lineChart>
      <c:catAx>
        <c:axId val="163360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606127"/>
        <c:crosses val="autoZero"/>
        <c:auto val="1"/>
        <c:lblAlgn val="ctr"/>
        <c:lblOffset val="100"/>
        <c:noMultiLvlLbl val="0"/>
      </c:catAx>
      <c:valAx>
        <c:axId val="163360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607567"/>
        <c:crosses val="autoZero"/>
        <c:crossBetween val="between"/>
      </c:valAx>
      <c:valAx>
        <c:axId val="40842287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44207"/>
        <c:crosses val="max"/>
        <c:crossBetween val="between"/>
      </c:valAx>
      <c:catAx>
        <c:axId val="408442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08422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Fonction!$B$9</c:f>
              <c:strCache>
                <c:ptCount val="1"/>
                <c:pt idx="0">
                  <c:v>Sujet</c:v>
                </c:pt>
              </c:strCache>
            </c:strRef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Fonction!$A$10:$A$23</c:f>
              <c:strCache>
                <c:ptCount val="14"/>
                <c:pt idx="0">
                  <c:v>&lt;0%</c:v>
                </c:pt>
                <c:pt idx="1">
                  <c:v>0-2%</c:v>
                </c:pt>
                <c:pt idx="2">
                  <c:v>2-4%</c:v>
                </c:pt>
                <c:pt idx="3">
                  <c:v>4-6%</c:v>
                </c:pt>
                <c:pt idx="4">
                  <c:v>6-8%</c:v>
                </c:pt>
                <c:pt idx="5">
                  <c:v>8-10%</c:v>
                </c:pt>
                <c:pt idx="6">
                  <c:v>10-12%</c:v>
                </c:pt>
                <c:pt idx="7">
                  <c:v>12-14%</c:v>
                </c:pt>
                <c:pt idx="8">
                  <c:v>14-16%</c:v>
                </c:pt>
                <c:pt idx="9">
                  <c:v>16-18%</c:v>
                </c:pt>
                <c:pt idx="10">
                  <c:v>18-20%</c:v>
                </c:pt>
                <c:pt idx="11">
                  <c:v>18-22%</c:v>
                </c:pt>
                <c:pt idx="12">
                  <c:v>22-24%</c:v>
                </c:pt>
                <c:pt idx="13">
                  <c:v>18-20%</c:v>
                </c:pt>
              </c:strCache>
            </c:strRef>
          </c:cat>
          <c:val>
            <c:numRef>
              <c:f>Fonction!$B$10:$B$23</c:f>
              <c:numCache>
                <c:formatCode>General</c:formatCode>
                <c:ptCount val="14"/>
                <c:pt idx="0">
                  <c:v>22</c:v>
                </c:pt>
                <c:pt idx="1">
                  <c:v>104</c:v>
                </c:pt>
                <c:pt idx="2">
                  <c:v>201</c:v>
                </c:pt>
                <c:pt idx="3">
                  <c:v>293</c:v>
                </c:pt>
                <c:pt idx="4">
                  <c:v>358</c:v>
                </c:pt>
                <c:pt idx="5">
                  <c:v>365</c:v>
                </c:pt>
                <c:pt idx="6">
                  <c:v>337</c:v>
                </c:pt>
                <c:pt idx="7">
                  <c:v>304</c:v>
                </c:pt>
                <c:pt idx="8">
                  <c:v>233</c:v>
                </c:pt>
                <c:pt idx="9">
                  <c:v>185</c:v>
                </c:pt>
                <c:pt idx="10">
                  <c:v>138</c:v>
                </c:pt>
                <c:pt idx="11">
                  <c:v>119</c:v>
                </c:pt>
                <c:pt idx="12">
                  <c:v>66</c:v>
                </c:pt>
                <c:pt idx="13">
                  <c:v>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A5-4979-AF53-A6DAA7C994D8}"/>
            </c:ext>
          </c:extLst>
        </c:ser>
        <c:ser>
          <c:idx val="1"/>
          <c:order val="1"/>
          <c:tx>
            <c:strRef>
              <c:f>Fonction!$C$9</c:f>
              <c:strCache>
                <c:ptCount val="1"/>
                <c:pt idx="0">
                  <c:v>Objet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Fonction!$A$10:$A$23</c:f>
              <c:strCache>
                <c:ptCount val="14"/>
                <c:pt idx="0">
                  <c:v>&lt;0%</c:v>
                </c:pt>
                <c:pt idx="1">
                  <c:v>0-2%</c:v>
                </c:pt>
                <c:pt idx="2">
                  <c:v>2-4%</c:v>
                </c:pt>
                <c:pt idx="3">
                  <c:v>4-6%</c:v>
                </c:pt>
                <c:pt idx="4">
                  <c:v>6-8%</c:v>
                </c:pt>
                <c:pt idx="5">
                  <c:v>8-10%</c:v>
                </c:pt>
                <c:pt idx="6">
                  <c:v>10-12%</c:v>
                </c:pt>
                <c:pt idx="7">
                  <c:v>12-14%</c:v>
                </c:pt>
                <c:pt idx="8">
                  <c:v>14-16%</c:v>
                </c:pt>
                <c:pt idx="9">
                  <c:v>16-18%</c:v>
                </c:pt>
                <c:pt idx="10">
                  <c:v>18-20%</c:v>
                </c:pt>
                <c:pt idx="11">
                  <c:v>18-22%</c:v>
                </c:pt>
                <c:pt idx="12">
                  <c:v>22-24%</c:v>
                </c:pt>
                <c:pt idx="13">
                  <c:v>18-20%</c:v>
                </c:pt>
              </c:strCache>
            </c:strRef>
          </c:cat>
          <c:val>
            <c:numRef>
              <c:f>Fonction!$C$10:$C$23</c:f>
              <c:numCache>
                <c:formatCode>General</c:formatCode>
                <c:ptCount val="14"/>
                <c:pt idx="0">
                  <c:v>78</c:v>
                </c:pt>
                <c:pt idx="1">
                  <c:v>355</c:v>
                </c:pt>
                <c:pt idx="2">
                  <c:v>657</c:v>
                </c:pt>
                <c:pt idx="3">
                  <c:v>602</c:v>
                </c:pt>
                <c:pt idx="4">
                  <c:v>475</c:v>
                </c:pt>
                <c:pt idx="5">
                  <c:v>302</c:v>
                </c:pt>
                <c:pt idx="6">
                  <c:v>183</c:v>
                </c:pt>
                <c:pt idx="7">
                  <c:v>116</c:v>
                </c:pt>
                <c:pt idx="8">
                  <c:v>68</c:v>
                </c:pt>
                <c:pt idx="9">
                  <c:v>29</c:v>
                </c:pt>
                <c:pt idx="10">
                  <c:v>23</c:v>
                </c:pt>
                <c:pt idx="11">
                  <c:v>12</c:v>
                </c:pt>
                <c:pt idx="12">
                  <c:v>4</c:v>
                </c:pt>
                <c:pt idx="1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A5-4979-AF53-A6DAA7C99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5329120"/>
        <c:axId val="1075354560"/>
      </c:lineChart>
      <c:catAx>
        <c:axId val="107532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354560"/>
        <c:crosses val="autoZero"/>
        <c:auto val="1"/>
        <c:lblAlgn val="ctr"/>
        <c:lblOffset val="100"/>
        <c:noMultiLvlLbl val="0"/>
      </c:catAx>
      <c:valAx>
        <c:axId val="107535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32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Fonction!$A$30</c:f>
              <c:strCache>
                <c:ptCount val="1"/>
                <c:pt idx="0">
                  <c:v>Sujet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Fonction!$B$29:$H$29</c:f>
              <c:strCache>
                <c:ptCount val="7"/>
                <c:pt idx="0">
                  <c:v>Dieu</c:v>
                </c:pt>
                <c:pt idx="1">
                  <c:v>Jésus</c:v>
                </c:pt>
                <c:pt idx="2">
                  <c:v>Christ</c:v>
                </c:pt>
                <c:pt idx="3">
                  <c:v>Seigneur</c:v>
                </c:pt>
                <c:pt idx="4">
                  <c:v>Esprit</c:v>
                </c:pt>
                <c:pt idx="5">
                  <c:v>Père</c:v>
                </c:pt>
                <c:pt idx="6">
                  <c:v>Fils</c:v>
                </c:pt>
              </c:strCache>
            </c:strRef>
          </c:cat>
          <c:val>
            <c:numRef>
              <c:f>Fonction!$B$30:$H$30</c:f>
              <c:numCache>
                <c:formatCode>0%</c:formatCode>
                <c:ptCount val="7"/>
                <c:pt idx="0">
                  <c:v>0.29601328903654484</c:v>
                </c:pt>
                <c:pt idx="1">
                  <c:v>0.42733420334559258</c:v>
                </c:pt>
                <c:pt idx="2">
                  <c:v>0.30469404861693211</c:v>
                </c:pt>
                <c:pt idx="3">
                  <c:v>0.33175750834260287</c:v>
                </c:pt>
                <c:pt idx="4">
                  <c:v>0.41269319302860902</c:v>
                </c:pt>
                <c:pt idx="5">
                  <c:v>0.24948875255623723</c:v>
                </c:pt>
                <c:pt idx="6">
                  <c:v>0.3724893487522824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11-42E4-AFA0-811EA04E2B90}"/>
            </c:ext>
          </c:extLst>
        </c:ser>
        <c:ser>
          <c:idx val="1"/>
          <c:order val="1"/>
          <c:tx>
            <c:strRef>
              <c:f>Fonction!$A$31</c:f>
              <c:strCache>
                <c:ptCount val="1"/>
                <c:pt idx="0">
                  <c:v>Objet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Fonction!$B$29:$H$29</c:f>
              <c:strCache>
                <c:ptCount val="7"/>
                <c:pt idx="0">
                  <c:v>Dieu</c:v>
                </c:pt>
                <c:pt idx="1">
                  <c:v>Jésus</c:v>
                </c:pt>
                <c:pt idx="2">
                  <c:v>Christ</c:v>
                </c:pt>
                <c:pt idx="3">
                  <c:v>Seigneur</c:v>
                </c:pt>
                <c:pt idx="4">
                  <c:v>Esprit</c:v>
                </c:pt>
                <c:pt idx="5">
                  <c:v>Père</c:v>
                </c:pt>
                <c:pt idx="6">
                  <c:v>Fils</c:v>
                </c:pt>
              </c:strCache>
            </c:strRef>
          </c:cat>
          <c:val>
            <c:numRef>
              <c:f>Fonction!$B$31:$H$31</c:f>
              <c:numCache>
                <c:formatCode>0%</c:formatCode>
                <c:ptCount val="7"/>
                <c:pt idx="0">
                  <c:v>0.21196013289036544</c:v>
                </c:pt>
                <c:pt idx="1">
                  <c:v>0.24196227310475737</c:v>
                </c:pt>
                <c:pt idx="2">
                  <c:v>0.20819362950544845</c:v>
                </c:pt>
                <c:pt idx="3">
                  <c:v>0.26557285873192438</c:v>
                </c:pt>
                <c:pt idx="4">
                  <c:v>0.25682341335087144</c:v>
                </c:pt>
                <c:pt idx="5">
                  <c:v>0.34764826175869118</c:v>
                </c:pt>
                <c:pt idx="6">
                  <c:v>0.34327449786975045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11-42E4-AFA0-811EA04E2B90}"/>
            </c:ext>
          </c:extLst>
        </c:ser>
        <c:ser>
          <c:idx val="2"/>
          <c:order val="2"/>
          <c:tx>
            <c:strRef>
              <c:f>Fonction!$A$32</c:f>
              <c:strCache>
                <c:ptCount val="1"/>
                <c:pt idx="0">
                  <c:v>Complément du Nom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Fonction!$B$29:$H$29</c:f>
              <c:strCache>
                <c:ptCount val="7"/>
                <c:pt idx="0">
                  <c:v>Dieu</c:v>
                </c:pt>
                <c:pt idx="1">
                  <c:v>Jésus</c:v>
                </c:pt>
                <c:pt idx="2">
                  <c:v>Christ</c:v>
                </c:pt>
                <c:pt idx="3">
                  <c:v>Seigneur</c:v>
                </c:pt>
                <c:pt idx="4">
                  <c:v>Esprit</c:v>
                </c:pt>
                <c:pt idx="5">
                  <c:v>Père</c:v>
                </c:pt>
                <c:pt idx="6">
                  <c:v>Fils</c:v>
                </c:pt>
              </c:strCache>
            </c:strRef>
          </c:cat>
          <c:val>
            <c:numRef>
              <c:f>Fonction!$B$32:$H$32</c:f>
              <c:numCache>
                <c:formatCode>0%</c:formatCode>
                <c:ptCount val="7"/>
                <c:pt idx="0">
                  <c:v>0.49202657807309003</c:v>
                </c:pt>
                <c:pt idx="1">
                  <c:v>0.33070352354964999</c:v>
                </c:pt>
                <c:pt idx="2">
                  <c:v>0.48711232187761944</c:v>
                </c:pt>
                <c:pt idx="3">
                  <c:v>0.40266963292547275</c:v>
                </c:pt>
                <c:pt idx="4">
                  <c:v>0.33048339362051954</c:v>
                </c:pt>
                <c:pt idx="5">
                  <c:v>0.40286298568507156</c:v>
                </c:pt>
                <c:pt idx="6">
                  <c:v>0.28423615337796715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11-42E4-AFA0-811EA04E2B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0307792"/>
        <c:axId val="520294832"/>
      </c:barChart>
      <c:catAx>
        <c:axId val="520307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294832"/>
        <c:crosses val="autoZero"/>
        <c:auto val="1"/>
        <c:lblAlgn val="ctr"/>
        <c:lblOffset val="100"/>
        <c:noMultiLvlLbl val="0"/>
      </c:catAx>
      <c:valAx>
        <c:axId val="520294832"/>
        <c:scaling>
          <c:orientation val="minMax"/>
          <c:max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307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Verbes!$B$8</c:f>
              <c:strCache>
                <c:ptCount val="1"/>
                <c:pt idx="0">
                  <c:v>Corpus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Verbes!$A$9:$A$13</c:f>
              <c:strCache>
                <c:ptCount val="5"/>
                <c:pt idx="0">
                  <c:v>Physiologie</c:v>
                </c:pt>
                <c:pt idx="1">
                  <c:v>Perception</c:v>
                </c:pt>
                <c:pt idx="2">
                  <c:v>Émotion</c:v>
                </c:pt>
                <c:pt idx="3">
                  <c:v>Cognition</c:v>
                </c:pt>
                <c:pt idx="4">
                  <c:v>Volonté</c:v>
                </c:pt>
              </c:strCache>
            </c:strRef>
          </c:cat>
          <c:val>
            <c:numRef>
              <c:f>Verbes!$B$9:$B$13</c:f>
              <c:numCache>
                <c:formatCode>0%</c:formatCode>
                <c:ptCount val="5"/>
                <c:pt idx="0">
                  <c:v>4.4966378017512458E-2</c:v>
                </c:pt>
                <c:pt idx="1">
                  <c:v>5.1708051998313714E-2</c:v>
                </c:pt>
                <c:pt idx="2">
                  <c:v>1.9063975065136112E-2</c:v>
                </c:pt>
                <c:pt idx="3">
                  <c:v>0.10128060706165297</c:v>
                </c:pt>
                <c:pt idx="4">
                  <c:v>9.3084168987608587E-2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17-4667-AC81-CE1BEF9400B2}"/>
            </c:ext>
          </c:extLst>
        </c:ser>
        <c:ser>
          <c:idx val="1"/>
          <c:order val="1"/>
          <c:tx>
            <c:strRef>
              <c:f>Verbes!$C$8</c:f>
              <c:strCache>
                <c:ptCount val="1"/>
                <c:pt idx="0">
                  <c:v>Évangiles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Verbes!$A$9:$A$13</c:f>
              <c:strCache>
                <c:ptCount val="5"/>
                <c:pt idx="0">
                  <c:v>Physiologie</c:v>
                </c:pt>
                <c:pt idx="1">
                  <c:v>Perception</c:v>
                </c:pt>
                <c:pt idx="2">
                  <c:v>Émotion</c:v>
                </c:pt>
                <c:pt idx="3">
                  <c:v>Cognition</c:v>
                </c:pt>
                <c:pt idx="4">
                  <c:v>Volonté</c:v>
                </c:pt>
              </c:strCache>
            </c:strRef>
          </c:cat>
          <c:val>
            <c:numRef>
              <c:f>Verbes!$C$9:$C$13</c:f>
              <c:numCache>
                <c:formatCode>0%</c:formatCode>
                <c:ptCount val="5"/>
                <c:pt idx="0">
                  <c:v>3.7200917731891187E-2</c:v>
                </c:pt>
                <c:pt idx="1">
                  <c:v>5.5145853818420187E-2</c:v>
                </c:pt>
                <c:pt idx="2">
                  <c:v>1.1471648639790199E-2</c:v>
                </c:pt>
                <c:pt idx="3">
                  <c:v>6.0553916748607016E-2</c:v>
                </c:pt>
                <c:pt idx="4">
                  <c:v>4.3920026220911179E-2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17-4667-AC81-CE1BEF9400B2}"/>
            </c:ext>
          </c:extLst>
        </c:ser>
        <c:ser>
          <c:idx val="2"/>
          <c:order val="2"/>
          <c:tx>
            <c:strRef>
              <c:f>Verbes!$D$8</c:f>
              <c:strCache>
                <c:ptCount val="1"/>
                <c:pt idx="0">
                  <c:v>Épitres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Verbes!$A$9:$A$13</c:f>
              <c:strCache>
                <c:ptCount val="5"/>
                <c:pt idx="0">
                  <c:v>Physiologie</c:v>
                </c:pt>
                <c:pt idx="1">
                  <c:v>Perception</c:v>
                </c:pt>
                <c:pt idx="2">
                  <c:v>Émotion</c:v>
                </c:pt>
                <c:pt idx="3">
                  <c:v>Cognition</c:v>
                </c:pt>
                <c:pt idx="4">
                  <c:v>Volonté</c:v>
                </c:pt>
              </c:strCache>
            </c:strRef>
          </c:cat>
          <c:val>
            <c:numRef>
              <c:f>Verbes!$D$9:$D$13</c:f>
              <c:numCache>
                <c:formatCode>0%</c:formatCode>
                <c:ptCount val="5"/>
                <c:pt idx="0">
                  <c:v>4.0790755951552279E-2</c:v>
                </c:pt>
                <c:pt idx="1">
                  <c:v>3.1045524154253098E-2</c:v>
                </c:pt>
                <c:pt idx="2">
                  <c:v>2.1996380342475291E-2</c:v>
                </c:pt>
                <c:pt idx="3">
                  <c:v>8.1442294306000279E-2</c:v>
                </c:pt>
                <c:pt idx="4">
                  <c:v>6.8077404983989981E-2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17-4667-AC81-CE1BEF9400B2}"/>
            </c:ext>
          </c:extLst>
        </c:ser>
        <c:ser>
          <c:idx val="3"/>
          <c:order val="3"/>
          <c:tx>
            <c:strRef>
              <c:f>Verbes!$E$8</c:f>
              <c:strCache>
                <c:ptCount val="1"/>
                <c:pt idx="0">
                  <c:v>Psaumes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Verbes!$A$9:$A$13</c:f>
              <c:strCache>
                <c:ptCount val="5"/>
                <c:pt idx="0">
                  <c:v>Physiologie</c:v>
                </c:pt>
                <c:pt idx="1">
                  <c:v>Perception</c:v>
                </c:pt>
                <c:pt idx="2">
                  <c:v>Émotion</c:v>
                </c:pt>
                <c:pt idx="3">
                  <c:v>Cognition</c:v>
                </c:pt>
                <c:pt idx="4">
                  <c:v>Volonté</c:v>
                </c:pt>
              </c:strCache>
            </c:strRef>
          </c:cat>
          <c:val>
            <c:numRef>
              <c:f>Verbes!$E$9:$E$13</c:f>
              <c:numCache>
                <c:formatCode>0%</c:formatCode>
                <c:ptCount val="5"/>
                <c:pt idx="0">
                  <c:v>4.4138253152732371E-2</c:v>
                </c:pt>
                <c:pt idx="1">
                  <c:v>5.6515646893974779E-2</c:v>
                </c:pt>
                <c:pt idx="2">
                  <c:v>3.5964502568893039E-2</c:v>
                </c:pt>
                <c:pt idx="3">
                  <c:v>6.7258290518449323E-2</c:v>
                </c:pt>
                <c:pt idx="4">
                  <c:v>5.0210182157870153E-2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17-4667-AC81-CE1BEF9400B2}"/>
            </c:ext>
          </c:extLst>
        </c:ser>
        <c:ser>
          <c:idx val="4"/>
          <c:order val="4"/>
          <c:tx>
            <c:strRef>
              <c:f>Verbes!$F$8</c:f>
              <c:strCache>
                <c:ptCount val="1"/>
                <c:pt idx="0">
                  <c:v>Catéchisme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Verbes!$A$9:$A$13</c:f>
              <c:strCache>
                <c:ptCount val="5"/>
                <c:pt idx="0">
                  <c:v>Physiologie</c:v>
                </c:pt>
                <c:pt idx="1">
                  <c:v>Perception</c:v>
                </c:pt>
                <c:pt idx="2">
                  <c:v>Émotion</c:v>
                </c:pt>
                <c:pt idx="3">
                  <c:v>Cognition</c:v>
                </c:pt>
                <c:pt idx="4">
                  <c:v>Volonté</c:v>
                </c:pt>
              </c:strCache>
            </c:strRef>
          </c:cat>
          <c:val>
            <c:numRef>
              <c:f>Verbes!$F$9:$F$13</c:f>
              <c:numCache>
                <c:formatCode>0%</c:formatCode>
                <c:ptCount val="5"/>
                <c:pt idx="0">
                  <c:v>3.5492457852706299E-2</c:v>
                </c:pt>
                <c:pt idx="1">
                  <c:v>1.5084294587400177E-2</c:v>
                </c:pt>
                <c:pt idx="2">
                  <c:v>4.3478260869565216E-2</c:v>
                </c:pt>
                <c:pt idx="3">
                  <c:v>6.0337178349600708E-2</c:v>
                </c:pt>
                <c:pt idx="4">
                  <c:v>4.8802129547471165E-2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A4-4C6D-8880-B50BEDEBB191}"/>
            </c:ext>
          </c:extLst>
        </c:ser>
        <c:ser>
          <c:idx val="5"/>
          <c:order val="5"/>
          <c:tx>
            <c:strRef>
              <c:f>Verbes!$G$8</c:f>
              <c:strCache>
                <c:ptCount val="1"/>
                <c:pt idx="0">
                  <c:v>Coaching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Verbes!$A$9:$A$13</c:f>
              <c:strCache>
                <c:ptCount val="5"/>
                <c:pt idx="0">
                  <c:v>Physiologie</c:v>
                </c:pt>
                <c:pt idx="1">
                  <c:v>Perception</c:v>
                </c:pt>
                <c:pt idx="2">
                  <c:v>Émotion</c:v>
                </c:pt>
                <c:pt idx="3">
                  <c:v>Cognition</c:v>
                </c:pt>
                <c:pt idx="4">
                  <c:v>Volonté</c:v>
                </c:pt>
              </c:strCache>
            </c:strRef>
          </c:cat>
          <c:val>
            <c:numRef>
              <c:f>Verbes!$G$9:$G$13</c:f>
              <c:numCache>
                <c:formatCode>0%</c:formatCode>
                <c:ptCount val="5"/>
                <c:pt idx="0">
                  <c:v>2.8729612449498728E-2</c:v>
                </c:pt>
                <c:pt idx="1">
                  <c:v>4.7134520424958852E-2</c:v>
                </c:pt>
                <c:pt idx="2">
                  <c:v>2.9402962741283855E-2</c:v>
                </c:pt>
                <c:pt idx="3">
                  <c:v>0.12666467155469099</c:v>
                </c:pt>
                <c:pt idx="4">
                  <c:v>7.9679784527906625E-2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A4-4C6D-8880-B50BEDEBB191}"/>
            </c:ext>
          </c:extLst>
        </c:ser>
        <c:ser>
          <c:idx val="6"/>
          <c:order val="6"/>
          <c:tx>
            <c:strRef>
              <c:f>Verbes!$H$8</c:f>
              <c:strCache>
                <c:ptCount val="1"/>
                <c:pt idx="0">
                  <c:v>Roman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Verbes!$A$9:$A$13</c:f>
              <c:strCache>
                <c:ptCount val="5"/>
                <c:pt idx="0">
                  <c:v>Physiologie</c:v>
                </c:pt>
                <c:pt idx="1">
                  <c:v>Perception</c:v>
                </c:pt>
                <c:pt idx="2">
                  <c:v>Émotion</c:v>
                </c:pt>
                <c:pt idx="3">
                  <c:v>Cognition</c:v>
                </c:pt>
                <c:pt idx="4">
                  <c:v>Volonté</c:v>
                </c:pt>
              </c:strCache>
            </c:strRef>
          </c:cat>
          <c:val>
            <c:numRef>
              <c:f>Verbes!$H$9:$H$13</c:f>
              <c:numCache>
                <c:formatCode>0%</c:formatCode>
                <c:ptCount val="5"/>
                <c:pt idx="0">
                  <c:v>2.813852813852814E-2</c:v>
                </c:pt>
                <c:pt idx="1">
                  <c:v>1.7316017316017316E-2</c:v>
                </c:pt>
                <c:pt idx="2">
                  <c:v>5.3030303030303032E-2</c:v>
                </c:pt>
                <c:pt idx="3">
                  <c:v>6.2770562770562768E-2</c:v>
                </c:pt>
                <c:pt idx="4">
                  <c:v>4.8701298701298704E-2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A4-4C6D-8880-B50BEDEBB1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906389568"/>
        <c:axId val="1909580016"/>
      </c:barChart>
      <c:catAx>
        <c:axId val="190638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580016"/>
        <c:crosses val="autoZero"/>
        <c:auto val="1"/>
        <c:lblAlgn val="ctr"/>
        <c:lblOffset val="100"/>
        <c:noMultiLvlLbl val="0"/>
      </c:catAx>
      <c:valAx>
        <c:axId val="1909580016"/>
        <c:scaling>
          <c:orientation val="minMax"/>
          <c:max val="0.1500000000000000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389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0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Verbes!$B$106</c:f>
              <c:strCache>
                <c:ptCount val="1"/>
                <c:pt idx="0">
                  <c:v>Corpus</c:v>
                </c:pt>
              </c:strCache>
            </c:strRef>
          </c:tx>
          <c:spPr>
            <a:solidFill>
              <a:schemeClr val="tx1">
                <a:lumMod val="95000"/>
                <a:lumOff val="5000"/>
              </a:schemeClr>
            </a:solidFill>
            <a:ln>
              <a:noFill/>
            </a:ln>
            <a:effectLst/>
          </c:spPr>
          <c:invertIfNegative val="0"/>
          <c:cat>
            <c:strRef>
              <c:f>Verbes!$A$107:$A$116</c:f>
              <c:strCache>
                <c:ptCount val="10"/>
                <c:pt idx="0">
                  <c:v>Physiologie</c:v>
                </c:pt>
                <c:pt idx="1">
                  <c:v>Sensibilité</c:v>
                </c:pt>
                <c:pt idx="2">
                  <c:v>Cognition</c:v>
                </c:pt>
                <c:pt idx="3">
                  <c:v>Volonté</c:v>
                </c:pt>
                <c:pt idx="4">
                  <c:v>Communication</c:v>
                </c:pt>
                <c:pt idx="5">
                  <c:v>Transaction</c:v>
                </c:pt>
                <c:pt idx="6">
                  <c:v>Mouvement</c:v>
                </c:pt>
                <c:pt idx="7">
                  <c:v>Transformation</c:v>
                </c:pt>
                <c:pt idx="8">
                  <c:v>Confrontation</c:v>
                </c:pt>
                <c:pt idx="9">
                  <c:v>Soin</c:v>
                </c:pt>
              </c:strCache>
            </c:strRef>
          </c:cat>
          <c:val>
            <c:numRef>
              <c:f>Verbes!$B$107:$B$116</c:f>
              <c:numCache>
                <c:formatCode>0.0%</c:formatCode>
                <c:ptCount val="10"/>
                <c:pt idx="0">
                  <c:v>4.276184428456397E-2</c:v>
                </c:pt>
                <c:pt idx="1">
                  <c:v>7.3271883367266116E-2</c:v>
                </c:pt>
                <c:pt idx="2">
                  <c:v>9.8580715272367808E-2</c:v>
                </c:pt>
                <c:pt idx="3">
                  <c:v>8.891151073955994E-2</c:v>
                </c:pt>
                <c:pt idx="4">
                  <c:v>0.19884388522647672</c:v>
                </c:pt>
                <c:pt idx="5">
                  <c:v>0.14511989944551007</c:v>
                </c:pt>
                <c:pt idx="6">
                  <c:v>0.15579072096783697</c:v>
                </c:pt>
                <c:pt idx="7">
                  <c:v>0.12505810033190837</c:v>
                </c:pt>
                <c:pt idx="8">
                  <c:v>3.544938560944793E-2</c:v>
                </c:pt>
                <c:pt idx="9">
                  <c:v>3.6212054755062097E-2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CE-465F-88F2-42F0256D8229}"/>
            </c:ext>
          </c:extLst>
        </c:ser>
        <c:ser>
          <c:idx val="1"/>
          <c:order val="1"/>
          <c:tx>
            <c:strRef>
              <c:f>Verbes!$C$106</c:f>
              <c:strCache>
                <c:ptCount val="1"/>
                <c:pt idx="0">
                  <c:v>5 Noms divins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Verbes!$A$107:$A$116</c:f>
              <c:strCache>
                <c:ptCount val="10"/>
                <c:pt idx="0">
                  <c:v>Physiologie</c:v>
                </c:pt>
                <c:pt idx="1">
                  <c:v>Sensibilité</c:v>
                </c:pt>
                <c:pt idx="2">
                  <c:v>Cognition</c:v>
                </c:pt>
                <c:pt idx="3">
                  <c:v>Volonté</c:v>
                </c:pt>
                <c:pt idx="4">
                  <c:v>Communication</c:v>
                </c:pt>
                <c:pt idx="5">
                  <c:v>Transaction</c:v>
                </c:pt>
                <c:pt idx="6">
                  <c:v>Mouvement</c:v>
                </c:pt>
                <c:pt idx="7">
                  <c:v>Transformation</c:v>
                </c:pt>
                <c:pt idx="8">
                  <c:v>Confrontation</c:v>
                </c:pt>
                <c:pt idx="9">
                  <c:v>Soin</c:v>
                </c:pt>
              </c:strCache>
            </c:strRef>
          </c:cat>
          <c:val>
            <c:numRef>
              <c:f>Verbes!$C$107:$C$116</c:f>
              <c:numCache>
                <c:formatCode>0.0%</c:formatCode>
                <c:ptCount val="10"/>
                <c:pt idx="0">
                  <c:v>3.4470588235294121E-2</c:v>
                </c:pt>
                <c:pt idx="1">
                  <c:v>4.4470588235294116E-2</c:v>
                </c:pt>
                <c:pt idx="2">
                  <c:v>7.094117647058823E-2</c:v>
                </c:pt>
                <c:pt idx="3">
                  <c:v>0.12435294117647058</c:v>
                </c:pt>
                <c:pt idx="4">
                  <c:v>0.25819607843137254</c:v>
                </c:pt>
                <c:pt idx="5">
                  <c:v>0.11372549019607843</c:v>
                </c:pt>
                <c:pt idx="6">
                  <c:v>0.17760784313725489</c:v>
                </c:pt>
                <c:pt idx="7">
                  <c:v>0.1167843137254902</c:v>
                </c:pt>
                <c:pt idx="8">
                  <c:v>2.0549019607843139E-2</c:v>
                </c:pt>
                <c:pt idx="9">
                  <c:v>3.9176470588235292E-2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CE-465F-88F2-42F0256D8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0317696"/>
        <c:axId val="250319136"/>
      </c:barChart>
      <c:catAx>
        <c:axId val="25031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319136"/>
        <c:crosses val="autoZero"/>
        <c:auto val="1"/>
        <c:lblAlgn val="ctr"/>
        <c:lblOffset val="100"/>
        <c:noMultiLvlLbl val="0"/>
      </c:catAx>
      <c:valAx>
        <c:axId val="25031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317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Verbes!$B$106</c:f>
              <c:strCache>
                <c:ptCount val="1"/>
                <c:pt idx="0">
                  <c:v>Corpus</c:v>
                </c:pt>
              </c:strCache>
            </c:strRef>
          </c:tx>
          <c:spPr>
            <a:solidFill>
              <a:schemeClr val="tx1">
                <a:lumMod val="95000"/>
                <a:lumOff val="5000"/>
              </a:schemeClr>
            </a:solidFill>
            <a:ln>
              <a:noFill/>
            </a:ln>
            <a:effectLst/>
          </c:spPr>
          <c:invertIfNegative val="0"/>
          <c:cat>
            <c:strRef>
              <c:f>Verbes!$A$107:$A$116</c:f>
              <c:strCache>
                <c:ptCount val="10"/>
                <c:pt idx="0">
                  <c:v>Physiologie</c:v>
                </c:pt>
                <c:pt idx="1">
                  <c:v>Sensibilité</c:v>
                </c:pt>
                <c:pt idx="2">
                  <c:v>Cognition</c:v>
                </c:pt>
                <c:pt idx="3">
                  <c:v>Volonté</c:v>
                </c:pt>
                <c:pt idx="4">
                  <c:v>Communication</c:v>
                </c:pt>
                <c:pt idx="5">
                  <c:v>Transaction</c:v>
                </c:pt>
                <c:pt idx="6">
                  <c:v>Mouvement</c:v>
                </c:pt>
                <c:pt idx="7">
                  <c:v>Transformation</c:v>
                </c:pt>
                <c:pt idx="8">
                  <c:v>Confrontation</c:v>
                </c:pt>
                <c:pt idx="9">
                  <c:v>Soin</c:v>
                </c:pt>
              </c:strCache>
            </c:strRef>
          </c:cat>
          <c:val>
            <c:numRef>
              <c:f>Verbes!$B$107:$B$116</c:f>
              <c:numCache>
                <c:formatCode>0.0%</c:formatCode>
                <c:ptCount val="10"/>
                <c:pt idx="0">
                  <c:v>4.276184428456397E-2</c:v>
                </c:pt>
                <c:pt idx="1">
                  <c:v>7.3271883367266116E-2</c:v>
                </c:pt>
                <c:pt idx="2">
                  <c:v>9.8580715272367808E-2</c:v>
                </c:pt>
                <c:pt idx="3">
                  <c:v>8.891151073955994E-2</c:v>
                </c:pt>
                <c:pt idx="4">
                  <c:v>0.19884388522647672</c:v>
                </c:pt>
                <c:pt idx="5">
                  <c:v>0.14511989944551007</c:v>
                </c:pt>
                <c:pt idx="6">
                  <c:v>0.15579072096783697</c:v>
                </c:pt>
                <c:pt idx="7">
                  <c:v>0.12505810033190837</c:v>
                </c:pt>
                <c:pt idx="8">
                  <c:v>3.544938560944793E-2</c:v>
                </c:pt>
                <c:pt idx="9">
                  <c:v>3.6212054755062097E-2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4C-477A-B704-91EA6E01DFEF}"/>
            </c:ext>
          </c:extLst>
        </c:ser>
        <c:ser>
          <c:idx val="1"/>
          <c:order val="1"/>
          <c:tx>
            <c:strRef>
              <c:f>Verbes!$C$106</c:f>
              <c:strCache>
                <c:ptCount val="1"/>
                <c:pt idx="0">
                  <c:v>5 Noms divins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Verbes!$A$107:$A$116</c:f>
              <c:strCache>
                <c:ptCount val="10"/>
                <c:pt idx="0">
                  <c:v>Physiologie</c:v>
                </c:pt>
                <c:pt idx="1">
                  <c:v>Sensibilité</c:v>
                </c:pt>
                <c:pt idx="2">
                  <c:v>Cognition</c:v>
                </c:pt>
                <c:pt idx="3">
                  <c:v>Volonté</c:v>
                </c:pt>
                <c:pt idx="4">
                  <c:v>Communication</c:v>
                </c:pt>
                <c:pt idx="5">
                  <c:v>Transaction</c:v>
                </c:pt>
                <c:pt idx="6">
                  <c:v>Mouvement</c:v>
                </c:pt>
                <c:pt idx="7">
                  <c:v>Transformation</c:v>
                </c:pt>
                <c:pt idx="8">
                  <c:v>Confrontation</c:v>
                </c:pt>
                <c:pt idx="9">
                  <c:v>Soin</c:v>
                </c:pt>
              </c:strCache>
            </c:strRef>
          </c:cat>
          <c:val>
            <c:numRef>
              <c:f>Verbes!$C$107:$C$116</c:f>
              <c:numCache>
                <c:formatCode>0.0%</c:formatCode>
                <c:ptCount val="10"/>
                <c:pt idx="0">
                  <c:v>3.4470588235294121E-2</c:v>
                </c:pt>
                <c:pt idx="1">
                  <c:v>4.4470588235294116E-2</c:v>
                </c:pt>
                <c:pt idx="2">
                  <c:v>7.094117647058823E-2</c:v>
                </c:pt>
                <c:pt idx="3">
                  <c:v>0.12435294117647058</c:v>
                </c:pt>
                <c:pt idx="4">
                  <c:v>0.25819607843137254</c:v>
                </c:pt>
                <c:pt idx="5">
                  <c:v>0.11372549019607843</c:v>
                </c:pt>
                <c:pt idx="6">
                  <c:v>0.17760784313725489</c:v>
                </c:pt>
                <c:pt idx="7">
                  <c:v>0.1167843137254902</c:v>
                </c:pt>
                <c:pt idx="8">
                  <c:v>2.0549019607843139E-2</c:v>
                </c:pt>
                <c:pt idx="9">
                  <c:v>3.9176470588235292E-2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4C-477A-B704-91EA6E01DFEF}"/>
            </c:ext>
          </c:extLst>
        </c:ser>
        <c:ser>
          <c:idx val="2"/>
          <c:order val="2"/>
          <c:tx>
            <c:strRef>
              <c:f>Verbes!$D$106</c:f>
              <c:strCache>
                <c:ptCount val="1"/>
                <c:pt idx="0">
                  <c:v>Dieu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Verbes!$A$107:$A$116</c:f>
              <c:strCache>
                <c:ptCount val="10"/>
                <c:pt idx="0">
                  <c:v>Physiologie</c:v>
                </c:pt>
                <c:pt idx="1">
                  <c:v>Sensibilité</c:v>
                </c:pt>
                <c:pt idx="2">
                  <c:v>Cognition</c:v>
                </c:pt>
                <c:pt idx="3">
                  <c:v>Volonté</c:v>
                </c:pt>
                <c:pt idx="4">
                  <c:v>Communication</c:v>
                </c:pt>
                <c:pt idx="5">
                  <c:v>Transaction</c:v>
                </c:pt>
                <c:pt idx="6">
                  <c:v>Mouvement</c:v>
                </c:pt>
                <c:pt idx="7">
                  <c:v>Transformation</c:v>
                </c:pt>
                <c:pt idx="8">
                  <c:v>Confrontation</c:v>
                </c:pt>
                <c:pt idx="9">
                  <c:v>Soin</c:v>
                </c:pt>
              </c:strCache>
            </c:strRef>
          </c:cat>
          <c:val>
            <c:numRef>
              <c:f>Verbes!$D$107:$D$116</c:f>
              <c:numCache>
                <c:formatCode>0.0%</c:formatCode>
                <c:ptCount val="10"/>
                <c:pt idx="0">
                  <c:v>3.2840957980783021E-2</c:v>
                </c:pt>
                <c:pt idx="1">
                  <c:v>4.1302165495482573E-2</c:v>
                </c:pt>
                <c:pt idx="2">
                  <c:v>7.0414455757923419E-2</c:v>
                </c:pt>
                <c:pt idx="3">
                  <c:v>0.18385200057364118</c:v>
                </c:pt>
                <c:pt idx="4">
                  <c:v>0.20751469955542809</c:v>
                </c:pt>
                <c:pt idx="5">
                  <c:v>0.11888713609637172</c:v>
                </c:pt>
                <c:pt idx="6">
                  <c:v>0.14799942635881255</c:v>
                </c:pt>
                <c:pt idx="7">
                  <c:v>0.14355370715617383</c:v>
                </c:pt>
                <c:pt idx="8">
                  <c:v>2.007744156030403E-2</c:v>
                </c:pt>
                <c:pt idx="9">
                  <c:v>3.3701419761938904E-2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4C-477A-B704-91EA6E01DFEF}"/>
            </c:ext>
          </c:extLst>
        </c:ser>
        <c:ser>
          <c:idx val="3"/>
          <c:order val="3"/>
          <c:tx>
            <c:strRef>
              <c:f>Verbes!$E$106</c:f>
              <c:strCache>
                <c:ptCount val="1"/>
                <c:pt idx="0">
                  <c:v>Jésus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Verbes!$A$107:$A$116</c:f>
              <c:strCache>
                <c:ptCount val="10"/>
                <c:pt idx="0">
                  <c:v>Physiologie</c:v>
                </c:pt>
                <c:pt idx="1">
                  <c:v>Sensibilité</c:v>
                </c:pt>
                <c:pt idx="2">
                  <c:v>Cognition</c:v>
                </c:pt>
                <c:pt idx="3">
                  <c:v>Volonté</c:v>
                </c:pt>
                <c:pt idx="4">
                  <c:v>Communication</c:v>
                </c:pt>
                <c:pt idx="5">
                  <c:v>Transaction</c:v>
                </c:pt>
                <c:pt idx="6">
                  <c:v>Mouvement</c:v>
                </c:pt>
                <c:pt idx="7">
                  <c:v>Transformation</c:v>
                </c:pt>
                <c:pt idx="8">
                  <c:v>Confrontation</c:v>
                </c:pt>
                <c:pt idx="9">
                  <c:v>Soin</c:v>
                </c:pt>
              </c:strCache>
            </c:strRef>
          </c:cat>
          <c:val>
            <c:numRef>
              <c:f>Verbes!$E$107:$E$116</c:f>
              <c:numCache>
                <c:formatCode>0.0%</c:formatCode>
                <c:ptCount val="10"/>
                <c:pt idx="0">
                  <c:v>3.1144331731624845E-2</c:v>
                </c:pt>
                <c:pt idx="1">
                  <c:v>4.7428368037017263E-2</c:v>
                </c:pt>
                <c:pt idx="2">
                  <c:v>7.0208222103577148E-2</c:v>
                </c:pt>
                <c:pt idx="3">
                  <c:v>0.10277629471436199</c:v>
                </c:pt>
                <c:pt idx="4">
                  <c:v>0.30058729311265348</c:v>
                </c:pt>
                <c:pt idx="5">
                  <c:v>0.10749243637657946</c:v>
                </c:pt>
                <c:pt idx="6">
                  <c:v>0.18846769887880405</c:v>
                </c:pt>
                <c:pt idx="7">
                  <c:v>9.6903363587827016E-2</c:v>
                </c:pt>
                <c:pt idx="8">
                  <c:v>2.4025627335824879E-2</c:v>
                </c:pt>
                <c:pt idx="9">
                  <c:v>3.1500266951414842E-2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4C-477A-B704-91EA6E01D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0317696"/>
        <c:axId val="250319136"/>
      </c:barChart>
      <c:catAx>
        <c:axId val="25031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319136"/>
        <c:crosses val="autoZero"/>
        <c:auto val="1"/>
        <c:lblAlgn val="ctr"/>
        <c:lblOffset val="100"/>
        <c:noMultiLvlLbl val="0"/>
      </c:catAx>
      <c:valAx>
        <c:axId val="25031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317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Verbes!$B$8</c:f>
              <c:strCache>
                <c:ptCount val="1"/>
                <c:pt idx="0">
                  <c:v>Corpus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Verbes!$A$15:$A$20</c:f>
              <c:strCache>
                <c:ptCount val="6"/>
                <c:pt idx="0">
                  <c:v>Communication</c:v>
                </c:pt>
                <c:pt idx="1">
                  <c:v>Transaction</c:v>
                </c:pt>
                <c:pt idx="2">
                  <c:v>Mouvement</c:v>
                </c:pt>
                <c:pt idx="3">
                  <c:v>Transformation</c:v>
                </c:pt>
                <c:pt idx="4">
                  <c:v>Altération</c:v>
                </c:pt>
                <c:pt idx="5">
                  <c:v>Soin</c:v>
                </c:pt>
              </c:strCache>
            </c:strRef>
          </c:cat>
          <c:val>
            <c:numRef>
              <c:f>Verbes!$B$15:$B$20</c:f>
              <c:numCache>
                <c:formatCode>0%</c:formatCode>
                <c:ptCount val="6"/>
                <c:pt idx="0">
                  <c:v>0.19665577033387008</c:v>
                </c:pt>
                <c:pt idx="1">
                  <c:v>0.13803672501848691</c:v>
                </c:pt>
                <c:pt idx="2">
                  <c:v>0.1615652017664499</c:v>
                </c:pt>
                <c:pt idx="3">
                  <c:v>0.11916625776622874</c:v>
                </c:pt>
                <c:pt idx="4">
                  <c:v>3.7188055039150777E-2</c:v>
                </c:pt>
                <c:pt idx="5">
                  <c:v>3.7592348148199339E-2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EC-4F75-BED1-C75EE40F52CD}"/>
            </c:ext>
          </c:extLst>
        </c:ser>
        <c:ser>
          <c:idx val="1"/>
          <c:order val="1"/>
          <c:tx>
            <c:strRef>
              <c:f>Verbes!$C$8</c:f>
              <c:strCache>
                <c:ptCount val="1"/>
                <c:pt idx="0">
                  <c:v>Évangiles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Verbes!$A$15:$A$20</c:f>
              <c:strCache>
                <c:ptCount val="6"/>
                <c:pt idx="0">
                  <c:v>Communication</c:v>
                </c:pt>
                <c:pt idx="1">
                  <c:v>Transaction</c:v>
                </c:pt>
                <c:pt idx="2">
                  <c:v>Mouvement</c:v>
                </c:pt>
                <c:pt idx="3">
                  <c:v>Transformation</c:v>
                </c:pt>
                <c:pt idx="4">
                  <c:v>Altération</c:v>
                </c:pt>
                <c:pt idx="5">
                  <c:v>Soin</c:v>
                </c:pt>
              </c:strCache>
            </c:strRef>
          </c:cat>
          <c:val>
            <c:numRef>
              <c:f>Verbes!$C$15:$C$20</c:f>
              <c:numCache>
                <c:formatCode>0%</c:formatCode>
                <c:ptCount val="6"/>
                <c:pt idx="0">
                  <c:v>0.2405768600458866</c:v>
                </c:pt>
                <c:pt idx="1">
                  <c:v>0.15027859718125205</c:v>
                </c:pt>
                <c:pt idx="2">
                  <c:v>0.2460668633235005</c:v>
                </c:pt>
                <c:pt idx="3">
                  <c:v>9.078990494919699E-2</c:v>
                </c:pt>
                <c:pt idx="4">
                  <c:v>3.0809570632579483E-2</c:v>
                </c:pt>
                <c:pt idx="5">
                  <c:v>3.3185840707964605E-2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EC-4F75-BED1-C75EE40F52CD}"/>
            </c:ext>
          </c:extLst>
        </c:ser>
        <c:ser>
          <c:idx val="2"/>
          <c:order val="2"/>
          <c:tx>
            <c:strRef>
              <c:f>Verbes!$D$8</c:f>
              <c:strCache>
                <c:ptCount val="1"/>
                <c:pt idx="0">
                  <c:v>Épitres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Verbes!$A$15:$A$20</c:f>
              <c:strCache>
                <c:ptCount val="6"/>
                <c:pt idx="0">
                  <c:v>Communication</c:v>
                </c:pt>
                <c:pt idx="1">
                  <c:v>Transaction</c:v>
                </c:pt>
                <c:pt idx="2">
                  <c:v>Mouvement</c:v>
                </c:pt>
                <c:pt idx="3">
                  <c:v>Transformation</c:v>
                </c:pt>
                <c:pt idx="4">
                  <c:v>Altération</c:v>
                </c:pt>
                <c:pt idx="5">
                  <c:v>Soin</c:v>
                </c:pt>
              </c:strCache>
            </c:strRef>
          </c:cat>
          <c:val>
            <c:numRef>
              <c:f>Verbes!$D$15:$D$20</c:f>
              <c:numCache>
                <c:formatCode>0%</c:formatCode>
                <c:ptCount val="6"/>
                <c:pt idx="0">
                  <c:v>0.17611026033690658</c:v>
                </c:pt>
                <c:pt idx="1">
                  <c:v>0.1953222887372964</c:v>
                </c:pt>
                <c:pt idx="2">
                  <c:v>0.14506473618265348</c:v>
                </c:pt>
                <c:pt idx="3">
                  <c:v>0.14353334261450648</c:v>
                </c:pt>
                <c:pt idx="4">
                  <c:v>4.6637895029931785E-2</c:v>
                </c:pt>
                <c:pt idx="5">
                  <c:v>4.9979117360434359E-2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EC-4F75-BED1-C75EE40F52CD}"/>
            </c:ext>
          </c:extLst>
        </c:ser>
        <c:ser>
          <c:idx val="3"/>
          <c:order val="3"/>
          <c:tx>
            <c:strRef>
              <c:f>Verbes!$E$8</c:f>
              <c:strCache>
                <c:ptCount val="1"/>
                <c:pt idx="0">
                  <c:v>Psaumes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Verbes!$A$15:$A$20</c:f>
              <c:strCache>
                <c:ptCount val="6"/>
                <c:pt idx="0">
                  <c:v>Communication</c:v>
                </c:pt>
                <c:pt idx="1">
                  <c:v>Transaction</c:v>
                </c:pt>
                <c:pt idx="2">
                  <c:v>Mouvement</c:v>
                </c:pt>
                <c:pt idx="3">
                  <c:v>Transformation</c:v>
                </c:pt>
                <c:pt idx="4">
                  <c:v>Altération</c:v>
                </c:pt>
                <c:pt idx="5">
                  <c:v>Soin</c:v>
                </c:pt>
              </c:strCache>
            </c:strRef>
          </c:cat>
          <c:val>
            <c:numRef>
              <c:f>Verbes!$E$15:$E$20</c:f>
              <c:numCache>
                <c:formatCode>0%</c:formatCode>
                <c:ptCount val="6"/>
                <c:pt idx="0">
                  <c:v>0.14175618869687062</c:v>
                </c:pt>
                <c:pt idx="1">
                  <c:v>0.13872022419430172</c:v>
                </c:pt>
                <c:pt idx="2">
                  <c:v>0.19243344231667445</c:v>
                </c:pt>
                <c:pt idx="3">
                  <c:v>0.13568425969173284</c:v>
                </c:pt>
                <c:pt idx="4">
                  <c:v>7.8234469873890711E-2</c:v>
                </c:pt>
                <c:pt idx="5">
                  <c:v>5.9084539934609992E-2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EC-4F75-BED1-C75EE40F52CD}"/>
            </c:ext>
          </c:extLst>
        </c:ser>
        <c:ser>
          <c:idx val="4"/>
          <c:order val="4"/>
          <c:tx>
            <c:strRef>
              <c:f>Verbes!$F$8</c:f>
              <c:strCache>
                <c:ptCount val="1"/>
                <c:pt idx="0">
                  <c:v>Catéchisme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Verbes!$A$15:$A$20</c:f>
              <c:strCache>
                <c:ptCount val="6"/>
                <c:pt idx="0">
                  <c:v>Communication</c:v>
                </c:pt>
                <c:pt idx="1">
                  <c:v>Transaction</c:v>
                </c:pt>
                <c:pt idx="2">
                  <c:v>Mouvement</c:v>
                </c:pt>
                <c:pt idx="3">
                  <c:v>Transformation</c:v>
                </c:pt>
                <c:pt idx="4">
                  <c:v>Altération</c:v>
                </c:pt>
                <c:pt idx="5">
                  <c:v>Soin</c:v>
                </c:pt>
              </c:strCache>
            </c:strRef>
          </c:cat>
          <c:val>
            <c:numRef>
              <c:f>Verbes!$F$15:$F$20</c:f>
              <c:numCache>
                <c:formatCode>0%</c:formatCode>
                <c:ptCount val="6"/>
                <c:pt idx="0">
                  <c:v>0.20763087843833186</c:v>
                </c:pt>
                <c:pt idx="1">
                  <c:v>0.13664596273291926</c:v>
                </c:pt>
                <c:pt idx="2">
                  <c:v>0.11623779946761313</c:v>
                </c:pt>
                <c:pt idx="3">
                  <c:v>0.18278615794143743</c:v>
                </c:pt>
                <c:pt idx="4">
                  <c:v>9.2280390417036381E-2</c:v>
                </c:pt>
                <c:pt idx="5">
                  <c:v>6.1224489795918366E-2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EC-4F75-BED1-C75EE40F52CD}"/>
            </c:ext>
          </c:extLst>
        </c:ser>
        <c:ser>
          <c:idx val="5"/>
          <c:order val="5"/>
          <c:tx>
            <c:strRef>
              <c:f>Verbes!$G$8</c:f>
              <c:strCache>
                <c:ptCount val="1"/>
                <c:pt idx="0">
                  <c:v>Coaching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Verbes!$A$15:$A$20</c:f>
              <c:strCache>
                <c:ptCount val="6"/>
                <c:pt idx="0">
                  <c:v>Communication</c:v>
                </c:pt>
                <c:pt idx="1">
                  <c:v>Transaction</c:v>
                </c:pt>
                <c:pt idx="2">
                  <c:v>Mouvement</c:v>
                </c:pt>
                <c:pt idx="3">
                  <c:v>Transformation</c:v>
                </c:pt>
                <c:pt idx="4">
                  <c:v>Altération</c:v>
                </c:pt>
                <c:pt idx="5">
                  <c:v>Soin</c:v>
                </c:pt>
              </c:strCache>
            </c:strRef>
          </c:cat>
          <c:val>
            <c:numRef>
              <c:f>Verbes!$G$15:$G$20</c:f>
              <c:numCache>
                <c:formatCode>0%</c:formatCode>
                <c:ptCount val="6"/>
                <c:pt idx="0">
                  <c:v>0.15599281759688763</c:v>
                </c:pt>
                <c:pt idx="1">
                  <c:v>0.16766422265449649</c:v>
                </c:pt>
                <c:pt idx="2">
                  <c:v>0.14955858147538531</c:v>
                </c:pt>
                <c:pt idx="3">
                  <c:v>0.15741433487954512</c:v>
                </c:pt>
                <c:pt idx="4">
                  <c:v>2.491396079604968E-2</c:v>
                </c:pt>
                <c:pt idx="5">
                  <c:v>3.2844530899296724E-2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AEC-4F75-BED1-C75EE40F52CD}"/>
            </c:ext>
          </c:extLst>
        </c:ser>
        <c:ser>
          <c:idx val="6"/>
          <c:order val="6"/>
          <c:tx>
            <c:strRef>
              <c:f>Verbes!$H$8</c:f>
              <c:strCache>
                <c:ptCount val="1"/>
                <c:pt idx="0">
                  <c:v>Roman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Verbes!$A$15:$A$20</c:f>
              <c:strCache>
                <c:ptCount val="6"/>
                <c:pt idx="0">
                  <c:v>Communication</c:v>
                </c:pt>
                <c:pt idx="1">
                  <c:v>Transaction</c:v>
                </c:pt>
                <c:pt idx="2">
                  <c:v>Mouvement</c:v>
                </c:pt>
                <c:pt idx="3">
                  <c:v>Transformation</c:v>
                </c:pt>
                <c:pt idx="4">
                  <c:v>Altération</c:v>
                </c:pt>
                <c:pt idx="5">
                  <c:v>Soin</c:v>
                </c:pt>
              </c:strCache>
            </c:strRef>
          </c:cat>
          <c:val>
            <c:numRef>
              <c:f>Verbes!$H$15:$H$20</c:f>
              <c:numCache>
                <c:formatCode>0%</c:formatCode>
                <c:ptCount val="6"/>
                <c:pt idx="0">
                  <c:v>0.16558441558441558</c:v>
                </c:pt>
                <c:pt idx="1">
                  <c:v>0.13311688311688311</c:v>
                </c:pt>
                <c:pt idx="2">
                  <c:v>0.17424242424242425</c:v>
                </c:pt>
                <c:pt idx="3">
                  <c:v>0.16233766233766234</c:v>
                </c:pt>
                <c:pt idx="4">
                  <c:v>0.10822510822510822</c:v>
                </c:pt>
                <c:pt idx="5">
                  <c:v>4.6536796536796536E-2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AEC-4F75-BED1-C75EE40F5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906389568"/>
        <c:axId val="1909580016"/>
      </c:barChart>
      <c:catAx>
        <c:axId val="190638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580016"/>
        <c:crosses val="autoZero"/>
        <c:auto val="1"/>
        <c:lblAlgn val="ctr"/>
        <c:lblOffset val="100"/>
        <c:noMultiLvlLbl val="0"/>
      </c:catAx>
      <c:valAx>
        <c:axId val="1909580016"/>
        <c:scaling>
          <c:orientation val="minMax"/>
          <c:max val="0.3000000000000000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389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0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4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26455</xdr:colOff>
      <xdr:row>4</xdr:row>
      <xdr:rowOff>162966</xdr:rowOff>
    </xdr:from>
    <xdr:to>
      <xdr:col>15</xdr:col>
      <xdr:colOff>150488</xdr:colOff>
      <xdr:row>22</xdr:row>
      <xdr:rowOff>37908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C638D07-F477-49F5-B801-ED63098F77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175260</xdr:colOff>
      <xdr:row>45</xdr:row>
      <xdr:rowOff>76200</xdr:rowOff>
    </xdr:from>
    <xdr:to>
      <xdr:col>9</xdr:col>
      <xdr:colOff>784860</xdr:colOff>
      <xdr:row>60</xdr:row>
      <xdr:rowOff>76200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364FB1E3-E0D7-490E-B21C-754B075943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229914</xdr:colOff>
      <xdr:row>100</xdr:row>
      <xdr:rowOff>178594</xdr:rowOff>
    </xdr:from>
    <xdr:to>
      <xdr:col>13</xdr:col>
      <xdr:colOff>229914</xdr:colOff>
      <xdr:row>112</xdr:row>
      <xdr:rowOff>136922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F97EF98D-D724-2BFD-0C5C-70E14BB3B8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102054</xdr:colOff>
      <xdr:row>14</xdr:row>
      <xdr:rowOff>44905</xdr:rowOff>
    </xdr:from>
    <xdr:to>
      <xdr:col>17</xdr:col>
      <xdr:colOff>421554</xdr:colOff>
      <xdr:row>24</xdr:row>
      <xdr:rowOff>109405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8DC20F8-CB2E-0C96-74E8-05C1F20619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77799</xdr:colOff>
      <xdr:row>4</xdr:row>
      <xdr:rowOff>109706</xdr:rowOff>
    </xdr:from>
    <xdr:to>
      <xdr:col>17</xdr:col>
      <xdr:colOff>396165</xdr:colOff>
      <xdr:row>12</xdr:row>
      <xdr:rowOff>48020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DE3D80A2-AD7E-7E02-8C04-C7BD7D9347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173935</xdr:colOff>
      <xdr:row>6</xdr:row>
      <xdr:rowOff>210378</xdr:rowOff>
    </xdr:from>
    <xdr:to>
      <xdr:col>12</xdr:col>
      <xdr:colOff>0</xdr:colOff>
      <xdr:row>19</xdr:row>
      <xdr:rowOff>82826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BF47CF06-293D-4BD7-7B9F-4659C8531C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107674</xdr:colOff>
      <xdr:row>28</xdr:row>
      <xdr:rowOff>132522</xdr:rowOff>
    </xdr:from>
    <xdr:to>
      <xdr:col>12</xdr:col>
      <xdr:colOff>0</xdr:colOff>
      <xdr:row>42</xdr:row>
      <xdr:rowOff>71232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C2FDE78-FAB9-4F3E-AC9D-D03F53010F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234462</xdr:colOff>
      <xdr:row>53</xdr:row>
      <xdr:rowOff>388327</xdr:rowOff>
    </xdr:from>
    <xdr:to>
      <xdr:col>12</xdr:col>
      <xdr:colOff>0</xdr:colOff>
      <xdr:row>65</xdr:row>
      <xdr:rowOff>58171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A0144FBE-682C-4CE4-A94B-1AC5F85631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95569</xdr:colOff>
      <xdr:row>76</xdr:row>
      <xdr:rowOff>588065</xdr:rowOff>
    </xdr:from>
    <xdr:to>
      <xdr:col>12</xdr:col>
      <xdr:colOff>0</xdr:colOff>
      <xdr:row>89</xdr:row>
      <xdr:rowOff>17713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85CC36BA-DBCE-4785-BA83-9CBABA42A9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73589</xdr:colOff>
      <xdr:row>95</xdr:row>
      <xdr:rowOff>25898</xdr:rowOff>
    </xdr:from>
    <xdr:to>
      <xdr:col>12</xdr:col>
      <xdr:colOff>0</xdr:colOff>
      <xdr:row>108</xdr:row>
      <xdr:rowOff>5607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EE9403CC-7B55-47BE-A714-D1E2949552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98116</xdr:colOff>
      <xdr:row>116</xdr:row>
      <xdr:rowOff>55430</xdr:rowOff>
    </xdr:from>
    <xdr:to>
      <xdr:col>12</xdr:col>
      <xdr:colOff>0</xdr:colOff>
      <xdr:row>131</xdr:row>
      <xdr:rowOff>52118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AEEA3D62-E605-4F48-B74E-48B824350E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167148</xdr:colOff>
      <xdr:row>141</xdr:row>
      <xdr:rowOff>127512</xdr:rowOff>
    </xdr:from>
    <xdr:to>
      <xdr:col>11</xdr:col>
      <xdr:colOff>223377</xdr:colOff>
      <xdr:row>156</xdr:row>
      <xdr:rowOff>126632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96598651-430A-4470-9E0F-49482903F7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136516</xdr:colOff>
      <xdr:row>162</xdr:row>
      <xdr:rowOff>402769</xdr:rowOff>
    </xdr:from>
    <xdr:to>
      <xdr:col>11</xdr:col>
      <xdr:colOff>138572</xdr:colOff>
      <xdr:row>177</xdr:row>
      <xdr:rowOff>277047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4AC2971C-ECF9-43AB-9813-43C27A48D0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214153</xdr:colOff>
      <xdr:row>9</xdr:row>
      <xdr:rowOff>104610</xdr:rowOff>
    </xdr:from>
    <xdr:to>
      <xdr:col>11</xdr:col>
      <xdr:colOff>171983</xdr:colOff>
      <xdr:row>22</xdr:row>
      <xdr:rowOff>171854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06D5E2BC-512D-46E5-98AC-02ABBE3D99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202766</xdr:colOff>
      <xdr:row>26</xdr:row>
      <xdr:rowOff>45904</xdr:rowOff>
    </xdr:from>
    <xdr:to>
      <xdr:col>16</xdr:col>
      <xdr:colOff>413132</xdr:colOff>
      <xdr:row>37</xdr:row>
      <xdr:rowOff>145438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4E0E0D67-E4CE-42B6-89BE-4E68578D28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679929</xdr:colOff>
      <xdr:row>4</xdr:row>
      <xdr:rowOff>124211</xdr:rowOff>
    </xdr:from>
    <xdr:to>
      <xdr:col>18</xdr:col>
      <xdr:colOff>231320</xdr:colOff>
      <xdr:row>13</xdr:row>
      <xdr:rowOff>108857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589713F-C46B-45D3-B7C0-3562D85FDD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157497</xdr:colOff>
      <xdr:row>103</xdr:row>
      <xdr:rowOff>182404</xdr:rowOff>
    </xdr:from>
    <xdr:to>
      <xdr:col>15</xdr:col>
      <xdr:colOff>289624</xdr:colOff>
      <xdr:row>118</xdr:row>
      <xdr:rowOff>179293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2051DE56-3027-9570-60D3-10FC6FFCE0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105668</xdr:colOff>
      <xdr:row>119</xdr:row>
      <xdr:rowOff>96650</xdr:rowOff>
    </xdr:from>
    <xdr:to>
      <xdr:col>15</xdr:col>
      <xdr:colOff>505839</xdr:colOff>
      <xdr:row>135</xdr:row>
      <xdr:rowOff>45311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6F50F2AB-5A3B-45E6-A304-0E98F36A80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625930</xdr:colOff>
      <xdr:row>14</xdr:row>
      <xdr:rowOff>122465</xdr:rowOff>
    </xdr:from>
    <xdr:to>
      <xdr:col>18</xdr:col>
      <xdr:colOff>177321</xdr:colOff>
      <xdr:row>26</xdr:row>
      <xdr:rowOff>108857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4812C582-B75B-4610-B627-F123E9874B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Annexe%20B,%20graphiques.xlsx" TargetMode="External"/><Relationship Id="rId1" Type="http://schemas.openxmlformats.org/officeDocument/2006/relationships/hyperlink" Target="Annexe%20B,%20graphiques.xls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D3086-0DF5-4591-9D2F-9F05949174AC}">
  <dimension ref="B2:C60"/>
  <sheetViews>
    <sheetView topLeftCell="A17" zoomScale="160" zoomScaleNormal="160" workbookViewId="0">
      <selection activeCell="C58" sqref="C58"/>
    </sheetView>
  </sheetViews>
  <sheetFormatPr baseColWidth="10" defaultRowHeight="15" x14ac:dyDescent="0.25"/>
  <cols>
    <col min="1" max="1" width="11.42578125" style="8"/>
    <col min="2" max="2" width="6.28515625" style="8" customWidth="1"/>
    <col min="3" max="16384" width="11.42578125" style="8"/>
  </cols>
  <sheetData>
    <row r="2" spans="2:2" s="36" customFormat="1" ht="12.75" x14ac:dyDescent="0.2">
      <c r="B2" s="43" t="s">
        <v>374</v>
      </c>
    </row>
    <row r="3" spans="2:2" s="36" customFormat="1" ht="12.75" x14ac:dyDescent="0.2">
      <c r="B3" s="43" t="s">
        <v>375</v>
      </c>
    </row>
    <row r="4" spans="2:2" s="36" customFormat="1" ht="12.75" x14ac:dyDescent="0.2">
      <c r="B4" s="43" t="s">
        <v>376</v>
      </c>
    </row>
    <row r="5" spans="2:2" s="36" customFormat="1" ht="12.75" x14ac:dyDescent="0.2">
      <c r="B5" s="43"/>
    </row>
    <row r="6" spans="2:2" s="36" customFormat="1" ht="12.75" x14ac:dyDescent="0.2">
      <c r="B6" s="43" t="s">
        <v>377</v>
      </c>
    </row>
    <row r="7" spans="2:2" s="36" customFormat="1" ht="12.75" x14ac:dyDescent="0.2">
      <c r="B7" s="43"/>
    </row>
    <row r="8" spans="2:2" s="36" customFormat="1" ht="12.75" x14ac:dyDescent="0.2">
      <c r="B8" s="43" t="s">
        <v>378</v>
      </c>
    </row>
    <row r="9" spans="2:2" s="36" customFormat="1" ht="12.75" x14ac:dyDescent="0.2">
      <c r="B9" s="44" t="s">
        <v>379</v>
      </c>
    </row>
    <row r="10" spans="2:2" s="36" customFormat="1" ht="12.75" x14ac:dyDescent="0.2"/>
    <row r="11" spans="2:2" s="36" customFormat="1" ht="12.75" x14ac:dyDescent="0.2">
      <c r="B11" s="44">
        <v>2025</v>
      </c>
    </row>
    <row r="12" spans="2:2" s="36" customFormat="1" ht="12.75" x14ac:dyDescent="0.2"/>
    <row r="13" spans="2:2" s="36" customFormat="1" ht="12.75" x14ac:dyDescent="0.2">
      <c r="B13" s="43" t="s">
        <v>380</v>
      </c>
    </row>
    <row r="15" spans="2:2" x14ac:dyDescent="0.25">
      <c r="B15" s="8" t="s">
        <v>381</v>
      </c>
    </row>
    <row r="17" spans="2:3" x14ac:dyDescent="0.25">
      <c r="B17" s="58" t="s">
        <v>370</v>
      </c>
    </row>
    <row r="18" spans="2:3" x14ac:dyDescent="0.25">
      <c r="B18" s="8" t="s">
        <v>383</v>
      </c>
    </row>
    <row r="19" spans="2:3" x14ac:dyDescent="0.25">
      <c r="C19" s="8" t="s">
        <v>393</v>
      </c>
    </row>
    <row r="20" spans="2:3" x14ac:dyDescent="0.25">
      <c r="C20" s="8" t="s">
        <v>371</v>
      </c>
    </row>
    <row r="21" spans="2:3" x14ac:dyDescent="0.25">
      <c r="C21" s="8" t="s">
        <v>394</v>
      </c>
    </row>
    <row r="22" spans="2:3" x14ac:dyDescent="0.25">
      <c r="C22" s="8" t="s">
        <v>373</v>
      </c>
    </row>
    <row r="23" spans="2:3" x14ac:dyDescent="0.25">
      <c r="C23" s="8" t="s">
        <v>401</v>
      </c>
    </row>
    <row r="24" spans="2:3" x14ac:dyDescent="0.25">
      <c r="C24" s="8" t="s">
        <v>395</v>
      </c>
    </row>
    <row r="26" spans="2:3" x14ac:dyDescent="0.25">
      <c r="B26" s="58" t="s">
        <v>382</v>
      </c>
    </row>
    <row r="27" spans="2:3" x14ac:dyDescent="0.25">
      <c r="B27" s="8" t="s">
        <v>384</v>
      </c>
    </row>
    <row r="28" spans="2:3" x14ac:dyDescent="0.25">
      <c r="C28" s="8" t="s">
        <v>396</v>
      </c>
    </row>
    <row r="29" spans="2:3" x14ac:dyDescent="0.25">
      <c r="C29" s="8" t="s">
        <v>402</v>
      </c>
    </row>
    <row r="30" spans="2:3" x14ac:dyDescent="0.25">
      <c r="C30" s="8" t="s">
        <v>397</v>
      </c>
    </row>
    <row r="31" spans="2:3" x14ac:dyDescent="0.25">
      <c r="C31" s="8" t="s">
        <v>10</v>
      </c>
    </row>
    <row r="32" spans="2:3" x14ac:dyDescent="0.25">
      <c r="C32" s="8" t="s">
        <v>398</v>
      </c>
    </row>
    <row r="33" spans="2:3" x14ac:dyDescent="0.25">
      <c r="C33" s="8" t="s">
        <v>405</v>
      </c>
    </row>
    <row r="34" spans="2:3" x14ac:dyDescent="0.25">
      <c r="C34" s="8" t="s">
        <v>406</v>
      </c>
    </row>
    <row r="36" spans="2:3" x14ac:dyDescent="0.25">
      <c r="B36" s="58" t="s">
        <v>410</v>
      </c>
    </row>
    <row r="37" spans="2:3" x14ac:dyDescent="0.25">
      <c r="B37" s="8" t="s">
        <v>411</v>
      </c>
    </row>
    <row r="38" spans="2:3" x14ac:dyDescent="0.25">
      <c r="C38" s="8" t="s">
        <v>412</v>
      </c>
    </row>
    <row r="39" spans="2:3" x14ac:dyDescent="0.25">
      <c r="C39" s="8" t="s">
        <v>413</v>
      </c>
    </row>
    <row r="40" spans="2:3" x14ac:dyDescent="0.25">
      <c r="C40" s="8" t="s">
        <v>414</v>
      </c>
    </row>
    <row r="41" spans="2:3" x14ac:dyDescent="0.25">
      <c r="C41" s="8" t="s">
        <v>415</v>
      </c>
    </row>
    <row r="42" spans="2:3" x14ac:dyDescent="0.25">
      <c r="C42" s="8" t="s">
        <v>416</v>
      </c>
    </row>
    <row r="43" spans="2:3" x14ac:dyDescent="0.25">
      <c r="C43" s="8" t="s">
        <v>417</v>
      </c>
    </row>
    <row r="44" spans="2:3" x14ac:dyDescent="0.25">
      <c r="C44" s="8" t="s">
        <v>418</v>
      </c>
    </row>
    <row r="46" spans="2:3" x14ac:dyDescent="0.25">
      <c r="B46" s="58" t="s">
        <v>426</v>
      </c>
    </row>
    <row r="47" spans="2:3" x14ac:dyDescent="0.25">
      <c r="B47" s="8" t="s">
        <v>427</v>
      </c>
    </row>
    <row r="48" spans="2:3" x14ac:dyDescent="0.25">
      <c r="C48" s="8" t="s">
        <v>422</v>
      </c>
    </row>
    <row r="49" spans="2:3" x14ac:dyDescent="0.25">
      <c r="C49" s="8" t="s">
        <v>423</v>
      </c>
    </row>
    <row r="50" spans="2:3" x14ac:dyDescent="0.25">
      <c r="C50" s="8" t="s">
        <v>424</v>
      </c>
    </row>
    <row r="51" spans="2:3" x14ac:dyDescent="0.25">
      <c r="C51" s="8" t="s">
        <v>425</v>
      </c>
    </row>
    <row r="52" spans="2:3" x14ac:dyDescent="0.25">
      <c r="C52" s="8" t="s">
        <v>446</v>
      </c>
    </row>
    <row r="53" spans="2:3" x14ac:dyDescent="0.25">
      <c r="C53" s="8" t="s">
        <v>447</v>
      </c>
    </row>
    <row r="55" spans="2:3" x14ac:dyDescent="0.25">
      <c r="B55" s="58" t="s">
        <v>450</v>
      </c>
    </row>
    <row r="56" spans="2:3" x14ac:dyDescent="0.25">
      <c r="B56" s="8" t="s">
        <v>451</v>
      </c>
    </row>
    <row r="57" spans="2:3" x14ac:dyDescent="0.25">
      <c r="C57" s="8" t="s">
        <v>448</v>
      </c>
    </row>
    <row r="58" spans="2:3" x14ac:dyDescent="0.25">
      <c r="C58" s="8" t="s">
        <v>449</v>
      </c>
    </row>
    <row r="59" spans="2:3" x14ac:dyDescent="0.25">
      <c r="C59" s="8" t="s">
        <v>452</v>
      </c>
    </row>
    <row r="60" spans="2:3" x14ac:dyDescent="0.25">
      <c r="C60" s="8" t="s">
        <v>453</v>
      </c>
    </row>
  </sheetData>
  <hyperlinks>
    <hyperlink ref="B17" r:id="rId1" location="Corpus!A1" xr:uid="{B3CA71CD-1A86-4708-B2E4-4E1E489323F9}"/>
    <hyperlink ref="B26" r:id="rId2" location="Présence!A1" display="Onglet &quot;Corpus&quot;" xr:uid="{7125D3CB-7B51-4C0F-B541-3BA5C02CD3B5}"/>
    <hyperlink ref="B36" location="Cooccurrences!A1" display="Onglet &quot;Cooccurrences&quot;" xr:uid="{FD7D3643-38BD-4F57-9EBB-3AD703C34520}"/>
    <hyperlink ref="B46" location="Fonction!A1" display="Onglet &quot;Fonctions&quot;" xr:uid="{D112773C-EDB6-4459-9566-30A884BD21BB}"/>
    <hyperlink ref="B55" location="Verbes!A1" display="Onglet &quot;Verbes&quot;" xr:uid="{EB25F7FF-BCA8-432D-A8DD-B5F44FCA607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9DBBD-197C-44B4-87B8-3E07BCD54D81}">
  <dimension ref="A1:U2909"/>
  <sheetViews>
    <sheetView topLeftCell="A101" zoomScale="160" zoomScaleNormal="160" workbookViewId="0">
      <selection activeCell="G108" sqref="G108"/>
    </sheetView>
  </sheetViews>
  <sheetFormatPr baseColWidth="10" defaultRowHeight="15" x14ac:dyDescent="0.25"/>
  <cols>
    <col min="3" max="6" width="10.5703125" customWidth="1"/>
    <col min="18" max="18" width="11.42578125" style="57"/>
    <col min="19" max="19" width="11.42578125" style="16"/>
    <col min="21" max="21" width="12.5703125" customWidth="1"/>
  </cols>
  <sheetData>
    <row r="1" spans="1:21" ht="18.75" x14ac:dyDescent="0.3">
      <c r="B1" s="81" t="str">
        <f>Sommaire!B26</f>
        <v>Onglet "Présence"</v>
      </c>
    </row>
    <row r="2" spans="1:21" ht="18.75" x14ac:dyDescent="0.3">
      <c r="B2" s="81" t="str">
        <f>Sommaire!B27</f>
        <v>Données sur la présence des noms divins</v>
      </c>
    </row>
    <row r="4" spans="1:21" ht="18.75" x14ac:dyDescent="0.3">
      <c r="A4" s="3"/>
      <c r="B4" s="2" t="str">
        <f>Sommaire!C19</f>
        <v>Figure 1 : Chronologie des principaux prédicateurs</v>
      </c>
      <c r="C4" s="2"/>
      <c r="D4" s="2"/>
      <c r="E4" s="2"/>
      <c r="F4" s="3"/>
      <c r="G4" s="3"/>
      <c r="H4" s="3"/>
      <c r="R4" s="60" t="s">
        <v>401</v>
      </c>
      <c r="S4" s="6"/>
      <c r="T4" s="2"/>
      <c r="U4" s="2"/>
    </row>
    <row r="5" spans="1:21" x14ac:dyDescent="0.25">
      <c r="C5" s="37" t="s">
        <v>298</v>
      </c>
      <c r="D5" s="37" t="s">
        <v>299</v>
      </c>
      <c r="E5" s="8" t="s">
        <v>300</v>
      </c>
    </row>
    <row r="6" spans="1:21" x14ac:dyDescent="0.25">
      <c r="B6" t="s">
        <v>12</v>
      </c>
      <c r="C6" s="10">
        <v>1969</v>
      </c>
      <c r="D6" s="10">
        <v>1980</v>
      </c>
      <c r="E6" s="10">
        <v>26</v>
      </c>
      <c r="F6">
        <f t="shared" ref="F6:F40" si="0">D6-C6</f>
        <v>11</v>
      </c>
      <c r="R6" s="57" t="s">
        <v>399</v>
      </c>
      <c r="S6" s="16" t="s">
        <v>400</v>
      </c>
    </row>
    <row r="7" spans="1:21" x14ac:dyDescent="0.25">
      <c r="B7" t="s">
        <v>14</v>
      </c>
      <c r="C7" s="10">
        <v>1969</v>
      </c>
      <c r="D7" s="10">
        <v>1999</v>
      </c>
      <c r="E7" s="10">
        <v>99</v>
      </c>
      <c r="F7">
        <f t="shared" si="0"/>
        <v>30</v>
      </c>
      <c r="R7" s="57">
        <v>25537</v>
      </c>
      <c r="S7" s="16">
        <v>1122</v>
      </c>
    </row>
    <row r="8" spans="1:21" x14ac:dyDescent="0.25">
      <c r="B8" t="s">
        <v>13</v>
      </c>
      <c r="C8" s="10">
        <v>1969</v>
      </c>
      <c r="D8" s="10">
        <v>1978</v>
      </c>
      <c r="E8" s="10">
        <v>20</v>
      </c>
      <c r="F8">
        <f t="shared" si="0"/>
        <v>9</v>
      </c>
      <c r="R8" s="57">
        <v>25544</v>
      </c>
      <c r="S8" s="16">
        <v>1143</v>
      </c>
    </row>
    <row r="9" spans="1:21" x14ac:dyDescent="0.25">
      <c r="B9" t="s">
        <v>17</v>
      </c>
      <c r="C9" s="10">
        <v>1970</v>
      </c>
      <c r="D9" s="10">
        <v>1982</v>
      </c>
      <c r="E9" s="10">
        <v>27</v>
      </c>
      <c r="F9">
        <f t="shared" si="0"/>
        <v>12</v>
      </c>
      <c r="R9" s="57">
        <v>25551</v>
      </c>
      <c r="S9" s="16">
        <v>1241</v>
      </c>
    </row>
    <row r="10" spans="1:21" x14ac:dyDescent="0.25">
      <c r="B10" t="s">
        <v>15</v>
      </c>
      <c r="C10" s="10">
        <v>1970</v>
      </c>
      <c r="D10" s="10">
        <v>1981</v>
      </c>
      <c r="E10" s="10">
        <v>42</v>
      </c>
      <c r="F10">
        <f t="shared" si="0"/>
        <v>11</v>
      </c>
      <c r="R10" s="57">
        <v>25558</v>
      </c>
      <c r="S10" s="16">
        <v>1313</v>
      </c>
    </row>
    <row r="11" spans="1:21" x14ac:dyDescent="0.25">
      <c r="B11" t="s">
        <v>16</v>
      </c>
      <c r="C11" s="10">
        <v>1970</v>
      </c>
      <c r="D11" s="10">
        <v>2000</v>
      </c>
      <c r="E11" s="10">
        <v>38</v>
      </c>
      <c r="F11">
        <f t="shared" si="0"/>
        <v>30</v>
      </c>
      <c r="R11" s="57">
        <v>25561</v>
      </c>
      <c r="S11" s="16">
        <v>890</v>
      </c>
    </row>
    <row r="12" spans="1:21" x14ac:dyDescent="0.25">
      <c r="B12" t="s">
        <v>18</v>
      </c>
      <c r="C12" s="10">
        <v>1971</v>
      </c>
      <c r="D12" s="10">
        <v>2007</v>
      </c>
      <c r="E12" s="10">
        <v>35</v>
      </c>
      <c r="F12">
        <f t="shared" si="0"/>
        <v>36</v>
      </c>
      <c r="R12" s="57">
        <v>25562</v>
      </c>
      <c r="S12" s="16">
        <v>1214</v>
      </c>
    </row>
    <row r="13" spans="1:21" x14ac:dyDescent="0.25">
      <c r="B13" t="s">
        <v>19</v>
      </c>
      <c r="C13" s="10">
        <v>1971</v>
      </c>
      <c r="D13" s="10">
        <v>1981</v>
      </c>
      <c r="E13" s="10">
        <v>31</v>
      </c>
      <c r="F13">
        <f t="shared" si="0"/>
        <v>10</v>
      </c>
      <c r="R13" s="57">
        <v>25565</v>
      </c>
      <c r="S13" s="16">
        <v>1620</v>
      </c>
    </row>
    <row r="14" spans="1:21" x14ac:dyDescent="0.25">
      <c r="B14" t="s">
        <v>21</v>
      </c>
      <c r="C14" s="10">
        <v>1973</v>
      </c>
      <c r="D14" s="10">
        <v>2006</v>
      </c>
      <c r="E14" s="10">
        <v>67</v>
      </c>
      <c r="F14">
        <f t="shared" si="0"/>
        <v>33</v>
      </c>
      <c r="R14" s="57">
        <v>25572</v>
      </c>
      <c r="S14" s="16">
        <v>1067</v>
      </c>
    </row>
    <row r="15" spans="1:21" x14ac:dyDescent="0.25">
      <c r="B15" t="s">
        <v>20</v>
      </c>
      <c r="C15" s="10">
        <v>1973</v>
      </c>
      <c r="D15" s="10">
        <v>1996</v>
      </c>
      <c r="E15" s="10">
        <v>67</v>
      </c>
      <c r="F15">
        <f t="shared" si="0"/>
        <v>23</v>
      </c>
      <c r="R15" s="57">
        <v>25579</v>
      </c>
      <c r="S15" s="16">
        <v>1818</v>
      </c>
    </row>
    <row r="16" spans="1:21" x14ac:dyDescent="0.25">
      <c r="B16" t="s">
        <v>23</v>
      </c>
      <c r="C16" s="10">
        <v>1975</v>
      </c>
      <c r="D16" s="10">
        <v>2008</v>
      </c>
      <c r="E16" s="10">
        <v>50</v>
      </c>
      <c r="F16">
        <f t="shared" si="0"/>
        <v>33</v>
      </c>
      <c r="R16" s="57">
        <v>25586</v>
      </c>
      <c r="S16" s="16">
        <v>1203</v>
      </c>
    </row>
    <row r="17" spans="2:19" x14ac:dyDescent="0.25">
      <c r="B17" t="s">
        <v>22</v>
      </c>
      <c r="C17" s="10">
        <v>1975</v>
      </c>
      <c r="D17" s="10">
        <v>1989</v>
      </c>
      <c r="E17" s="10">
        <v>34</v>
      </c>
      <c r="F17">
        <f t="shared" si="0"/>
        <v>14</v>
      </c>
      <c r="R17" s="57">
        <v>25593</v>
      </c>
      <c r="S17" s="16">
        <v>967</v>
      </c>
    </row>
    <row r="18" spans="2:19" x14ac:dyDescent="0.25">
      <c r="B18" t="s">
        <v>24</v>
      </c>
      <c r="C18" s="10">
        <v>1977</v>
      </c>
      <c r="D18" s="10">
        <v>1988</v>
      </c>
      <c r="E18" s="10">
        <v>21</v>
      </c>
      <c r="F18">
        <f t="shared" si="0"/>
        <v>11</v>
      </c>
      <c r="R18" s="57">
        <v>25600</v>
      </c>
      <c r="S18" s="16">
        <v>808</v>
      </c>
    </row>
    <row r="19" spans="2:19" x14ac:dyDescent="0.25">
      <c r="B19" t="s">
        <v>25</v>
      </c>
      <c r="C19" s="10">
        <v>1978</v>
      </c>
      <c r="D19" s="10">
        <v>2004</v>
      </c>
      <c r="E19" s="10">
        <v>22</v>
      </c>
      <c r="F19">
        <f t="shared" si="0"/>
        <v>26</v>
      </c>
      <c r="R19" s="57">
        <v>25607</v>
      </c>
      <c r="S19" s="16">
        <v>2045</v>
      </c>
    </row>
    <row r="20" spans="2:19" x14ac:dyDescent="0.25">
      <c r="B20" t="s">
        <v>27</v>
      </c>
      <c r="C20" s="10">
        <v>1979</v>
      </c>
      <c r="D20" s="10">
        <v>2004</v>
      </c>
      <c r="E20" s="10">
        <v>54</v>
      </c>
      <c r="F20">
        <f t="shared" si="0"/>
        <v>25</v>
      </c>
      <c r="R20" s="57">
        <v>25614</v>
      </c>
      <c r="S20" s="16">
        <v>1544</v>
      </c>
    </row>
    <row r="21" spans="2:19" x14ac:dyDescent="0.25">
      <c r="B21" t="s">
        <v>26</v>
      </c>
      <c r="C21" s="10">
        <v>1979</v>
      </c>
      <c r="D21" s="10">
        <v>1993</v>
      </c>
      <c r="E21" s="10">
        <v>24</v>
      </c>
      <c r="F21">
        <f t="shared" si="0"/>
        <v>14</v>
      </c>
      <c r="R21" s="57">
        <v>25621</v>
      </c>
      <c r="S21" s="16">
        <v>1628</v>
      </c>
    </row>
    <row r="22" spans="2:19" x14ac:dyDescent="0.25">
      <c r="B22" t="s">
        <v>28</v>
      </c>
      <c r="C22" s="10">
        <v>1981</v>
      </c>
      <c r="D22" s="10">
        <v>2005</v>
      </c>
      <c r="E22" s="10">
        <v>61</v>
      </c>
      <c r="F22">
        <f t="shared" si="0"/>
        <v>24</v>
      </c>
      <c r="R22" s="57">
        <v>25628</v>
      </c>
      <c r="S22" s="16">
        <v>1744</v>
      </c>
    </row>
    <row r="23" spans="2:19" x14ac:dyDescent="0.25">
      <c r="B23" t="s">
        <v>31</v>
      </c>
      <c r="C23" s="10">
        <v>1982</v>
      </c>
      <c r="D23" s="10">
        <v>1991</v>
      </c>
      <c r="E23" s="10">
        <v>36</v>
      </c>
      <c r="F23">
        <f t="shared" si="0"/>
        <v>9</v>
      </c>
      <c r="R23" s="57">
        <v>25635</v>
      </c>
      <c r="S23" s="16">
        <v>1739</v>
      </c>
    </row>
    <row r="24" spans="2:19" x14ac:dyDescent="0.25">
      <c r="B24" t="s">
        <v>29</v>
      </c>
      <c r="C24" s="10">
        <v>1982</v>
      </c>
      <c r="D24" s="10">
        <v>2004</v>
      </c>
      <c r="E24" s="10">
        <v>21</v>
      </c>
      <c r="F24">
        <f t="shared" si="0"/>
        <v>22</v>
      </c>
      <c r="R24" s="57">
        <v>25642</v>
      </c>
      <c r="S24" s="16">
        <v>1654</v>
      </c>
    </row>
    <row r="25" spans="2:19" x14ac:dyDescent="0.25">
      <c r="B25" t="s">
        <v>30</v>
      </c>
      <c r="C25" s="10">
        <v>1982</v>
      </c>
      <c r="D25" s="10">
        <v>2022</v>
      </c>
      <c r="E25" s="10">
        <v>37</v>
      </c>
      <c r="F25">
        <f t="shared" si="0"/>
        <v>40</v>
      </c>
      <c r="R25" s="57">
        <v>25649</v>
      </c>
      <c r="S25" s="16">
        <v>1646</v>
      </c>
    </row>
    <row r="26" spans="2:19" x14ac:dyDescent="0.25">
      <c r="B26" t="s">
        <v>32</v>
      </c>
      <c r="C26" s="10">
        <v>1984</v>
      </c>
      <c r="D26" s="10">
        <v>2009</v>
      </c>
      <c r="E26" s="10">
        <v>39</v>
      </c>
      <c r="F26">
        <f t="shared" si="0"/>
        <v>25</v>
      </c>
      <c r="R26" s="57">
        <v>25663</v>
      </c>
      <c r="S26" s="16">
        <v>1171</v>
      </c>
    </row>
    <row r="27" spans="2:19" x14ac:dyDescent="0.25">
      <c r="B27" t="s">
        <v>33</v>
      </c>
      <c r="C27" s="10">
        <v>1988</v>
      </c>
      <c r="D27" s="10">
        <v>2009</v>
      </c>
      <c r="E27" s="10">
        <v>34</v>
      </c>
      <c r="F27">
        <f t="shared" si="0"/>
        <v>21</v>
      </c>
      <c r="R27" s="57">
        <v>25670</v>
      </c>
      <c r="S27" s="16">
        <v>2074</v>
      </c>
    </row>
    <row r="28" spans="2:19" x14ac:dyDescent="0.25">
      <c r="B28" t="s">
        <v>34</v>
      </c>
      <c r="C28" s="10">
        <v>1989</v>
      </c>
      <c r="D28" s="10">
        <v>2007</v>
      </c>
      <c r="E28" s="10">
        <v>64</v>
      </c>
      <c r="F28">
        <f t="shared" si="0"/>
        <v>18</v>
      </c>
      <c r="R28" s="57">
        <v>25677</v>
      </c>
      <c r="S28" s="16">
        <v>1488</v>
      </c>
    </row>
    <row r="29" spans="2:19" x14ac:dyDescent="0.25">
      <c r="B29" t="s">
        <v>35</v>
      </c>
      <c r="C29" s="10">
        <v>1990</v>
      </c>
      <c r="D29" s="10">
        <v>2004</v>
      </c>
      <c r="E29" s="10">
        <v>30</v>
      </c>
      <c r="F29">
        <f t="shared" si="0"/>
        <v>14</v>
      </c>
      <c r="R29" s="57">
        <v>25684</v>
      </c>
      <c r="S29" s="16">
        <v>1312</v>
      </c>
    </row>
    <row r="30" spans="2:19" x14ac:dyDescent="0.25">
      <c r="B30" t="s">
        <v>36</v>
      </c>
      <c r="C30" s="10">
        <v>1992</v>
      </c>
      <c r="D30" s="10">
        <v>2005</v>
      </c>
      <c r="E30" s="10">
        <v>34</v>
      </c>
      <c r="F30">
        <f t="shared" si="0"/>
        <v>13</v>
      </c>
      <c r="R30" s="57">
        <v>25691</v>
      </c>
      <c r="S30" s="16">
        <v>1383</v>
      </c>
    </row>
    <row r="31" spans="2:19" x14ac:dyDescent="0.25">
      <c r="B31" t="s">
        <v>37</v>
      </c>
      <c r="C31" s="10">
        <v>1994</v>
      </c>
      <c r="D31" s="10">
        <v>2021</v>
      </c>
      <c r="E31" s="10">
        <v>25</v>
      </c>
      <c r="F31">
        <f t="shared" si="0"/>
        <v>27</v>
      </c>
      <c r="R31" s="57">
        <v>25698</v>
      </c>
      <c r="S31" s="16">
        <v>1413</v>
      </c>
    </row>
    <row r="32" spans="2:19" x14ac:dyDescent="0.25">
      <c r="B32" t="s">
        <v>38</v>
      </c>
      <c r="C32" s="10">
        <v>1996</v>
      </c>
      <c r="D32" s="10">
        <v>2019</v>
      </c>
      <c r="E32" s="10">
        <v>31</v>
      </c>
      <c r="F32">
        <f t="shared" si="0"/>
        <v>23</v>
      </c>
      <c r="R32" s="57">
        <v>25705</v>
      </c>
      <c r="S32" s="16">
        <v>752</v>
      </c>
    </row>
    <row r="33" spans="1:19" x14ac:dyDescent="0.25">
      <c r="B33" t="s">
        <v>39</v>
      </c>
      <c r="C33" s="10">
        <v>1996</v>
      </c>
      <c r="D33" s="10">
        <v>2021</v>
      </c>
      <c r="E33" s="10">
        <v>36</v>
      </c>
      <c r="F33">
        <f t="shared" si="0"/>
        <v>25</v>
      </c>
      <c r="R33" s="57">
        <v>25712</v>
      </c>
      <c r="S33" s="16">
        <v>1163</v>
      </c>
    </row>
    <row r="34" spans="1:19" x14ac:dyDescent="0.25">
      <c r="B34" t="s">
        <v>40</v>
      </c>
      <c r="C34" s="10">
        <v>1997</v>
      </c>
      <c r="D34" s="10">
        <v>2011</v>
      </c>
      <c r="E34" s="10">
        <v>33</v>
      </c>
      <c r="F34">
        <f t="shared" si="0"/>
        <v>14</v>
      </c>
      <c r="R34" s="57">
        <v>25719</v>
      </c>
      <c r="S34" s="16">
        <v>1787</v>
      </c>
    </row>
    <row r="35" spans="1:19" x14ac:dyDescent="0.25">
      <c r="B35" t="s">
        <v>41</v>
      </c>
      <c r="C35" s="10">
        <v>2005</v>
      </c>
      <c r="D35" s="10">
        <v>2022</v>
      </c>
      <c r="E35" s="10">
        <v>31</v>
      </c>
      <c r="F35">
        <f t="shared" si="0"/>
        <v>17</v>
      </c>
      <c r="R35" s="57">
        <v>25726</v>
      </c>
      <c r="S35" s="16">
        <v>908</v>
      </c>
    </row>
    <row r="36" spans="1:19" x14ac:dyDescent="0.25">
      <c r="B36" t="s">
        <v>42</v>
      </c>
      <c r="C36" s="10">
        <v>2006</v>
      </c>
      <c r="D36" s="10">
        <v>2017</v>
      </c>
      <c r="E36" s="10">
        <v>20</v>
      </c>
      <c r="F36">
        <f t="shared" si="0"/>
        <v>11</v>
      </c>
      <c r="R36" s="57">
        <v>25733</v>
      </c>
      <c r="S36" s="16">
        <v>720</v>
      </c>
    </row>
    <row r="37" spans="1:19" x14ac:dyDescent="0.25">
      <c r="B37" t="s">
        <v>43</v>
      </c>
      <c r="C37" s="10">
        <v>2009</v>
      </c>
      <c r="D37" s="10">
        <v>2018</v>
      </c>
      <c r="E37" s="10">
        <v>23</v>
      </c>
      <c r="F37">
        <f t="shared" si="0"/>
        <v>9</v>
      </c>
      <c r="R37" s="57">
        <v>25740</v>
      </c>
      <c r="S37" s="16">
        <v>1335</v>
      </c>
    </row>
    <row r="38" spans="1:19" x14ac:dyDescent="0.25">
      <c r="B38" t="s">
        <v>45</v>
      </c>
      <c r="C38" s="10">
        <v>2013</v>
      </c>
      <c r="D38" s="10">
        <v>2022</v>
      </c>
      <c r="E38" s="10">
        <v>42</v>
      </c>
      <c r="F38">
        <f t="shared" si="0"/>
        <v>9</v>
      </c>
      <c r="R38" s="57">
        <v>25754</v>
      </c>
      <c r="S38" s="16">
        <v>934</v>
      </c>
    </row>
    <row r="39" spans="1:19" x14ac:dyDescent="0.25">
      <c r="B39" t="s">
        <v>46</v>
      </c>
      <c r="C39" s="10">
        <v>2013</v>
      </c>
      <c r="D39" s="10">
        <v>2022</v>
      </c>
      <c r="E39" s="10">
        <v>42</v>
      </c>
      <c r="F39">
        <f t="shared" si="0"/>
        <v>9</v>
      </c>
      <c r="R39" s="57">
        <v>25761</v>
      </c>
      <c r="S39" s="16">
        <v>801</v>
      </c>
    </row>
    <row r="40" spans="1:19" x14ac:dyDescent="0.25">
      <c r="B40" t="s">
        <v>44</v>
      </c>
      <c r="C40" s="10">
        <v>2013</v>
      </c>
      <c r="D40" s="10">
        <v>2019</v>
      </c>
      <c r="E40" s="10">
        <v>20</v>
      </c>
      <c r="F40">
        <f t="shared" si="0"/>
        <v>6</v>
      </c>
      <c r="R40" s="57">
        <v>25768</v>
      </c>
      <c r="S40" s="16">
        <v>1206</v>
      </c>
    </row>
    <row r="41" spans="1:19" x14ac:dyDescent="0.25">
      <c r="R41" s="57">
        <v>25775</v>
      </c>
      <c r="S41" s="16">
        <v>1746</v>
      </c>
    </row>
    <row r="42" spans="1:19" ht="18.75" x14ac:dyDescent="0.3">
      <c r="A42" s="3"/>
      <c r="B42" s="2" t="s">
        <v>109</v>
      </c>
      <c r="C42" s="2"/>
      <c r="D42" s="2"/>
      <c r="E42" s="2"/>
      <c r="F42" s="2"/>
      <c r="R42" s="57">
        <v>25782</v>
      </c>
      <c r="S42" s="16">
        <v>868</v>
      </c>
    </row>
    <row r="43" spans="1:19" x14ac:dyDescent="0.25">
      <c r="A43" s="18" t="s">
        <v>409</v>
      </c>
    </row>
    <row r="44" spans="1:19" x14ac:dyDescent="0.25">
      <c r="C44" t="s">
        <v>110</v>
      </c>
      <c r="R44" s="57">
        <v>25789</v>
      </c>
      <c r="S44" s="16">
        <v>914</v>
      </c>
    </row>
    <row r="45" spans="1:19" x14ac:dyDescent="0.25">
      <c r="B45">
        <v>1969</v>
      </c>
      <c r="C45" s="19">
        <v>1237.2857142857142</v>
      </c>
      <c r="R45" s="57">
        <v>25796</v>
      </c>
      <c r="S45" s="16">
        <v>903</v>
      </c>
    </row>
    <row r="46" spans="1:19" x14ac:dyDescent="0.25">
      <c r="B46">
        <v>1970</v>
      </c>
      <c r="C46" s="19">
        <v>1319.0784313725489</v>
      </c>
      <c r="R46" s="57">
        <v>25803</v>
      </c>
      <c r="S46" s="16">
        <v>1563</v>
      </c>
    </row>
    <row r="47" spans="1:19" x14ac:dyDescent="0.25">
      <c r="B47">
        <v>1971</v>
      </c>
      <c r="C47" s="19">
        <v>1287.6153846153845</v>
      </c>
      <c r="R47" s="57">
        <v>25810</v>
      </c>
      <c r="S47" s="16">
        <v>1164</v>
      </c>
    </row>
    <row r="48" spans="1:19" x14ac:dyDescent="0.25">
      <c r="B48">
        <v>1972</v>
      </c>
      <c r="C48" s="19">
        <v>1323.0975609756097</v>
      </c>
      <c r="R48" s="57">
        <v>25817</v>
      </c>
      <c r="S48" s="16">
        <v>1438</v>
      </c>
    </row>
    <row r="49" spans="2:19" x14ac:dyDescent="0.25">
      <c r="B49">
        <v>1973</v>
      </c>
      <c r="C49" s="19">
        <v>1265.8846153846155</v>
      </c>
      <c r="R49" s="57">
        <v>25824</v>
      </c>
      <c r="S49" s="16">
        <v>1734</v>
      </c>
    </row>
    <row r="50" spans="2:19" x14ac:dyDescent="0.25">
      <c r="B50">
        <v>1974</v>
      </c>
      <c r="C50" s="19">
        <v>1372</v>
      </c>
      <c r="R50" s="57">
        <v>25831</v>
      </c>
      <c r="S50" s="16">
        <v>1244</v>
      </c>
    </row>
    <row r="51" spans="2:19" x14ac:dyDescent="0.25">
      <c r="B51">
        <v>1975</v>
      </c>
      <c r="C51" s="19">
        <v>1249.6851851851852</v>
      </c>
      <c r="R51" s="57">
        <v>25838</v>
      </c>
      <c r="S51" s="16">
        <v>1248</v>
      </c>
    </row>
    <row r="52" spans="2:19" x14ac:dyDescent="0.25">
      <c r="B52">
        <v>1976</v>
      </c>
      <c r="C52" s="19">
        <v>1281.98</v>
      </c>
      <c r="R52" s="57">
        <v>25845</v>
      </c>
      <c r="S52" s="16">
        <v>1145</v>
      </c>
    </row>
    <row r="53" spans="2:19" x14ac:dyDescent="0.25">
      <c r="B53">
        <v>1977</v>
      </c>
      <c r="C53" s="19">
        <v>1335.3636363636363</v>
      </c>
      <c r="R53" s="57">
        <v>25852</v>
      </c>
      <c r="S53" s="16">
        <v>1725</v>
      </c>
    </row>
    <row r="54" spans="2:19" x14ac:dyDescent="0.25">
      <c r="B54">
        <v>1978</v>
      </c>
      <c r="C54" s="19">
        <v>1199.4615384615386</v>
      </c>
      <c r="R54" s="57">
        <v>25859</v>
      </c>
      <c r="S54" s="16">
        <v>784</v>
      </c>
    </row>
    <row r="55" spans="2:19" x14ac:dyDescent="0.25">
      <c r="B55">
        <v>1979</v>
      </c>
      <c r="C55" s="19">
        <v>1222.8333333333333</v>
      </c>
      <c r="R55" s="57">
        <v>25866</v>
      </c>
      <c r="S55" s="16">
        <v>1442</v>
      </c>
    </row>
    <row r="56" spans="2:19" x14ac:dyDescent="0.25">
      <c r="B56">
        <v>1980</v>
      </c>
      <c r="C56" s="19">
        <v>1058.1454545454546</v>
      </c>
      <c r="R56" s="57">
        <v>25873</v>
      </c>
      <c r="S56" s="16">
        <v>1106</v>
      </c>
    </row>
    <row r="57" spans="2:19" x14ac:dyDescent="0.25">
      <c r="B57">
        <v>1981</v>
      </c>
      <c r="C57" s="19">
        <v>1047.0185185185185</v>
      </c>
      <c r="R57" s="57">
        <v>25880</v>
      </c>
      <c r="S57" s="16">
        <v>1578</v>
      </c>
    </row>
    <row r="58" spans="2:19" x14ac:dyDescent="0.25">
      <c r="B58">
        <v>1982</v>
      </c>
      <c r="C58" s="19">
        <v>1070.7777777777778</v>
      </c>
      <c r="R58" s="57">
        <v>25887</v>
      </c>
      <c r="S58" s="16">
        <v>1388</v>
      </c>
    </row>
    <row r="59" spans="2:19" x14ac:dyDescent="0.25">
      <c r="B59">
        <v>1983</v>
      </c>
      <c r="C59" s="19">
        <v>1079.6415094339623</v>
      </c>
      <c r="R59" s="57">
        <v>25894</v>
      </c>
      <c r="S59" s="16">
        <v>795</v>
      </c>
    </row>
    <row r="60" spans="2:19" x14ac:dyDescent="0.25">
      <c r="B60">
        <v>1984</v>
      </c>
      <c r="C60" s="19">
        <v>1100.4912280701753</v>
      </c>
      <c r="R60" s="57">
        <v>25901</v>
      </c>
      <c r="S60" s="16">
        <v>1208</v>
      </c>
    </row>
    <row r="61" spans="2:19" x14ac:dyDescent="0.25">
      <c r="B61">
        <v>1985</v>
      </c>
      <c r="C61" s="19">
        <v>1010.3636363636364</v>
      </c>
      <c r="R61" s="57">
        <v>25908</v>
      </c>
      <c r="S61" s="16">
        <v>1244</v>
      </c>
    </row>
    <row r="62" spans="2:19" x14ac:dyDescent="0.25">
      <c r="B62">
        <v>1986</v>
      </c>
      <c r="C62" s="19">
        <v>1081.5636363636363</v>
      </c>
      <c r="R62" s="57">
        <v>25915</v>
      </c>
      <c r="S62" s="16">
        <v>1656</v>
      </c>
    </row>
    <row r="63" spans="2:19" x14ac:dyDescent="0.25">
      <c r="B63">
        <v>1987</v>
      </c>
      <c r="C63" s="19">
        <v>942.0181818181818</v>
      </c>
      <c r="R63" s="57">
        <v>25922</v>
      </c>
      <c r="S63" s="16">
        <v>1071</v>
      </c>
    </row>
    <row r="64" spans="2:19" x14ac:dyDescent="0.25">
      <c r="B64">
        <v>1988</v>
      </c>
      <c r="C64" s="19">
        <v>1016.6545454545454</v>
      </c>
      <c r="R64" s="57">
        <v>25927</v>
      </c>
      <c r="S64" s="16">
        <v>899</v>
      </c>
    </row>
    <row r="65" spans="2:19" x14ac:dyDescent="0.25">
      <c r="B65">
        <v>1989</v>
      </c>
      <c r="C65" s="19">
        <v>1008.1607142857143</v>
      </c>
      <c r="R65" s="57">
        <v>25929</v>
      </c>
      <c r="S65" s="16">
        <v>1424</v>
      </c>
    </row>
    <row r="66" spans="2:19" x14ac:dyDescent="0.25">
      <c r="B66">
        <v>1990</v>
      </c>
      <c r="C66" s="19">
        <v>906.0545454545454</v>
      </c>
      <c r="R66" s="57">
        <v>25936</v>
      </c>
      <c r="S66" s="16">
        <v>1486</v>
      </c>
    </row>
    <row r="67" spans="2:19" x14ac:dyDescent="0.25">
      <c r="B67">
        <v>1991</v>
      </c>
      <c r="C67" s="19">
        <v>940.05357142857144</v>
      </c>
      <c r="R67" s="57">
        <v>25943</v>
      </c>
      <c r="S67" s="16">
        <v>1687</v>
      </c>
    </row>
    <row r="68" spans="2:19" x14ac:dyDescent="0.25">
      <c r="B68">
        <v>1992</v>
      </c>
      <c r="C68" s="19">
        <v>925.5272727272727</v>
      </c>
      <c r="R68" s="57">
        <v>25950</v>
      </c>
      <c r="S68" s="16">
        <v>1452</v>
      </c>
    </row>
    <row r="69" spans="2:19" x14ac:dyDescent="0.25">
      <c r="B69">
        <v>1993</v>
      </c>
      <c r="C69" s="19">
        <v>898</v>
      </c>
      <c r="R69" s="57">
        <v>25971</v>
      </c>
      <c r="S69" s="16">
        <v>1585</v>
      </c>
    </row>
    <row r="70" spans="2:19" x14ac:dyDescent="0.25">
      <c r="B70">
        <v>1994</v>
      </c>
      <c r="C70" s="19">
        <v>908.375</v>
      </c>
      <c r="R70" s="57">
        <v>26027</v>
      </c>
      <c r="S70" s="16">
        <v>886</v>
      </c>
    </row>
    <row r="71" spans="2:19" x14ac:dyDescent="0.25">
      <c r="B71">
        <v>1995</v>
      </c>
      <c r="C71" s="19">
        <v>918.65517241379314</v>
      </c>
      <c r="R71" s="57">
        <v>26055</v>
      </c>
      <c r="S71" s="16">
        <v>2044</v>
      </c>
    </row>
    <row r="72" spans="2:19" x14ac:dyDescent="0.25">
      <c r="B72">
        <v>1996</v>
      </c>
      <c r="C72" s="19">
        <v>956.91525423728808</v>
      </c>
      <c r="R72" s="57">
        <v>26062</v>
      </c>
      <c r="S72" s="16">
        <v>1150</v>
      </c>
    </row>
    <row r="73" spans="2:19" x14ac:dyDescent="0.25">
      <c r="B73">
        <v>1997</v>
      </c>
      <c r="C73" s="19">
        <v>925.08771929824559</v>
      </c>
      <c r="R73" s="57">
        <v>26069</v>
      </c>
      <c r="S73" s="16">
        <v>902</v>
      </c>
    </row>
    <row r="74" spans="2:19" x14ac:dyDescent="0.25">
      <c r="B74">
        <v>1998</v>
      </c>
      <c r="C74" s="19">
        <v>887.57142857142856</v>
      </c>
      <c r="R74" s="57">
        <v>26076</v>
      </c>
      <c r="S74" s="16">
        <v>855</v>
      </c>
    </row>
    <row r="75" spans="2:19" x14ac:dyDescent="0.25">
      <c r="B75">
        <v>1999</v>
      </c>
      <c r="C75" s="19">
        <v>894.26785714285711</v>
      </c>
      <c r="R75" s="57">
        <v>26083</v>
      </c>
      <c r="S75" s="16">
        <v>1144</v>
      </c>
    </row>
    <row r="76" spans="2:19" x14ac:dyDescent="0.25">
      <c r="B76">
        <v>2000</v>
      </c>
      <c r="C76" s="19">
        <v>913.01724137931035</v>
      </c>
      <c r="R76" s="57">
        <v>26090</v>
      </c>
      <c r="S76" s="16">
        <v>661</v>
      </c>
    </row>
    <row r="77" spans="2:19" x14ac:dyDescent="0.25">
      <c r="B77">
        <v>2001</v>
      </c>
      <c r="C77" s="19">
        <v>884.52631578947364</v>
      </c>
      <c r="R77" s="57">
        <v>26097</v>
      </c>
      <c r="S77" s="16">
        <v>955</v>
      </c>
    </row>
    <row r="78" spans="2:19" x14ac:dyDescent="0.25">
      <c r="B78">
        <v>2002</v>
      </c>
      <c r="C78" s="19">
        <v>888.68421052631584</v>
      </c>
      <c r="R78" s="57">
        <v>26104</v>
      </c>
      <c r="S78" s="16">
        <v>1568</v>
      </c>
    </row>
    <row r="79" spans="2:19" x14ac:dyDescent="0.25">
      <c r="B79">
        <v>2003</v>
      </c>
      <c r="C79" s="19">
        <v>916.84210526315792</v>
      </c>
      <c r="R79" s="57">
        <v>26111</v>
      </c>
      <c r="S79" s="16">
        <v>1098</v>
      </c>
    </row>
    <row r="80" spans="2:19" x14ac:dyDescent="0.25">
      <c r="B80">
        <v>2004</v>
      </c>
      <c r="C80" s="19">
        <v>873.19642857142856</v>
      </c>
      <c r="R80" s="57">
        <v>26118</v>
      </c>
      <c r="S80" s="16">
        <v>796</v>
      </c>
    </row>
    <row r="81" spans="2:19" x14ac:dyDescent="0.25">
      <c r="B81">
        <v>2005</v>
      </c>
      <c r="C81" s="19">
        <v>866.70689655172418</v>
      </c>
      <c r="R81" s="57">
        <v>26125</v>
      </c>
      <c r="S81" s="16">
        <v>1261</v>
      </c>
    </row>
    <row r="82" spans="2:19" x14ac:dyDescent="0.25">
      <c r="B82">
        <v>2006</v>
      </c>
      <c r="C82" s="19">
        <v>843.12068965517244</v>
      </c>
      <c r="R82" s="57">
        <v>26132</v>
      </c>
      <c r="S82" s="16">
        <v>1250</v>
      </c>
    </row>
    <row r="83" spans="2:19" x14ac:dyDescent="0.25">
      <c r="B83">
        <v>2007</v>
      </c>
      <c r="C83" s="19">
        <v>862.35087719298247</v>
      </c>
      <c r="R83" s="57">
        <v>26139</v>
      </c>
      <c r="S83" s="16">
        <v>808</v>
      </c>
    </row>
    <row r="84" spans="2:19" x14ac:dyDescent="0.25">
      <c r="B84">
        <v>2008</v>
      </c>
      <c r="C84" s="19">
        <v>889.79310344827582</v>
      </c>
      <c r="R84" s="57">
        <v>26146</v>
      </c>
      <c r="S84" s="16">
        <v>871</v>
      </c>
    </row>
    <row r="85" spans="2:19" x14ac:dyDescent="0.25">
      <c r="B85">
        <v>2009</v>
      </c>
      <c r="C85" s="19">
        <v>860.51785714285711</v>
      </c>
      <c r="R85" s="57">
        <v>26153</v>
      </c>
      <c r="S85" s="16">
        <v>1060</v>
      </c>
    </row>
    <row r="86" spans="2:19" x14ac:dyDescent="0.25">
      <c r="B86">
        <v>2010</v>
      </c>
      <c r="C86" s="19">
        <v>729.07142857142856</v>
      </c>
      <c r="R86" s="57">
        <v>26167</v>
      </c>
      <c r="S86" s="16">
        <v>1157</v>
      </c>
    </row>
    <row r="87" spans="2:19" x14ac:dyDescent="0.25">
      <c r="B87">
        <v>2011</v>
      </c>
      <c r="C87" s="19">
        <v>732.26785714285711</v>
      </c>
      <c r="R87" s="57">
        <v>26174</v>
      </c>
      <c r="S87" s="16">
        <v>1016</v>
      </c>
    </row>
    <row r="88" spans="2:19" x14ac:dyDescent="0.25">
      <c r="B88">
        <v>2012</v>
      </c>
      <c r="C88" s="19">
        <v>680.74137931034488</v>
      </c>
      <c r="R88" s="57">
        <v>26181</v>
      </c>
      <c r="S88" s="16">
        <v>1866</v>
      </c>
    </row>
    <row r="89" spans="2:19" x14ac:dyDescent="0.25">
      <c r="B89">
        <v>2013</v>
      </c>
      <c r="C89" s="19">
        <v>707.35087719298247</v>
      </c>
      <c r="R89" s="57">
        <v>26188</v>
      </c>
      <c r="S89" s="16">
        <v>1034</v>
      </c>
    </row>
    <row r="90" spans="2:19" x14ac:dyDescent="0.25">
      <c r="B90">
        <v>2014</v>
      </c>
      <c r="C90" s="19">
        <v>702</v>
      </c>
      <c r="R90" s="57">
        <v>26195</v>
      </c>
      <c r="S90" s="16">
        <v>1692</v>
      </c>
    </row>
    <row r="91" spans="2:19" x14ac:dyDescent="0.25">
      <c r="B91">
        <v>2015</v>
      </c>
      <c r="C91" s="19">
        <v>677.44642857142856</v>
      </c>
      <c r="R91" s="57">
        <v>26202</v>
      </c>
      <c r="S91" s="16">
        <v>1039</v>
      </c>
    </row>
    <row r="92" spans="2:19" x14ac:dyDescent="0.25">
      <c r="B92">
        <v>2016</v>
      </c>
      <c r="C92" s="19">
        <v>705.67857142857144</v>
      </c>
      <c r="R92" s="57">
        <v>26209</v>
      </c>
      <c r="S92" s="16">
        <v>1032</v>
      </c>
    </row>
    <row r="93" spans="2:19" x14ac:dyDescent="0.25">
      <c r="B93">
        <v>2017</v>
      </c>
      <c r="C93" s="19">
        <v>660.01724137931035</v>
      </c>
      <c r="R93" s="57">
        <v>26216</v>
      </c>
      <c r="S93" s="16">
        <v>795</v>
      </c>
    </row>
    <row r="94" spans="2:19" x14ac:dyDescent="0.25">
      <c r="B94">
        <v>2018</v>
      </c>
      <c r="C94" s="19">
        <v>673.9473684210526</v>
      </c>
      <c r="R94" s="57">
        <v>26223</v>
      </c>
      <c r="S94" s="16">
        <v>1395</v>
      </c>
    </row>
    <row r="95" spans="2:19" x14ac:dyDescent="0.25">
      <c r="B95">
        <v>2019</v>
      </c>
      <c r="C95" s="19">
        <v>730.69642857142856</v>
      </c>
      <c r="R95" s="57">
        <v>26230</v>
      </c>
      <c r="S95" s="16">
        <v>983</v>
      </c>
    </row>
    <row r="96" spans="2:19" x14ac:dyDescent="0.25">
      <c r="B96">
        <v>2020</v>
      </c>
      <c r="C96" s="19">
        <v>774.07142857142856</v>
      </c>
      <c r="R96" s="57">
        <v>26237</v>
      </c>
      <c r="S96" s="16">
        <v>1451</v>
      </c>
    </row>
    <row r="97" spans="1:19" x14ac:dyDescent="0.25">
      <c r="B97">
        <v>2021</v>
      </c>
      <c r="C97" s="19">
        <v>763.9818181818182</v>
      </c>
      <c r="R97" s="57">
        <v>26244</v>
      </c>
      <c r="S97" s="16">
        <v>1300</v>
      </c>
    </row>
    <row r="98" spans="1:19" x14ac:dyDescent="0.25">
      <c r="B98">
        <v>2022</v>
      </c>
      <c r="C98" s="19">
        <v>759.66</v>
      </c>
      <c r="R98" s="57">
        <v>26251</v>
      </c>
      <c r="S98" s="16">
        <v>1704</v>
      </c>
    </row>
    <row r="99" spans="1:19" x14ac:dyDescent="0.25">
      <c r="R99" s="57">
        <v>26258</v>
      </c>
      <c r="S99" s="16">
        <v>1194</v>
      </c>
    </row>
    <row r="100" spans="1:19" x14ac:dyDescent="0.25">
      <c r="R100" s="57">
        <v>26265</v>
      </c>
      <c r="S100" s="16">
        <v>1342</v>
      </c>
    </row>
    <row r="101" spans="1:19" ht="18.75" x14ac:dyDescent="0.3">
      <c r="A101" s="3"/>
      <c r="B101" s="2" t="str">
        <f>Sommaire!C21</f>
        <v>Figure 2 : Qui prêche au Jour du Seigneur</v>
      </c>
      <c r="C101" s="2"/>
      <c r="D101" s="2"/>
      <c r="E101" s="2"/>
      <c r="F101" s="2"/>
      <c r="R101" s="57">
        <v>26272</v>
      </c>
      <c r="S101" s="16">
        <v>1181</v>
      </c>
    </row>
    <row r="102" spans="1:19" x14ac:dyDescent="0.25">
      <c r="A102" s="18" t="s">
        <v>409</v>
      </c>
      <c r="R102" s="57">
        <v>26279</v>
      </c>
      <c r="S102" s="16">
        <v>1792</v>
      </c>
    </row>
    <row r="104" spans="1:19" x14ac:dyDescent="0.25">
      <c r="B104" s="28" t="s">
        <v>129</v>
      </c>
      <c r="C104" s="4" t="s">
        <v>211</v>
      </c>
      <c r="D104" s="4" t="s">
        <v>212</v>
      </c>
      <c r="F104" s="4"/>
      <c r="R104" s="57">
        <v>26286</v>
      </c>
      <c r="S104" s="16">
        <v>915</v>
      </c>
    </row>
    <row r="105" spans="1:19" x14ac:dyDescent="0.25">
      <c r="B105" s="29" t="s">
        <v>462</v>
      </c>
      <c r="C105" s="4">
        <v>5.1948051948051948E-3</v>
      </c>
      <c r="D105" s="4">
        <v>1.8958979662185453E-2</v>
      </c>
      <c r="E105">
        <v>4</v>
      </c>
      <c r="F105">
        <v>55</v>
      </c>
      <c r="R105" s="57">
        <v>26292</v>
      </c>
      <c r="S105" s="16">
        <v>3264</v>
      </c>
    </row>
    <row r="106" spans="1:19" x14ac:dyDescent="0.25">
      <c r="B106" s="29" t="s">
        <v>463</v>
      </c>
      <c r="C106" s="4">
        <v>0.35974025974025975</v>
      </c>
      <c r="D106" s="4">
        <v>0.19924164081351259</v>
      </c>
      <c r="E106">
        <v>277</v>
      </c>
      <c r="F106">
        <v>578</v>
      </c>
      <c r="R106" s="57">
        <v>26300</v>
      </c>
      <c r="S106" s="16">
        <v>1101</v>
      </c>
    </row>
    <row r="107" spans="1:19" x14ac:dyDescent="0.25">
      <c r="B107" s="29" t="s">
        <v>464</v>
      </c>
      <c r="C107" s="4">
        <v>0.32467532467532467</v>
      </c>
      <c r="D107" s="4">
        <v>0.37090658393657361</v>
      </c>
      <c r="E107">
        <v>250</v>
      </c>
      <c r="F107">
        <v>1076</v>
      </c>
      <c r="R107" s="57">
        <v>26307</v>
      </c>
      <c r="S107" s="16">
        <v>984</v>
      </c>
    </row>
    <row r="108" spans="1:19" x14ac:dyDescent="0.25">
      <c r="B108" s="29" t="s">
        <v>465</v>
      </c>
      <c r="C108" s="4">
        <v>0.1038961038961039</v>
      </c>
      <c r="D108" s="4">
        <v>0.25232678386763185</v>
      </c>
      <c r="E108">
        <v>80</v>
      </c>
      <c r="F108">
        <v>732</v>
      </c>
      <c r="R108" s="57">
        <v>26314</v>
      </c>
      <c r="S108" s="16">
        <v>1706</v>
      </c>
    </row>
    <row r="109" spans="1:19" x14ac:dyDescent="0.25">
      <c r="B109" s="28" t="s">
        <v>466</v>
      </c>
      <c r="C109" s="4">
        <v>0.12207792207792208</v>
      </c>
      <c r="D109" s="4">
        <v>0.1468459152016546</v>
      </c>
      <c r="E109">
        <v>94</v>
      </c>
      <c r="F109">
        <v>426</v>
      </c>
      <c r="R109" s="57">
        <v>26321</v>
      </c>
      <c r="S109" s="16">
        <v>824</v>
      </c>
    </row>
    <row r="110" spans="1:19" x14ac:dyDescent="0.25">
      <c r="B110" s="28" t="s">
        <v>467</v>
      </c>
      <c r="C110" s="4">
        <v>8.4415584415584416E-2</v>
      </c>
      <c r="D110" s="4">
        <v>1.1720096518441917E-2</v>
      </c>
      <c r="E110">
        <v>65</v>
      </c>
      <c r="F110">
        <v>34</v>
      </c>
      <c r="R110" s="57">
        <v>26328</v>
      </c>
      <c r="S110" s="16">
        <v>1360</v>
      </c>
    </row>
    <row r="111" spans="1:19" x14ac:dyDescent="0.25">
      <c r="B111" s="28" t="s">
        <v>82</v>
      </c>
      <c r="C111" s="4">
        <v>1</v>
      </c>
      <c r="D111" s="4">
        <v>1</v>
      </c>
      <c r="E111">
        <v>770</v>
      </c>
      <c r="F111">
        <v>2901</v>
      </c>
      <c r="R111" s="57">
        <v>26335</v>
      </c>
      <c r="S111" s="16">
        <v>1172</v>
      </c>
    </row>
    <row r="112" spans="1:19" x14ac:dyDescent="0.25">
      <c r="R112" s="57">
        <v>26342</v>
      </c>
      <c r="S112" s="16">
        <v>1710</v>
      </c>
    </row>
    <row r="113" spans="1:19" ht="18.75" x14ac:dyDescent="0.3">
      <c r="A113" s="3"/>
      <c r="B113" s="2" t="s">
        <v>372</v>
      </c>
      <c r="C113" s="2"/>
      <c r="D113" s="2"/>
      <c r="E113" s="2"/>
      <c r="F113" s="2"/>
      <c r="R113" s="57">
        <v>26349</v>
      </c>
      <c r="S113" s="16">
        <v>1303</v>
      </c>
    </row>
    <row r="114" spans="1:19" x14ac:dyDescent="0.25">
      <c r="R114" s="57">
        <v>26356</v>
      </c>
      <c r="S114" s="16">
        <v>1658</v>
      </c>
    </row>
    <row r="115" spans="1:19" x14ac:dyDescent="0.25">
      <c r="B115" s="1"/>
      <c r="C115" s="1" t="s">
        <v>213</v>
      </c>
      <c r="D115" s="1" t="s">
        <v>106</v>
      </c>
      <c r="E115" s="1" t="s">
        <v>217</v>
      </c>
      <c r="F115" s="1" t="s">
        <v>216</v>
      </c>
      <c r="R115" s="57">
        <v>26363</v>
      </c>
      <c r="S115" s="16">
        <v>1472</v>
      </c>
    </row>
    <row r="116" spans="1:19" x14ac:dyDescent="0.25">
      <c r="B116" s="1" t="s">
        <v>215</v>
      </c>
      <c r="C116" s="1">
        <v>2861080</v>
      </c>
      <c r="D116" s="1">
        <v>2667720</v>
      </c>
      <c r="E116" s="1">
        <v>2830196</v>
      </c>
      <c r="F116" s="1">
        <v>2638373</v>
      </c>
      <c r="R116" s="57">
        <v>26370</v>
      </c>
      <c r="S116" s="16">
        <v>1658</v>
      </c>
    </row>
    <row r="117" spans="1:19" x14ac:dyDescent="0.25">
      <c r="B117" s="1" t="s">
        <v>214</v>
      </c>
      <c r="C117" s="1">
        <v>49645</v>
      </c>
      <c r="D117" s="1"/>
      <c r="E117" s="1">
        <v>22672</v>
      </c>
      <c r="F117" s="1"/>
      <c r="R117" s="57">
        <v>26377</v>
      </c>
      <c r="S117" s="16">
        <v>1861</v>
      </c>
    </row>
    <row r="118" spans="1:19" x14ac:dyDescent="0.25">
      <c r="R118" s="57">
        <v>26384</v>
      </c>
      <c r="S118" s="16">
        <v>639</v>
      </c>
    </row>
    <row r="119" spans="1:19" x14ac:dyDescent="0.25">
      <c r="R119" s="57">
        <v>26391</v>
      </c>
      <c r="S119" s="16">
        <v>952</v>
      </c>
    </row>
    <row r="120" spans="1:19" ht="18.75" x14ac:dyDescent="0.3">
      <c r="A120" s="3"/>
      <c r="B120" s="2" t="str">
        <f>Sommaire!C24</f>
        <v>Figure 3 : Les mots les plus mentionnés</v>
      </c>
      <c r="C120" s="2"/>
      <c r="D120" s="2"/>
      <c r="E120" s="2"/>
      <c r="F120" s="2"/>
      <c r="R120" s="57">
        <v>26405</v>
      </c>
      <c r="S120" s="16">
        <v>1131</v>
      </c>
    </row>
    <row r="121" spans="1:19" x14ac:dyDescent="0.25">
      <c r="A121" s="18" t="s">
        <v>390</v>
      </c>
      <c r="R121" s="57">
        <v>26412</v>
      </c>
      <c r="S121" s="16">
        <v>1704</v>
      </c>
    </row>
    <row r="122" spans="1:19" x14ac:dyDescent="0.25">
      <c r="R122" s="57">
        <v>26419</v>
      </c>
      <c r="S122" s="16">
        <v>1584</v>
      </c>
    </row>
    <row r="123" spans="1:19" ht="24.75" x14ac:dyDescent="0.25">
      <c r="B123" s="10" t="s">
        <v>457</v>
      </c>
      <c r="C123" s="88" t="s">
        <v>456</v>
      </c>
      <c r="D123" s="88" t="s">
        <v>461</v>
      </c>
      <c r="R123" s="57">
        <v>26426</v>
      </c>
      <c r="S123" s="16">
        <v>1385</v>
      </c>
    </row>
    <row r="124" spans="1:19" x14ac:dyDescent="0.25">
      <c r="B124" s="8" t="s">
        <v>2</v>
      </c>
      <c r="C124" s="8">
        <v>25399</v>
      </c>
      <c r="D124" s="8">
        <v>19</v>
      </c>
      <c r="R124" s="57">
        <v>26433</v>
      </c>
      <c r="S124" s="16">
        <v>942</v>
      </c>
    </row>
    <row r="125" spans="1:19" x14ac:dyDescent="0.25">
      <c r="B125" s="8" t="s">
        <v>8</v>
      </c>
      <c r="C125" s="8">
        <v>18139</v>
      </c>
      <c r="D125" s="8">
        <v>24</v>
      </c>
      <c r="R125" s="57">
        <v>26440</v>
      </c>
      <c r="S125" s="16">
        <v>1094</v>
      </c>
    </row>
    <row r="126" spans="1:19" x14ac:dyDescent="0.25">
      <c r="B126" s="8" t="s">
        <v>1</v>
      </c>
      <c r="C126" s="8">
        <v>9836</v>
      </c>
      <c r="D126" s="8">
        <v>44</v>
      </c>
      <c r="R126" s="57">
        <v>26447</v>
      </c>
      <c r="S126" s="16">
        <v>1217</v>
      </c>
    </row>
    <row r="127" spans="1:19" x14ac:dyDescent="0.25">
      <c r="B127" s="8" t="s">
        <v>6</v>
      </c>
      <c r="C127" s="8">
        <v>4456</v>
      </c>
      <c r="D127" s="8">
        <v>76</v>
      </c>
      <c r="R127" s="57">
        <v>26454</v>
      </c>
      <c r="S127" s="16">
        <v>1447</v>
      </c>
    </row>
    <row r="128" spans="1:19" x14ac:dyDescent="0.25">
      <c r="B128" s="8" t="s">
        <v>0</v>
      </c>
      <c r="C128" s="8">
        <v>3989</v>
      </c>
      <c r="D128" s="8">
        <v>85</v>
      </c>
      <c r="R128" s="57">
        <v>26461</v>
      </c>
      <c r="S128" s="16">
        <v>1786</v>
      </c>
    </row>
    <row r="129" spans="2:19" x14ac:dyDescent="0.25">
      <c r="B129" s="8" t="s">
        <v>458</v>
      </c>
      <c r="C129" s="8">
        <v>497</v>
      </c>
      <c r="D129" s="8">
        <v>548</v>
      </c>
      <c r="R129" s="57">
        <v>26468</v>
      </c>
      <c r="S129" s="16">
        <v>1703</v>
      </c>
    </row>
    <row r="130" spans="2:19" x14ac:dyDescent="0.25">
      <c r="B130" s="8" t="s">
        <v>341</v>
      </c>
      <c r="C130" s="8">
        <v>473</v>
      </c>
      <c r="D130" s="8">
        <v>572</v>
      </c>
      <c r="R130" s="57">
        <v>26475</v>
      </c>
      <c r="S130" s="16">
        <v>1002</v>
      </c>
    </row>
    <row r="131" spans="2:19" x14ac:dyDescent="0.25">
      <c r="B131" s="8" t="s">
        <v>11</v>
      </c>
      <c r="C131" s="8">
        <v>253</v>
      </c>
      <c r="D131" s="8">
        <v>914</v>
      </c>
      <c r="R131" s="57">
        <v>26482</v>
      </c>
      <c r="S131" s="16">
        <v>1465</v>
      </c>
    </row>
    <row r="132" spans="2:19" x14ac:dyDescent="0.25">
      <c r="B132" s="8" t="s">
        <v>342</v>
      </c>
      <c r="C132" s="8">
        <v>36</v>
      </c>
      <c r="D132" s="8">
        <v>3228</v>
      </c>
      <c r="R132" s="57">
        <v>26496</v>
      </c>
      <c r="S132" s="16">
        <v>1166</v>
      </c>
    </row>
    <row r="133" spans="2:19" x14ac:dyDescent="0.25">
      <c r="B133" s="8" t="s">
        <v>343</v>
      </c>
      <c r="C133" s="8">
        <v>12</v>
      </c>
      <c r="D133" s="8">
        <v>5618</v>
      </c>
      <c r="R133" s="57">
        <v>26503</v>
      </c>
      <c r="S133" s="16">
        <v>1032</v>
      </c>
    </row>
    <row r="134" spans="2:19" x14ac:dyDescent="0.25">
      <c r="B134" s="8" t="s">
        <v>459</v>
      </c>
      <c r="C134" s="8">
        <v>5</v>
      </c>
      <c r="D134" s="8">
        <v>8226</v>
      </c>
      <c r="R134" s="57">
        <v>26510</v>
      </c>
      <c r="S134" s="16">
        <v>1006</v>
      </c>
    </row>
    <row r="135" spans="2:19" x14ac:dyDescent="0.25">
      <c r="B135" s="8" t="s">
        <v>460</v>
      </c>
      <c r="C135" s="8">
        <v>1</v>
      </c>
      <c r="D135" s="8">
        <v>13831</v>
      </c>
      <c r="R135" s="57">
        <v>26517</v>
      </c>
      <c r="S135" s="16">
        <v>909</v>
      </c>
    </row>
    <row r="136" spans="2:19" x14ac:dyDescent="0.25">
      <c r="B136" s="8" t="s">
        <v>98</v>
      </c>
      <c r="C136" s="8">
        <v>13353</v>
      </c>
      <c r="D136" s="8">
        <v>31</v>
      </c>
      <c r="R136" s="57">
        <v>26524</v>
      </c>
      <c r="S136" s="16">
        <v>1194</v>
      </c>
    </row>
    <row r="137" spans="2:19" x14ac:dyDescent="0.25">
      <c r="B137" s="8" t="s">
        <v>92</v>
      </c>
      <c r="C137" s="8">
        <v>12881</v>
      </c>
      <c r="D137" s="8">
        <v>36</v>
      </c>
      <c r="R137" s="57">
        <v>26531</v>
      </c>
      <c r="S137" s="16">
        <v>1120</v>
      </c>
    </row>
    <row r="138" spans="2:19" x14ac:dyDescent="0.25">
      <c r="B138" s="8" t="s">
        <v>147</v>
      </c>
      <c r="C138" s="8">
        <v>8638</v>
      </c>
      <c r="D138" s="8">
        <v>49</v>
      </c>
      <c r="R138" s="57">
        <v>26538</v>
      </c>
      <c r="S138" s="16">
        <v>1150</v>
      </c>
    </row>
    <row r="139" spans="2:19" x14ac:dyDescent="0.25">
      <c r="B139" s="8" t="s">
        <v>231</v>
      </c>
      <c r="C139" s="8">
        <v>7188</v>
      </c>
      <c r="D139" s="8">
        <v>55</v>
      </c>
      <c r="R139" s="57">
        <v>26559</v>
      </c>
      <c r="S139" s="16">
        <v>1107</v>
      </c>
    </row>
    <row r="140" spans="2:19" x14ac:dyDescent="0.25">
      <c r="B140" s="8" t="s">
        <v>174</v>
      </c>
      <c r="C140" s="8">
        <v>5925</v>
      </c>
      <c r="D140" s="8">
        <v>60</v>
      </c>
      <c r="R140" s="57">
        <v>26566</v>
      </c>
      <c r="S140" s="16">
        <v>1820</v>
      </c>
    </row>
    <row r="141" spans="2:19" x14ac:dyDescent="0.25">
      <c r="B141" s="8" t="s">
        <v>340</v>
      </c>
      <c r="C141" s="8">
        <v>5828</v>
      </c>
      <c r="D141" s="8">
        <v>63</v>
      </c>
      <c r="R141" s="57">
        <v>26601</v>
      </c>
      <c r="S141" s="16">
        <v>1715</v>
      </c>
    </row>
    <row r="142" spans="2:19" x14ac:dyDescent="0.25">
      <c r="B142" s="8" t="s">
        <v>148</v>
      </c>
      <c r="C142" s="8">
        <v>5522</v>
      </c>
      <c r="D142" s="8">
        <v>66</v>
      </c>
      <c r="R142" s="57">
        <v>26629</v>
      </c>
      <c r="S142" s="16">
        <v>1127</v>
      </c>
    </row>
    <row r="143" spans="2:19" x14ac:dyDescent="0.25">
      <c r="B143" s="8" t="s">
        <v>167</v>
      </c>
      <c r="C143" s="8">
        <v>4832</v>
      </c>
      <c r="D143" s="8">
        <v>71</v>
      </c>
      <c r="R143" s="57">
        <v>26636</v>
      </c>
      <c r="S143" s="16">
        <v>1158</v>
      </c>
    </row>
    <row r="144" spans="2:19" x14ac:dyDescent="0.25">
      <c r="B144" s="8" t="s">
        <v>186</v>
      </c>
      <c r="C144" s="8">
        <v>4779</v>
      </c>
      <c r="D144" s="8">
        <v>72</v>
      </c>
      <c r="R144" s="57">
        <v>26650</v>
      </c>
      <c r="S144" s="16">
        <v>1603</v>
      </c>
    </row>
    <row r="145" spans="2:19" x14ac:dyDescent="0.25">
      <c r="B145" s="8" t="s">
        <v>96</v>
      </c>
      <c r="C145" s="8">
        <v>4612</v>
      </c>
      <c r="D145" s="8">
        <v>73</v>
      </c>
      <c r="R145" s="57">
        <v>26657</v>
      </c>
      <c r="S145" s="16">
        <v>1317</v>
      </c>
    </row>
    <row r="146" spans="2:19" x14ac:dyDescent="0.25">
      <c r="B146" s="8" t="s">
        <v>152</v>
      </c>
      <c r="C146" s="8">
        <v>4611</v>
      </c>
      <c r="D146" s="8">
        <v>74</v>
      </c>
      <c r="R146" s="57">
        <v>26664</v>
      </c>
      <c r="S146" s="16">
        <v>1374</v>
      </c>
    </row>
    <row r="147" spans="2:19" x14ac:dyDescent="0.25">
      <c r="B147" s="8" t="s">
        <v>171</v>
      </c>
      <c r="C147" s="8">
        <v>4550</v>
      </c>
      <c r="D147" s="8">
        <v>75</v>
      </c>
      <c r="R147" s="57">
        <v>26671</v>
      </c>
      <c r="S147" s="16">
        <v>1900</v>
      </c>
    </row>
    <row r="148" spans="2:19" x14ac:dyDescent="0.25">
      <c r="B148" s="8" t="s">
        <v>161</v>
      </c>
      <c r="C148" s="8">
        <v>4183</v>
      </c>
      <c r="D148" s="8">
        <v>80</v>
      </c>
      <c r="R148" s="57">
        <v>26678</v>
      </c>
      <c r="S148" s="16">
        <v>1344</v>
      </c>
    </row>
    <row r="149" spans="2:19" x14ac:dyDescent="0.25">
      <c r="B149" s="8"/>
      <c r="C149" s="8"/>
      <c r="R149" s="57">
        <v>26692</v>
      </c>
      <c r="S149" s="16">
        <v>1523</v>
      </c>
    </row>
    <row r="150" spans="2:19" x14ac:dyDescent="0.25">
      <c r="B150" s="8"/>
      <c r="C150" s="8"/>
      <c r="R150" s="57">
        <v>26699</v>
      </c>
      <c r="S150" s="16">
        <v>1644</v>
      </c>
    </row>
    <row r="151" spans="2:19" x14ac:dyDescent="0.25">
      <c r="B151" s="87"/>
      <c r="C151" s="87"/>
      <c r="R151" s="57">
        <v>26706</v>
      </c>
      <c r="S151" s="16">
        <v>1591</v>
      </c>
    </row>
    <row r="152" spans="2:19" x14ac:dyDescent="0.25">
      <c r="B152" s="87"/>
      <c r="C152" s="87"/>
      <c r="R152" s="57">
        <v>26713</v>
      </c>
      <c r="S152" s="16">
        <v>681</v>
      </c>
    </row>
    <row r="153" spans="2:19" x14ac:dyDescent="0.25">
      <c r="R153" s="57">
        <v>26720</v>
      </c>
      <c r="S153" s="16">
        <v>988</v>
      </c>
    </row>
    <row r="154" spans="2:19" x14ac:dyDescent="0.25">
      <c r="R154" s="57">
        <v>26727</v>
      </c>
      <c r="S154" s="16">
        <v>1431</v>
      </c>
    </row>
    <row r="155" spans="2:19" x14ac:dyDescent="0.25">
      <c r="R155" s="57">
        <v>26734</v>
      </c>
      <c r="S155" s="16">
        <v>1093</v>
      </c>
    </row>
    <row r="156" spans="2:19" x14ac:dyDescent="0.25">
      <c r="R156" s="57">
        <v>26741</v>
      </c>
      <c r="S156" s="16">
        <v>1193</v>
      </c>
    </row>
    <row r="157" spans="2:19" x14ac:dyDescent="0.25">
      <c r="R157" s="57">
        <v>26748</v>
      </c>
      <c r="S157" s="16">
        <v>1207</v>
      </c>
    </row>
    <row r="158" spans="2:19" x14ac:dyDescent="0.25">
      <c r="R158" s="57">
        <v>26755</v>
      </c>
      <c r="S158" s="16">
        <v>1208</v>
      </c>
    </row>
    <row r="159" spans="2:19" x14ac:dyDescent="0.25">
      <c r="R159" s="57">
        <v>26762</v>
      </c>
      <c r="S159" s="16">
        <v>1431</v>
      </c>
    </row>
    <row r="160" spans="2:19" x14ac:dyDescent="0.25">
      <c r="R160" s="57">
        <v>26769</v>
      </c>
      <c r="S160" s="16">
        <v>1099</v>
      </c>
    </row>
    <row r="161" spans="18:19" x14ac:dyDescent="0.25">
      <c r="R161" s="57">
        <v>26776</v>
      </c>
      <c r="S161" s="16">
        <v>972</v>
      </c>
    </row>
    <row r="162" spans="18:19" x14ac:dyDescent="0.25">
      <c r="R162" s="57">
        <v>26783</v>
      </c>
      <c r="S162" s="16">
        <v>1649</v>
      </c>
    </row>
    <row r="163" spans="18:19" x14ac:dyDescent="0.25">
      <c r="R163" s="57">
        <v>26790</v>
      </c>
      <c r="S163" s="16">
        <v>1066</v>
      </c>
    </row>
    <row r="164" spans="18:19" x14ac:dyDescent="0.25">
      <c r="R164" s="57">
        <v>26797</v>
      </c>
      <c r="S164" s="16">
        <v>1588</v>
      </c>
    </row>
    <row r="165" spans="18:19" x14ac:dyDescent="0.25">
      <c r="R165" s="57">
        <v>26804</v>
      </c>
      <c r="S165" s="16">
        <v>966</v>
      </c>
    </row>
    <row r="166" spans="18:19" x14ac:dyDescent="0.25">
      <c r="R166" s="57">
        <v>26811</v>
      </c>
      <c r="S166" s="16">
        <v>968</v>
      </c>
    </row>
    <row r="167" spans="18:19" x14ac:dyDescent="0.25">
      <c r="R167" s="57">
        <v>26818</v>
      </c>
      <c r="S167" s="16">
        <v>1524</v>
      </c>
    </row>
    <row r="168" spans="18:19" x14ac:dyDescent="0.25">
      <c r="R168" s="57">
        <v>26825</v>
      </c>
      <c r="S168" s="16">
        <v>544</v>
      </c>
    </row>
    <row r="169" spans="18:19" x14ac:dyDescent="0.25">
      <c r="R169" s="57">
        <v>26832</v>
      </c>
      <c r="S169" s="16">
        <v>1136</v>
      </c>
    </row>
    <row r="170" spans="18:19" x14ac:dyDescent="0.25">
      <c r="R170" s="57">
        <v>26839</v>
      </c>
      <c r="S170" s="16">
        <v>1876</v>
      </c>
    </row>
    <row r="171" spans="18:19" x14ac:dyDescent="0.25">
      <c r="R171" s="57">
        <v>26846</v>
      </c>
      <c r="S171" s="16">
        <v>1075</v>
      </c>
    </row>
    <row r="172" spans="18:19" x14ac:dyDescent="0.25">
      <c r="R172" s="57">
        <v>26853</v>
      </c>
      <c r="S172" s="16">
        <v>1061</v>
      </c>
    </row>
    <row r="173" spans="18:19" x14ac:dyDescent="0.25">
      <c r="R173" s="57">
        <v>26860</v>
      </c>
      <c r="S173" s="16">
        <v>1010</v>
      </c>
    </row>
    <row r="174" spans="18:19" x14ac:dyDescent="0.25">
      <c r="R174" s="57">
        <v>26867</v>
      </c>
      <c r="S174" s="16">
        <v>774</v>
      </c>
    </row>
    <row r="175" spans="18:19" x14ac:dyDescent="0.25">
      <c r="R175" s="57">
        <v>26874</v>
      </c>
      <c r="S175" s="16">
        <v>1343</v>
      </c>
    </row>
    <row r="176" spans="18:19" x14ac:dyDescent="0.25">
      <c r="R176" s="57">
        <v>26881</v>
      </c>
      <c r="S176" s="16">
        <v>1275</v>
      </c>
    </row>
    <row r="177" spans="18:19" x14ac:dyDescent="0.25">
      <c r="R177" s="57">
        <v>26888</v>
      </c>
      <c r="S177" s="16">
        <v>1453</v>
      </c>
    </row>
    <row r="178" spans="18:19" x14ac:dyDescent="0.25">
      <c r="R178" s="57">
        <v>26891</v>
      </c>
      <c r="S178" s="16">
        <v>585</v>
      </c>
    </row>
    <row r="179" spans="18:19" x14ac:dyDescent="0.25">
      <c r="R179" s="57">
        <v>26895</v>
      </c>
      <c r="S179" s="16">
        <v>1274</v>
      </c>
    </row>
    <row r="180" spans="18:19" x14ac:dyDescent="0.25">
      <c r="R180" s="57">
        <v>26902</v>
      </c>
      <c r="S180" s="16">
        <v>925</v>
      </c>
    </row>
    <row r="181" spans="18:19" x14ac:dyDescent="0.25">
      <c r="R181" s="57">
        <v>26909</v>
      </c>
      <c r="S181" s="16">
        <v>1206</v>
      </c>
    </row>
    <row r="182" spans="18:19" x14ac:dyDescent="0.25">
      <c r="R182" s="57">
        <v>26916</v>
      </c>
      <c r="S182" s="16">
        <v>1758</v>
      </c>
    </row>
    <row r="183" spans="18:19" x14ac:dyDescent="0.25">
      <c r="R183" s="57">
        <v>26923</v>
      </c>
      <c r="S183" s="16">
        <v>2136</v>
      </c>
    </row>
    <row r="184" spans="18:19" x14ac:dyDescent="0.25">
      <c r="R184" s="57">
        <v>26930</v>
      </c>
      <c r="S184" s="16">
        <v>1723</v>
      </c>
    </row>
    <row r="185" spans="18:19" x14ac:dyDescent="0.25">
      <c r="R185" s="57">
        <v>26937</v>
      </c>
      <c r="S185" s="16">
        <v>872</v>
      </c>
    </row>
    <row r="186" spans="18:19" x14ac:dyDescent="0.25">
      <c r="R186" s="57">
        <v>26944</v>
      </c>
      <c r="S186" s="16">
        <v>1311</v>
      </c>
    </row>
    <row r="187" spans="18:19" x14ac:dyDescent="0.25">
      <c r="R187" s="57">
        <v>26951</v>
      </c>
      <c r="S187" s="16">
        <v>1358</v>
      </c>
    </row>
    <row r="188" spans="18:19" x14ac:dyDescent="0.25">
      <c r="R188" s="57">
        <v>26958</v>
      </c>
      <c r="S188" s="16">
        <v>1044</v>
      </c>
    </row>
    <row r="189" spans="18:19" x14ac:dyDescent="0.25">
      <c r="R189" s="57">
        <v>26965</v>
      </c>
      <c r="S189" s="16">
        <v>1294</v>
      </c>
    </row>
    <row r="190" spans="18:19" x14ac:dyDescent="0.25">
      <c r="R190" s="57">
        <v>26972</v>
      </c>
      <c r="S190" s="16">
        <v>1850</v>
      </c>
    </row>
    <row r="191" spans="18:19" x14ac:dyDescent="0.25">
      <c r="R191" s="57">
        <v>26979</v>
      </c>
      <c r="S191" s="16">
        <v>1528</v>
      </c>
    </row>
    <row r="192" spans="18:19" x14ac:dyDescent="0.25">
      <c r="R192" s="57">
        <v>26986</v>
      </c>
      <c r="S192" s="16">
        <v>993</v>
      </c>
    </row>
    <row r="193" spans="18:19" x14ac:dyDescent="0.25">
      <c r="R193" s="57">
        <v>26993</v>
      </c>
      <c r="S193" s="16">
        <v>913</v>
      </c>
    </row>
    <row r="194" spans="18:19" x14ac:dyDescent="0.25">
      <c r="R194" s="57">
        <v>27000</v>
      </c>
      <c r="S194" s="16">
        <v>1107</v>
      </c>
    </row>
    <row r="195" spans="18:19" x14ac:dyDescent="0.25">
      <c r="R195" s="57">
        <v>27021</v>
      </c>
      <c r="S195" s="16">
        <v>949</v>
      </c>
    </row>
    <row r="196" spans="18:19" x14ac:dyDescent="0.25">
      <c r="R196" s="57">
        <v>27022</v>
      </c>
      <c r="S196" s="16">
        <v>1263</v>
      </c>
    </row>
    <row r="197" spans="18:19" x14ac:dyDescent="0.25">
      <c r="R197" s="57">
        <v>27023</v>
      </c>
      <c r="S197" s="16">
        <v>744</v>
      </c>
    </row>
    <row r="198" spans="18:19" x14ac:dyDescent="0.25">
      <c r="R198" s="57">
        <v>27028</v>
      </c>
      <c r="S198" s="16">
        <v>1724</v>
      </c>
    </row>
    <row r="199" spans="18:19" x14ac:dyDescent="0.25">
      <c r="R199" s="57">
        <v>27035</v>
      </c>
      <c r="S199" s="16">
        <v>1597</v>
      </c>
    </row>
    <row r="200" spans="18:19" x14ac:dyDescent="0.25">
      <c r="R200" s="57">
        <v>27042</v>
      </c>
      <c r="S200" s="16">
        <v>1003</v>
      </c>
    </row>
    <row r="201" spans="18:19" x14ac:dyDescent="0.25">
      <c r="R201" s="57">
        <v>27049</v>
      </c>
      <c r="S201" s="16">
        <v>1984</v>
      </c>
    </row>
    <row r="202" spans="18:19" x14ac:dyDescent="0.25">
      <c r="R202" s="57">
        <v>27056</v>
      </c>
      <c r="S202" s="16">
        <v>1522</v>
      </c>
    </row>
    <row r="203" spans="18:19" x14ac:dyDescent="0.25">
      <c r="R203" s="57">
        <v>27063</v>
      </c>
      <c r="S203" s="16">
        <v>1380</v>
      </c>
    </row>
    <row r="204" spans="18:19" x14ac:dyDescent="0.25">
      <c r="R204" s="57">
        <v>27070</v>
      </c>
      <c r="S204" s="16">
        <v>1699</v>
      </c>
    </row>
    <row r="205" spans="18:19" x14ac:dyDescent="0.25">
      <c r="R205" s="57">
        <v>27077</v>
      </c>
      <c r="S205" s="16">
        <v>1417</v>
      </c>
    </row>
    <row r="206" spans="18:19" x14ac:dyDescent="0.25">
      <c r="R206" s="57">
        <v>27084</v>
      </c>
      <c r="S206" s="16">
        <v>2087</v>
      </c>
    </row>
    <row r="207" spans="18:19" x14ac:dyDescent="0.25">
      <c r="R207" s="57">
        <v>27091</v>
      </c>
      <c r="S207" s="16">
        <v>1460</v>
      </c>
    </row>
    <row r="208" spans="18:19" x14ac:dyDescent="0.25">
      <c r="R208" s="57">
        <v>27098</v>
      </c>
      <c r="S208" s="16">
        <v>1390</v>
      </c>
    </row>
    <row r="209" spans="18:19" x14ac:dyDescent="0.25">
      <c r="R209" s="57">
        <v>27105</v>
      </c>
      <c r="S209" s="16">
        <v>1386</v>
      </c>
    </row>
    <row r="210" spans="18:19" x14ac:dyDescent="0.25">
      <c r="R210" s="57">
        <v>27112</v>
      </c>
      <c r="S210" s="16">
        <v>1641</v>
      </c>
    </row>
    <row r="211" spans="18:19" x14ac:dyDescent="0.25">
      <c r="R211" s="57">
        <v>27119</v>
      </c>
      <c r="S211" s="16">
        <v>1821</v>
      </c>
    </row>
    <row r="212" spans="18:19" x14ac:dyDescent="0.25">
      <c r="R212" s="57">
        <v>27126</v>
      </c>
      <c r="S212" s="16">
        <v>872</v>
      </c>
    </row>
    <row r="213" spans="18:19" x14ac:dyDescent="0.25">
      <c r="R213" s="57">
        <v>27133</v>
      </c>
      <c r="S213" s="16">
        <v>551</v>
      </c>
    </row>
    <row r="214" spans="18:19" x14ac:dyDescent="0.25">
      <c r="R214" s="57">
        <v>27140</v>
      </c>
      <c r="S214" s="16">
        <v>1757</v>
      </c>
    </row>
    <row r="215" spans="18:19" x14ac:dyDescent="0.25">
      <c r="R215" s="57">
        <v>27147</v>
      </c>
      <c r="S215" s="16">
        <v>1189</v>
      </c>
    </row>
    <row r="216" spans="18:19" x14ac:dyDescent="0.25">
      <c r="R216" s="57">
        <v>27154</v>
      </c>
      <c r="S216" s="16">
        <v>1493</v>
      </c>
    </row>
    <row r="217" spans="18:19" x14ac:dyDescent="0.25">
      <c r="R217" s="57">
        <v>27161</v>
      </c>
      <c r="S217" s="16">
        <v>1470</v>
      </c>
    </row>
    <row r="218" spans="18:19" x14ac:dyDescent="0.25">
      <c r="R218" s="57">
        <v>27168</v>
      </c>
      <c r="S218" s="16">
        <v>1355</v>
      </c>
    </row>
    <row r="219" spans="18:19" x14ac:dyDescent="0.25">
      <c r="R219" s="57">
        <v>27175</v>
      </c>
      <c r="S219" s="16">
        <v>855</v>
      </c>
    </row>
    <row r="220" spans="18:19" x14ac:dyDescent="0.25">
      <c r="R220" s="57">
        <v>27182</v>
      </c>
      <c r="S220" s="16">
        <v>1495</v>
      </c>
    </row>
    <row r="221" spans="18:19" x14ac:dyDescent="0.25">
      <c r="R221" s="57">
        <v>27189</v>
      </c>
      <c r="S221" s="16">
        <v>882</v>
      </c>
    </row>
    <row r="222" spans="18:19" x14ac:dyDescent="0.25">
      <c r="R222" s="57">
        <v>27196</v>
      </c>
      <c r="S222" s="16">
        <v>1328</v>
      </c>
    </row>
    <row r="223" spans="18:19" x14ac:dyDescent="0.25">
      <c r="R223" s="57">
        <v>27203</v>
      </c>
      <c r="S223" s="16">
        <v>1728</v>
      </c>
    </row>
    <row r="224" spans="18:19" x14ac:dyDescent="0.25">
      <c r="R224" s="57">
        <v>27210</v>
      </c>
      <c r="S224" s="16">
        <v>1395</v>
      </c>
    </row>
    <row r="225" spans="18:19" x14ac:dyDescent="0.25">
      <c r="R225" s="57">
        <v>27217</v>
      </c>
      <c r="S225" s="16">
        <v>1602</v>
      </c>
    </row>
    <row r="226" spans="18:19" x14ac:dyDescent="0.25">
      <c r="R226" s="57">
        <v>27224</v>
      </c>
      <c r="S226" s="16">
        <v>1082</v>
      </c>
    </row>
    <row r="227" spans="18:19" x14ac:dyDescent="0.25">
      <c r="R227" s="57">
        <v>27231</v>
      </c>
      <c r="S227" s="16">
        <v>1502</v>
      </c>
    </row>
    <row r="228" spans="18:19" x14ac:dyDescent="0.25">
      <c r="R228" s="57">
        <v>27238</v>
      </c>
      <c r="S228" s="16">
        <v>1134</v>
      </c>
    </row>
    <row r="229" spans="18:19" x14ac:dyDescent="0.25">
      <c r="R229" s="57">
        <v>27245</v>
      </c>
      <c r="S229" s="16">
        <v>2104</v>
      </c>
    </row>
    <row r="230" spans="18:19" x14ac:dyDescent="0.25">
      <c r="R230" s="57">
        <v>27252</v>
      </c>
      <c r="S230" s="16">
        <v>1397</v>
      </c>
    </row>
    <row r="231" spans="18:19" x14ac:dyDescent="0.25">
      <c r="R231" s="57">
        <v>27266</v>
      </c>
      <c r="S231" s="16">
        <v>1267</v>
      </c>
    </row>
    <row r="232" spans="18:19" x14ac:dyDescent="0.25">
      <c r="R232" s="57">
        <v>27273</v>
      </c>
      <c r="S232" s="16">
        <v>1103</v>
      </c>
    </row>
    <row r="233" spans="18:19" x14ac:dyDescent="0.25">
      <c r="R233" s="57">
        <v>27280</v>
      </c>
      <c r="S233" s="16">
        <v>1891</v>
      </c>
    </row>
    <row r="234" spans="18:19" x14ac:dyDescent="0.25">
      <c r="R234" s="57">
        <v>27287</v>
      </c>
      <c r="S234" s="16">
        <v>1023</v>
      </c>
    </row>
    <row r="235" spans="18:19" x14ac:dyDescent="0.25">
      <c r="R235" s="57">
        <v>27294</v>
      </c>
      <c r="S235" s="16">
        <v>1190</v>
      </c>
    </row>
    <row r="236" spans="18:19" x14ac:dyDescent="0.25">
      <c r="R236" s="57">
        <v>27301</v>
      </c>
      <c r="S236" s="16">
        <v>1368</v>
      </c>
    </row>
    <row r="237" spans="18:19" x14ac:dyDescent="0.25">
      <c r="R237" s="57">
        <v>27308</v>
      </c>
      <c r="S237" s="16">
        <v>1701</v>
      </c>
    </row>
    <row r="238" spans="18:19" x14ac:dyDescent="0.25">
      <c r="R238" s="57">
        <v>27315</v>
      </c>
      <c r="S238" s="16">
        <v>1299</v>
      </c>
    </row>
    <row r="239" spans="18:19" x14ac:dyDescent="0.25">
      <c r="R239" s="57">
        <v>27322</v>
      </c>
      <c r="S239" s="16">
        <v>431</v>
      </c>
    </row>
    <row r="240" spans="18:19" x14ac:dyDescent="0.25">
      <c r="R240" s="57">
        <v>27329</v>
      </c>
      <c r="S240" s="16">
        <v>1043</v>
      </c>
    </row>
    <row r="241" spans="18:19" x14ac:dyDescent="0.25">
      <c r="R241" s="57">
        <v>27336</v>
      </c>
      <c r="S241" s="16">
        <v>1182</v>
      </c>
    </row>
    <row r="242" spans="18:19" x14ac:dyDescent="0.25">
      <c r="R242" s="57">
        <v>27343</v>
      </c>
      <c r="S242" s="16">
        <v>856</v>
      </c>
    </row>
    <row r="243" spans="18:19" x14ac:dyDescent="0.25">
      <c r="R243" s="57">
        <v>27350</v>
      </c>
      <c r="S243" s="16">
        <v>1677</v>
      </c>
    </row>
    <row r="244" spans="18:19" x14ac:dyDescent="0.25">
      <c r="R244" s="57">
        <v>27357</v>
      </c>
      <c r="S244" s="16">
        <v>1175</v>
      </c>
    </row>
    <row r="245" spans="18:19" x14ac:dyDescent="0.25">
      <c r="R245" s="57">
        <v>27371</v>
      </c>
      <c r="S245" s="16">
        <v>1040</v>
      </c>
    </row>
    <row r="246" spans="18:19" x14ac:dyDescent="0.25">
      <c r="R246" s="57">
        <v>27378</v>
      </c>
      <c r="S246" s="16">
        <v>1791</v>
      </c>
    </row>
    <row r="247" spans="18:19" x14ac:dyDescent="0.25">
      <c r="R247" s="57">
        <v>27385</v>
      </c>
      <c r="S247" s="16">
        <v>928</v>
      </c>
    </row>
    <row r="248" spans="18:19" x14ac:dyDescent="0.25">
      <c r="R248" s="57">
        <v>27388</v>
      </c>
      <c r="S248" s="16">
        <v>1548</v>
      </c>
    </row>
    <row r="249" spans="18:19" x14ac:dyDescent="0.25">
      <c r="R249" s="57">
        <v>27392</v>
      </c>
      <c r="S249" s="16">
        <v>1224</v>
      </c>
    </row>
    <row r="250" spans="18:19" x14ac:dyDescent="0.25">
      <c r="R250" s="57">
        <v>27399</v>
      </c>
      <c r="S250" s="16">
        <v>1175</v>
      </c>
    </row>
    <row r="251" spans="18:19" x14ac:dyDescent="0.25">
      <c r="R251" s="57">
        <v>27406</v>
      </c>
      <c r="S251" s="16">
        <v>1651</v>
      </c>
    </row>
    <row r="252" spans="18:19" x14ac:dyDescent="0.25">
      <c r="R252" s="57">
        <v>27413</v>
      </c>
      <c r="S252" s="16">
        <v>1364</v>
      </c>
    </row>
    <row r="253" spans="18:19" x14ac:dyDescent="0.25">
      <c r="R253" s="57">
        <v>27420</v>
      </c>
      <c r="S253" s="16">
        <v>1519</v>
      </c>
    </row>
    <row r="254" spans="18:19" x14ac:dyDescent="0.25">
      <c r="R254" s="57">
        <v>27427</v>
      </c>
      <c r="S254" s="16">
        <v>1236</v>
      </c>
    </row>
    <row r="255" spans="18:19" x14ac:dyDescent="0.25">
      <c r="R255" s="57">
        <v>27434</v>
      </c>
      <c r="S255" s="16">
        <v>1592</v>
      </c>
    </row>
    <row r="256" spans="18:19" x14ac:dyDescent="0.25">
      <c r="R256" s="57">
        <v>27441</v>
      </c>
      <c r="S256" s="16">
        <v>1318</v>
      </c>
    </row>
    <row r="257" spans="18:19" x14ac:dyDescent="0.25">
      <c r="R257" s="57">
        <v>27448</v>
      </c>
      <c r="S257" s="16">
        <v>983</v>
      </c>
    </row>
    <row r="258" spans="18:19" x14ac:dyDescent="0.25">
      <c r="R258" s="57">
        <v>27455</v>
      </c>
      <c r="S258" s="16">
        <v>348</v>
      </c>
    </row>
    <row r="259" spans="18:19" x14ac:dyDescent="0.25">
      <c r="R259" s="57">
        <v>27462</v>
      </c>
      <c r="S259" s="16">
        <v>1605</v>
      </c>
    </row>
    <row r="260" spans="18:19" x14ac:dyDescent="0.25">
      <c r="R260" s="57">
        <v>27469</v>
      </c>
      <c r="S260" s="16">
        <v>1073</v>
      </c>
    </row>
    <row r="261" spans="18:19" x14ac:dyDescent="0.25">
      <c r="R261" s="57">
        <v>27476</v>
      </c>
      <c r="S261" s="16">
        <v>1241</v>
      </c>
    </row>
    <row r="262" spans="18:19" x14ac:dyDescent="0.25">
      <c r="R262" s="57">
        <v>27483</v>
      </c>
      <c r="S262" s="16">
        <v>556</v>
      </c>
    </row>
    <row r="263" spans="18:19" x14ac:dyDescent="0.25">
      <c r="R263" s="57">
        <v>27490</v>
      </c>
      <c r="S263" s="16">
        <v>1147</v>
      </c>
    </row>
    <row r="264" spans="18:19" x14ac:dyDescent="0.25">
      <c r="R264" s="57">
        <v>27497</v>
      </c>
      <c r="S264" s="16">
        <v>1585</v>
      </c>
    </row>
    <row r="265" spans="18:19" x14ac:dyDescent="0.25">
      <c r="R265" s="57">
        <v>27504</v>
      </c>
      <c r="S265" s="16">
        <v>922</v>
      </c>
    </row>
    <row r="266" spans="18:19" x14ac:dyDescent="0.25">
      <c r="R266" s="57">
        <v>27511</v>
      </c>
      <c r="S266" s="16">
        <v>1055</v>
      </c>
    </row>
    <row r="267" spans="18:19" x14ac:dyDescent="0.25">
      <c r="R267" s="57">
        <v>27518</v>
      </c>
      <c r="S267" s="16">
        <v>1269</v>
      </c>
    </row>
    <row r="268" spans="18:19" x14ac:dyDescent="0.25">
      <c r="R268" s="57">
        <v>27525</v>
      </c>
      <c r="S268" s="16">
        <v>1037</v>
      </c>
    </row>
    <row r="269" spans="18:19" x14ac:dyDescent="0.25">
      <c r="R269" s="57">
        <v>27532</v>
      </c>
      <c r="S269" s="16">
        <v>971</v>
      </c>
    </row>
    <row r="270" spans="18:19" x14ac:dyDescent="0.25">
      <c r="R270" s="57">
        <v>27539</v>
      </c>
      <c r="S270" s="16">
        <v>1378</v>
      </c>
    </row>
    <row r="271" spans="18:19" x14ac:dyDescent="0.25">
      <c r="R271" s="57">
        <v>27546</v>
      </c>
      <c r="S271" s="16">
        <v>1064</v>
      </c>
    </row>
    <row r="272" spans="18:19" x14ac:dyDescent="0.25">
      <c r="R272" s="57">
        <v>27553</v>
      </c>
      <c r="S272" s="16">
        <v>1526</v>
      </c>
    </row>
    <row r="273" spans="18:19" x14ac:dyDescent="0.25">
      <c r="R273" s="57">
        <v>27560</v>
      </c>
      <c r="S273" s="16">
        <v>131</v>
      </c>
    </row>
    <row r="274" spans="18:19" x14ac:dyDescent="0.25">
      <c r="R274" s="57">
        <v>27567</v>
      </c>
      <c r="S274" s="16">
        <v>1664</v>
      </c>
    </row>
    <row r="275" spans="18:19" x14ac:dyDescent="0.25">
      <c r="R275" s="57">
        <v>27574</v>
      </c>
      <c r="S275" s="16">
        <v>1591</v>
      </c>
    </row>
    <row r="276" spans="18:19" x14ac:dyDescent="0.25">
      <c r="R276" s="57">
        <v>27581</v>
      </c>
      <c r="S276" s="16">
        <v>1182</v>
      </c>
    </row>
    <row r="277" spans="18:19" x14ac:dyDescent="0.25">
      <c r="R277" s="57">
        <v>27588</v>
      </c>
      <c r="S277" s="16">
        <v>1469</v>
      </c>
    </row>
    <row r="278" spans="18:19" x14ac:dyDescent="0.25">
      <c r="R278" s="57">
        <v>27595</v>
      </c>
      <c r="S278" s="16">
        <v>1478</v>
      </c>
    </row>
    <row r="279" spans="18:19" x14ac:dyDescent="0.25">
      <c r="R279" s="57">
        <v>27602</v>
      </c>
      <c r="S279" s="16">
        <v>1233</v>
      </c>
    </row>
    <row r="280" spans="18:19" x14ac:dyDescent="0.25">
      <c r="R280" s="57">
        <v>27609</v>
      </c>
      <c r="S280" s="16">
        <v>1471</v>
      </c>
    </row>
    <row r="281" spans="18:19" x14ac:dyDescent="0.25">
      <c r="R281" s="57">
        <v>27616</v>
      </c>
      <c r="S281" s="16">
        <v>1111</v>
      </c>
    </row>
    <row r="282" spans="18:19" x14ac:dyDescent="0.25">
      <c r="R282" s="57">
        <v>27623</v>
      </c>
      <c r="S282" s="16">
        <v>1316</v>
      </c>
    </row>
    <row r="283" spans="18:19" x14ac:dyDescent="0.25">
      <c r="R283" s="57">
        <v>27630</v>
      </c>
      <c r="S283" s="16">
        <v>1605</v>
      </c>
    </row>
    <row r="284" spans="18:19" x14ac:dyDescent="0.25">
      <c r="R284" s="57">
        <v>27637</v>
      </c>
      <c r="S284" s="16">
        <v>1052</v>
      </c>
    </row>
    <row r="285" spans="18:19" x14ac:dyDescent="0.25">
      <c r="R285" s="57">
        <v>27644</v>
      </c>
      <c r="S285" s="16">
        <v>1543</v>
      </c>
    </row>
    <row r="286" spans="18:19" x14ac:dyDescent="0.25">
      <c r="R286" s="57">
        <v>27651</v>
      </c>
      <c r="S286" s="16">
        <v>1319</v>
      </c>
    </row>
    <row r="287" spans="18:19" x14ac:dyDescent="0.25">
      <c r="R287" s="57">
        <v>27658</v>
      </c>
      <c r="S287" s="16">
        <v>865</v>
      </c>
    </row>
    <row r="288" spans="18:19" x14ac:dyDescent="0.25">
      <c r="R288" s="57">
        <v>27665</v>
      </c>
      <c r="S288" s="16">
        <v>1285</v>
      </c>
    </row>
    <row r="289" spans="18:19" x14ac:dyDescent="0.25">
      <c r="R289" s="57">
        <v>27672</v>
      </c>
      <c r="S289" s="16">
        <v>1211</v>
      </c>
    </row>
    <row r="290" spans="18:19" x14ac:dyDescent="0.25">
      <c r="R290" s="57">
        <v>27679</v>
      </c>
      <c r="S290" s="16">
        <v>1009</v>
      </c>
    </row>
    <row r="291" spans="18:19" x14ac:dyDescent="0.25">
      <c r="R291" s="57">
        <v>27686</v>
      </c>
      <c r="S291" s="16">
        <v>1123</v>
      </c>
    </row>
    <row r="292" spans="18:19" x14ac:dyDescent="0.25">
      <c r="R292" s="57">
        <v>27693</v>
      </c>
      <c r="S292" s="16">
        <v>2278</v>
      </c>
    </row>
    <row r="293" spans="18:19" x14ac:dyDescent="0.25">
      <c r="R293" s="57">
        <v>27700</v>
      </c>
      <c r="S293" s="16">
        <v>1384</v>
      </c>
    </row>
    <row r="294" spans="18:19" x14ac:dyDescent="0.25">
      <c r="R294" s="57">
        <v>27707</v>
      </c>
      <c r="S294" s="16">
        <v>1247</v>
      </c>
    </row>
    <row r="295" spans="18:19" x14ac:dyDescent="0.25">
      <c r="R295" s="57">
        <v>27714</v>
      </c>
      <c r="S295" s="16">
        <v>1679</v>
      </c>
    </row>
    <row r="296" spans="18:19" x14ac:dyDescent="0.25">
      <c r="R296" s="57">
        <v>27721</v>
      </c>
      <c r="S296" s="16">
        <v>1373</v>
      </c>
    </row>
    <row r="297" spans="18:19" x14ac:dyDescent="0.25">
      <c r="R297" s="57">
        <v>27728</v>
      </c>
      <c r="S297" s="16">
        <v>1009</v>
      </c>
    </row>
    <row r="298" spans="18:19" x14ac:dyDescent="0.25">
      <c r="R298" s="57">
        <v>27735</v>
      </c>
      <c r="S298" s="16">
        <v>1189</v>
      </c>
    </row>
    <row r="299" spans="18:19" x14ac:dyDescent="0.25">
      <c r="R299" s="57">
        <v>27742</v>
      </c>
      <c r="S299" s="16">
        <v>893</v>
      </c>
    </row>
    <row r="300" spans="18:19" x14ac:dyDescent="0.25">
      <c r="R300" s="57">
        <v>27749</v>
      </c>
      <c r="S300" s="16">
        <v>1165</v>
      </c>
    </row>
    <row r="301" spans="18:19" x14ac:dyDescent="0.25">
      <c r="R301" s="57">
        <v>27752</v>
      </c>
      <c r="S301" s="16">
        <v>935</v>
      </c>
    </row>
    <row r="302" spans="18:19" x14ac:dyDescent="0.25">
      <c r="R302" s="57">
        <v>27753</v>
      </c>
      <c r="S302" s="16">
        <v>1297</v>
      </c>
    </row>
    <row r="303" spans="18:19" x14ac:dyDescent="0.25">
      <c r="R303" s="57">
        <v>27756</v>
      </c>
      <c r="S303" s="16">
        <v>1187</v>
      </c>
    </row>
    <row r="304" spans="18:19" x14ac:dyDescent="0.25">
      <c r="R304" s="57">
        <v>27763</v>
      </c>
      <c r="S304" s="16">
        <v>742</v>
      </c>
    </row>
    <row r="305" spans="18:19" x14ac:dyDescent="0.25">
      <c r="R305" s="57">
        <v>27770</v>
      </c>
      <c r="S305" s="16">
        <v>1197</v>
      </c>
    </row>
    <row r="306" spans="18:19" x14ac:dyDescent="0.25">
      <c r="R306" s="57">
        <v>27777</v>
      </c>
      <c r="S306" s="16">
        <v>1260</v>
      </c>
    </row>
    <row r="307" spans="18:19" x14ac:dyDescent="0.25">
      <c r="R307" s="57">
        <v>27784</v>
      </c>
      <c r="S307" s="16">
        <v>609</v>
      </c>
    </row>
    <row r="308" spans="18:19" x14ac:dyDescent="0.25">
      <c r="R308" s="57">
        <v>27798</v>
      </c>
      <c r="S308" s="16">
        <v>1572</v>
      </c>
    </row>
    <row r="309" spans="18:19" x14ac:dyDescent="0.25">
      <c r="R309" s="57">
        <v>27805</v>
      </c>
      <c r="S309" s="16">
        <v>897</v>
      </c>
    </row>
    <row r="310" spans="18:19" x14ac:dyDescent="0.25">
      <c r="R310" s="57">
        <v>27812</v>
      </c>
      <c r="S310" s="16">
        <v>1149</v>
      </c>
    </row>
    <row r="311" spans="18:19" x14ac:dyDescent="0.25">
      <c r="R311" s="57">
        <v>27819</v>
      </c>
      <c r="S311" s="16">
        <v>1671</v>
      </c>
    </row>
    <row r="312" spans="18:19" x14ac:dyDescent="0.25">
      <c r="R312" s="57">
        <v>27826</v>
      </c>
      <c r="S312" s="16">
        <v>1639</v>
      </c>
    </row>
    <row r="313" spans="18:19" x14ac:dyDescent="0.25">
      <c r="R313" s="57">
        <v>27833</v>
      </c>
      <c r="S313" s="16">
        <v>1594</v>
      </c>
    </row>
    <row r="314" spans="18:19" x14ac:dyDescent="0.25">
      <c r="R314" s="57">
        <v>27840</v>
      </c>
      <c r="S314" s="16">
        <v>1522</v>
      </c>
    </row>
    <row r="315" spans="18:19" x14ac:dyDescent="0.25">
      <c r="R315" s="57">
        <v>27847</v>
      </c>
      <c r="S315" s="16">
        <v>1546</v>
      </c>
    </row>
    <row r="316" spans="18:19" x14ac:dyDescent="0.25">
      <c r="R316" s="57">
        <v>27854</v>
      </c>
      <c r="S316" s="16">
        <v>1127</v>
      </c>
    </row>
    <row r="317" spans="18:19" x14ac:dyDescent="0.25">
      <c r="R317" s="57">
        <v>27861</v>
      </c>
      <c r="S317" s="16">
        <v>821</v>
      </c>
    </row>
    <row r="318" spans="18:19" x14ac:dyDescent="0.25">
      <c r="R318" s="57">
        <v>27868</v>
      </c>
      <c r="S318" s="16">
        <v>1112</v>
      </c>
    </row>
    <row r="319" spans="18:19" x14ac:dyDescent="0.25">
      <c r="R319" s="57">
        <v>27875</v>
      </c>
      <c r="S319" s="16">
        <v>1432</v>
      </c>
    </row>
    <row r="320" spans="18:19" x14ac:dyDescent="0.25">
      <c r="R320" s="57">
        <v>27882</v>
      </c>
      <c r="S320" s="16">
        <v>960</v>
      </c>
    </row>
    <row r="321" spans="18:19" x14ac:dyDescent="0.25">
      <c r="R321" s="57">
        <v>27889</v>
      </c>
      <c r="S321" s="16">
        <v>1785</v>
      </c>
    </row>
    <row r="322" spans="18:19" x14ac:dyDescent="0.25">
      <c r="R322" s="57">
        <v>27896</v>
      </c>
      <c r="S322" s="16">
        <v>1845</v>
      </c>
    </row>
    <row r="323" spans="18:19" x14ac:dyDescent="0.25">
      <c r="R323" s="57">
        <v>27910</v>
      </c>
      <c r="S323" s="16">
        <v>1185</v>
      </c>
    </row>
    <row r="324" spans="18:19" x14ac:dyDescent="0.25">
      <c r="R324" s="57">
        <v>27917</v>
      </c>
      <c r="S324" s="16">
        <v>1093</v>
      </c>
    </row>
    <row r="325" spans="18:19" x14ac:dyDescent="0.25">
      <c r="R325" s="57">
        <v>27924</v>
      </c>
      <c r="S325" s="16">
        <v>1033</v>
      </c>
    </row>
    <row r="326" spans="18:19" x14ac:dyDescent="0.25">
      <c r="R326" s="57">
        <v>27931</v>
      </c>
      <c r="S326" s="16">
        <v>1432</v>
      </c>
    </row>
    <row r="327" spans="18:19" x14ac:dyDescent="0.25">
      <c r="R327" s="57">
        <v>27938</v>
      </c>
      <c r="S327" s="16">
        <v>1263</v>
      </c>
    </row>
    <row r="328" spans="18:19" x14ac:dyDescent="0.25">
      <c r="R328" s="57">
        <v>27945</v>
      </c>
      <c r="S328" s="16">
        <v>1048</v>
      </c>
    </row>
    <row r="329" spans="18:19" x14ac:dyDescent="0.25">
      <c r="R329" s="57">
        <v>27952</v>
      </c>
      <c r="S329" s="16">
        <v>907</v>
      </c>
    </row>
    <row r="330" spans="18:19" x14ac:dyDescent="0.25">
      <c r="R330" s="57">
        <v>27959</v>
      </c>
      <c r="S330" s="16">
        <v>1064</v>
      </c>
    </row>
    <row r="331" spans="18:19" x14ac:dyDescent="0.25">
      <c r="R331" s="57">
        <v>27966</v>
      </c>
      <c r="S331" s="16">
        <v>1492</v>
      </c>
    </row>
    <row r="332" spans="18:19" x14ac:dyDescent="0.25">
      <c r="R332" s="57">
        <v>27973</v>
      </c>
      <c r="S332" s="16">
        <v>694</v>
      </c>
    </row>
    <row r="333" spans="18:19" x14ac:dyDescent="0.25">
      <c r="R333" s="57">
        <v>27994</v>
      </c>
      <c r="S333" s="16">
        <v>1395</v>
      </c>
    </row>
    <row r="334" spans="18:19" x14ac:dyDescent="0.25">
      <c r="R334" s="57">
        <v>28001</v>
      </c>
      <c r="S334" s="16">
        <v>1217</v>
      </c>
    </row>
    <row r="335" spans="18:19" x14ac:dyDescent="0.25">
      <c r="R335" s="57">
        <v>28008</v>
      </c>
      <c r="S335" s="16">
        <v>1361</v>
      </c>
    </row>
    <row r="336" spans="18:19" x14ac:dyDescent="0.25">
      <c r="R336" s="57">
        <v>28015</v>
      </c>
      <c r="S336" s="16">
        <v>1574</v>
      </c>
    </row>
    <row r="337" spans="18:19" x14ac:dyDescent="0.25">
      <c r="R337" s="57">
        <v>28022</v>
      </c>
      <c r="S337" s="16">
        <v>1375</v>
      </c>
    </row>
    <row r="338" spans="18:19" x14ac:dyDescent="0.25">
      <c r="R338" s="57">
        <v>28029</v>
      </c>
      <c r="S338" s="16">
        <v>1172</v>
      </c>
    </row>
    <row r="339" spans="18:19" x14ac:dyDescent="0.25">
      <c r="R339" s="57">
        <v>28036</v>
      </c>
      <c r="S339" s="16">
        <v>1331</v>
      </c>
    </row>
    <row r="340" spans="18:19" x14ac:dyDescent="0.25">
      <c r="R340" s="57">
        <v>28043</v>
      </c>
      <c r="S340" s="16">
        <v>1301</v>
      </c>
    </row>
    <row r="341" spans="18:19" x14ac:dyDescent="0.25">
      <c r="R341" s="57">
        <v>28050</v>
      </c>
      <c r="S341" s="16">
        <v>1322</v>
      </c>
    </row>
    <row r="342" spans="18:19" x14ac:dyDescent="0.25">
      <c r="R342" s="57">
        <v>28057</v>
      </c>
      <c r="S342" s="16">
        <v>1259</v>
      </c>
    </row>
    <row r="343" spans="18:19" x14ac:dyDescent="0.25">
      <c r="R343" s="57">
        <v>28064</v>
      </c>
      <c r="S343" s="16">
        <v>2014</v>
      </c>
    </row>
    <row r="344" spans="18:19" x14ac:dyDescent="0.25">
      <c r="R344" s="57">
        <v>28071</v>
      </c>
      <c r="S344" s="16">
        <v>1362</v>
      </c>
    </row>
    <row r="345" spans="18:19" x14ac:dyDescent="0.25">
      <c r="R345" s="57">
        <v>28078</v>
      </c>
      <c r="S345" s="16">
        <v>1188</v>
      </c>
    </row>
    <row r="346" spans="18:19" x14ac:dyDescent="0.25">
      <c r="R346" s="57">
        <v>28085</v>
      </c>
      <c r="S346" s="16">
        <v>1599</v>
      </c>
    </row>
    <row r="347" spans="18:19" x14ac:dyDescent="0.25">
      <c r="R347" s="57">
        <v>28092</v>
      </c>
      <c r="S347" s="16">
        <v>856</v>
      </c>
    </row>
    <row r="348" spans="18:19" x14ac:dyDescent="0.25">
      <c r="R348" s="57">
        <v>28099</v>
      </c>
      <c r="S348" s="16">
        <v>1027</v>
      </c>
    </row>
    <row r="349" spans="18:19" x14ac:dyDescent="0.25">
      <c r="R349" s="57">
        <v>28106</v>
      </c>
      <c r="S349" s="16">
        <v>1530</v>
      </c>
    </row>
    <row r="350" spans="18:19" x14ac:dyDescent="0.25">
      <c r="R350" s="57">
        <v>28113</v>
      </c>
      <c r="S350" s="16">
        <v>978</v>
      </c>
    </row>
    <row r="351" spans="18:19" x14ac:dyDescent="0.25">
      <c r="R351" s="57">
        <v>28118</v>
      </c>
      <c r="S351" s="16">
        <v>964</v>
      </c>
    </row>
    <row r="352" spans="18:19" x14ac:dyDescent="0.25">
      <c r="R352" s="57">
        <v>28119</v>
      </c>
      <c r="S352" s="16">
        <v>1416</v>
      </c>
    </row>
    <row r="353" spans="18:19" x14ac:dyDescent="0.25">
      <c r="R353" s="57">
        <v>28120</v>
      </c>
      <c r="S353" s="16">
        <v>1405</v>
      </c>
    </row>
    <row r="354" spans="18:19" x14ac:dyDescent="0.25">
      <c r="R354" s="57">
        <v>28127</v>
      </c>
      <c r="S354" s="16">
        <v>1981</v>
      </c>
    </row>
    <row r="355" spans="18:19" x14ac:dyDescent="0.25">
      <c r="R355" s="57">
        <v>28134</v>
      </c>
      <c r="S355" s="16">
        <v>1220</v>
      </c>
    </row>
    <row r="356" spans="18:19" x14ac:dyDescent="0.25">
      <c r="R356" s="57">
        <v>28141</v>
      </c>
      <c r="S356" s="16">
        <v>1519</v>
      </c>
    </row>
    <row r="357" spans="18:19" x14ac:dyDescent="0.25">
      <c r="R357" s="57">
        <v>28148</v>
      </c>
      <c r="S357" s="16">
        <v>1380</v>
      </c>
    </row>
    <row r="358" spans="18:19" x14ac:dyDescent="0.25">
      <c r="R358" s="57">
        <v>28155</v>
      </c>
      <c r="S358" s="16">
        <v>1540</v>
      </c>
    </row>
    <row r="359" spans="18:19" x14ac:dyDescent="0.25">
      <c r="R359" s="57">
        <v>28162</v>
      </c>
      <c r="S359" s="16">
        <v>1509</v>
      </c>
    </row>
    <row r="360" spans="18:19" x14ac:dyDescent="0.25">
      <c r="R360" s="57">
        <v>28169</v>
      </c>
      <c r="S360" s="16">
        <v>1459</v>
      </c>
    </row>
    <row r="361" spans="18:19" x14ac:dyDescent="0.25">
      <c r="R361" s="57">
        <v>28176</v>
      </c>
      <c r="S361" s="16">
        <v>1209</v>
      </c>
    </row>
    <row r="362" spans="18:19" x14ac:dyDescent="0.25">
      <c r="R362" s="57">
        <v>28183</v>
      </c>
      <c r="S362" s="16">
        <v>1537</v>
      </c>
    </row>
    <row r="363" spans="18:19" x14ac:dyDescent="0.25">
      <c r="R363" s="57">
        <v>28190</v>
      </c>
      <c r="S363" s="16">
        <v>1384</v>
      </c>
    </row>
    <row r="364" spans="18:19" x14ac:dyDescent="0.25">
      <c r="R364" s="57">
        <v>28197</v>
      </c>
      <c r="S364" s="16">
        <v>1585</v>
      </c>
    </row>
    <row r="365" spans="18:19" x14ac:dyDescent="0.25">
      <c r="R365" s="57">
        <v>28204</v>
      </c>
      <c r="S365" s="16">
        <v>1444</v>
      </c>
    </row>
    <row r="366" spans="18:19" x14ac:dyDescent="0.25">
      <c r="R366" s="57">
        <v>28211</v>
      </c>
      <c r="S366" s="16">
        <v>1571</v>
      </c>
    </row>
    <row r="367" spans="18:19" x14ac:dyDescent="0.25">
      <c r="R367" s="57">
        <v>28225</v>
      </c>
      <c r="S367" s="16">
        <v>900</v>
      </c>
    </row>
    <row r="368" spans="18:19" x14ac:dyDescent="0.25">
      <c r="R368" s="57">
        <v>28232</v>
      </c>
      <c r="S368" s="16">
        <v>986</v>
      </c>
    </row>
    <row r="369" spans="18:19" x14ac:dyDescent="0.25">
      <c r="R369" s="57">
        <v>28239</v>
      </c>
      <c r="S369" s="16">
        <v>1391</v>
      </c>
    </row>
    <row r="370" spans="18:19" x14ac:dyDescent="0.25">
      <c r="R370" s="57">
        <v>28253</v>
      </c>
      <c r="S370" s="16">
        <v>1220</v>
      </c>
    </row>
    <row r="371" spans="18:19" x14ac:dyDescent="0.25">
      <c r="R371" s="57">
        <v>28260</v>
      </c>
      <c r="S371" s="16">
        <v>1589</v>
      </c>
    </row>
    <row r="372" spans="18:19" x14ac:dyDescent="0.25">
      <c r="R372" s="57">
        <v>28267</v>
      </c>
      <c r="S372" s="16">
        <v>1372</v>
      </c>
    </row>
    <row r="373" spans="18:19" x14ac:dyDescent="0.25">
      <c r="R373" s="57">
        <v>28274</v>
      </c>
      <c r="S373" s="16">
        <v>1571</v>
      </c>
    </row>
    <row r="374" spans="18:19" x14ac:dyDescent="0.25">
      <c r="R374" s="57">
        <v>28281</v>
      </c>
      <c r="S374" s="16">
        <v>1459</v>
      </c>
    </row>
    <row r="375" spans="18:19" x14ac:dyDescent="0.25">
      <c r="R375" s="57">
        <v>28288</v>
      </c>
      <c r="S375" s="16">
        <v>2015</v>
      </c>
    </row>
    <row r="376" spans="18:19" x14ac:dyDescent="0.25">
      <c r="R376" s="57">
        <v>28295</v>
      </c>
      <c r="S376" s="16">
        <v>1347</v>
      </c>
    </row>
    <row r="377" spans="18:19" x14ac:dyDescent="0.25">
      <c r="R377" s="57">
        <v>28302</v>
      </c>
      <c r="S377" s="16">
        <v>1156</v>
      </c>
    </row>
    <row r="378" spans="18:19" x14ac:dyDescent="0.25">
      <c r="R378" s="57">
        <v>28309</v>
      </c>
      <c r="S378" s="16">
        <v>917</v>
      </c>
    </row>
    <row r="379" spans="18:19" x14ac:dyDescent="0.25">
      <c r="R379" s="57">
        <v>28316</v>
      </c>
      <c r="S379" s="16">
        <v>1108</v>
      </c>
    </row>
    <row r="380" spans="18:19" x14ac:dyDescent="0.25">
      <c r="R380" s="57">
        <v>28323</v>
      </c>
      <c r="S380" s="16">
        <v>1356</v>
      </c>
    </row>
    <row r="381" spans="18:19" x14ac:dyDescent="0.25">
      <c r="R381" s="57">
        <v>28330</v>
      </c>
      <c r="S381" s="16">
        <v>1249</v>
      </c>
    </row>
    <row r="382" spans="18:19" x14ac:dyDescent="0.25">
      <c r="R382" s="57">
        <v>28337</v>
      </c>
      <c r="S382" s="16">
        <v>1186</v>
      </c>
    </row>
    <row r="383" spans="18:19" x14ac:dyDescent="0.25">
      <c r="R383" s="57">
        <v>28344</v>
      </c>
      <c r="S383" s="16">
        <v>1137</v>
      </c>
    </row>
    <row r="384" spans="18:19" x14ac:dyDescent="0.25">
      <c r="R384" s="57">
        <v>28351</v>
      </c>
      <c r="S384" s="16">
        <v>1412</v>
      </c>
    </row>
    <row r="385" spans="18:19" x14ac:dyDescent="0.25">
      <c r="R385" s="57">
        <v>28358</v>
      </c>
      <c r="S385" s="16">
        <v>958</v>
      </c>
    </row>
    <row r="386" spans="18:19" x14ac:dyDescent="0.25">
      <c r="R386" s="57">
        <v>28365</v>
      </c>
      <c r="S386" s="16">
        <v>1045</v>
      </c>
    </row>
    <row r="387" spans="18:19" x14ac:dyDescent="0.25">
      <c r="R387" s="57">
        <v>28372</v>
      </c>
      <c r="S387" s="16">
        <v>966</v>
      </c>
    </row>
    <row r="388" spans="18:19" x14ac:dyDescent="0.25">
      <c r="R388" s="57">
        <v>28379</v>
      </c>
      <c r="S388" s="16">
        <v>1539</v>
      </c>
    </row>
    <row r="389" spans="18:19" x14ac:dyDescent="0.25">
      <c r="R389" s="57">
        <v>28386</v>
      </c>
      <c r="S389" s="16">
        <v>1127</v>
      </c>
    </row>
    <row r="390" spans="18:19" x14ac:dyDescent="0.25">
      <c r="R390" s="57">
        <v>28414</v>
      </c>
      <c r="S390" s="16">
        <v>1296</v>
      </c>
    </row>
    <row r="391" spans="18:19" x14ac:dyDescent="0.25">
      <c r="R391" s="57">
        <v>28428</v>
      </c>
      <c r="S391" s="16">
        <v>1566</v>
      </c>
    </row>
    <row r="392" spans="18:19" x14ac:dyDescent="0.25">
      <c r="R392" s="57">
        <v>28456</v>
      </c>
      <c r="S392" s="16">
        <v>1475</v>
      </c>
    </row>
    <row r="393" spans="18:19" x14ac:dyDescent="0.25">
      <c r="R393" s="57">
        <v>28463</v>
      </c>
      <c r="S393" s="16">
        <v>1477</v>
      </c>
    </row>
    <row r="394" spans="18:19" x14ac:dyDescent="0.25">
      <c r="R394" s="57">
        <v>28470</v>
      </c>
      <c r="S394" s="16">
        <v>1289</v>
      </c>
    </row>
    <row r="395" spans="18:19" x14ac:dyDescent="0.25">
      <c r="R395" s="57">
        <v>28477</v>
      </c>
      <c r="S395" s="16">
        <v>797</v>
      </c>
    </row>
    <row r="396" spans="18:19" x14ac:dyDescent="0.25">
      <c r="R396" s="57">
        <v>28483</v>
      </c>
      <c r="S396" s="16">
        <v>797</v>
      </c>
    </row>
    <row r="397" spans="18:19" x14ac:dyDescent="0.25">
      <c r="R397" s="57">
        <v>28484</v>
      </c>
      <c r="S397" s="16">
        <v>978</v>
      </c>
    </row>
    <row r="398" spans="18:19" x14ac:dyDescent="0.25">
      <c r="R398" s="57">
        <v>28491</v>
      </c>
      <c r="S398" s="16">
        <v>1681</v>
      </c>
    </row>
    <row r="399" spans="18:19" x14ac:dyDescent="0.25">
      <c r="R399" s="57">
        <v>28498</v>
      </c>
      <c r="S399" s="16">
        <v>1054</v>
      </c>
    </row>
    <row r="400" spans="18:19" x14ac:dyDescent="0.25">
      <c r="R400" s="57">
        <v>28505</v>
      </c>
      <c r="S400" s="16">
        <v>1203</v>
      </c>
    </row>
    <row r="401" spans="18:19" x14ac:dyDescent="0.25">
      <c r="R401" s="57">
        <v>28512</v>
      </c>
      <c r="S401" s="16">
        <v>1602</v>
      </c>
    </row>
    <row r="402" spans="18:19" x14ac:dyDescent="0.25">
      <c r="R402" s="57">
        <v>28519</v>
      </c>
      <c r="S402" s="16">
        <v>1251</v>
      </c>
    </row>
    <row r="403" spans="18:19" x14ac:dyDescent="0.25">
      <c r="R403" s="57">
        <v>28526</v>
      </c>
      <c r="S403" s="16">
        <v>774</v>
      </c>
    </row>
    <row r="404" spans="18:19" x14ac:dyDescent="0.25">
      <c r="R404" s="57">
        <v>28533</v>
      </c>
      <c r="S404" s="16">
        <v>1346</v>
      </c>
    </row>
    <row r="405" spans="18:19" x14ac:dyDescent="0.25">
      <c r="R405" s="57">
        <v>28547</v>
      </c>
      <c r="S405" s="16">
        <v>1457</v>
      </c>
    </row>
    <row r="406" spans="18:19" x14ac:dyDescent="0.25">
      <c r="R406" s="57">
        <v>28554</v>
      </c>
      <c r="S406" s="16">
        <v>1752</v>
      </c>
    </row>
    <row r="407" spans="18:19" x14ac:dyDescent="0.25">
      <c r="R407" s="57">
        <v>28561</v>
      </c>
      <c r="S407" s="16">
        <v>1387</v>
      </c>
    </row>
    <row r="408" spans="18:19" x14ac:dyDescent="0.25">
      <c r="R408" s="57">
        <v>28575</v>
      </c>
      <c r="S408" s="16">
        <v>684</v>
      </c>
    </row>
    <row r="409" spans="18:19" x14ac:dyDescent="0.25">
      <c r="R409" s="57">
        <v>28582</v>
      </c>
      <c r="S409" s="16">
        <v>1618</v>
      </c>
    </row>
    <row r="410" spans="18:19" x14ac:dyDescent="0.25">
      <c r="R410" s="57">
        <v>28589</v>
      </c>
      <c r="S410" s="16">
        <v>1852</v>
      </c>
    </row>
    <row r="411" spans="18:19" x14ac:dyDescent="0.25">
      <c r="R411" s="57">
        <v>28596</v>
      </c>
      <c r="S411" s="16">
        <v>1259</v>
      </c>
    </row>
    <row r="412" spans="18:19" x14ac:dyDescent="0.25">
      <c r="R412" s="57">
        <v>28603</v>
      </c>
      <c r="S412" s="16">
        <v>842</v>
      </c>
    </row>
    <row r="413" spans="18:19" x14ac:dyDescent="0.25">
      <c r="R413" s="57">
        <v>28610</v>
      </c>
      <c r="S413" s="16">
        <v>883</v>
      </c>
    </row>
    <row r="414" spans="18:19" x14ac:dyDescent="0.25">
      <c r="R414" s="57">
        <v>28617</v>
      </c>
      <c r="S414" s="16">
        <v>1400</v>
      </c>
    </row>
    <row r="415" spans="18:19" x14ac:dyDescent="0.25">
      <c r="R415" s="57">
        <v>28624</v>
      </c>
      <c r="S415" s="16">
        <v>718</v>
      </c>
    </row>
    <row r="416" spans="18:19" x14ac:dyDescent="0.25">
      <c r="R416" s="57">
        <v>28631</v>
      </c>
      <c r="S416" s="16">
        <v>1312</v>
      </c>
    </row>
    <row r="417" spans="18:19" x14ac:dyDescent="0.25">
      <c r="R417" s="57">
        <v>28638</v>
      </c>
      <c r="S417" s="16">
        <v>971</v>
      </c>
    </row>
    <row r="418" spans="18:19" x14ac:dyDescent="0.25">
      <c r="R418" s="57">
        <v>28652</v>
      </c>
      <c r="S418" s="16">
        <v>866</v>
      </c>
    </row>
    <row r="419" spans="18:19" x14ac:dyDescent="0.25">
      <c r="R419" s="57">
        <v>28659</v>
      </c>
      <c r="S419" s="16">
        <v>902</v>
      </c>
    </row>
    <row r="420" spans="18:19" x14ac:dyDescent="0.25">
      <c r="R420" s="57">
        <v>28666</v>
      </c>
      <c r="S420" s="16">
        <v>1236</v>
      </c>
    </row>
    <row r="421" spans="18:19" x14ac:dyDescent="0.25">
      <c r="R421" s="57">
        <v>28673</v>
      </c>
      <c r="S421" s="16">
        <v>1533</v>
      </c>
    </row>
    <row r="422" spans="18:19" x14ac:dyDescent="0.25">
      <c r="R422" s="57">
        <v>28680</v>
      </c>
      <c r="S422" s="16">
        <v>986</v>
      </c>
    </row>
    <row r="423" spans="18:19" x14ac:dyDescent="0.25">
      <c r="R423" s="57">
        <v>28687</v>
      </c>
      <c r="S423" s="16">
        <v>1075</v>
      </c>
    </row>
    <row r="424" spans="18:19" x14ac:dyDescent="0.25">
      <c r="R424" s="57">
        <v>28694</v>
      </c>
      <c r="S424" s="16">
        <v>1974</v>
      </c>
    </row>
    <row r="425" spans="18:19" x14ac:dyDescent="0.25">
      <c r="R425" s="57">
        <v>28701</v>
      </c>
      <c r="S425" s="16">
        <v>1353</v>
      </c>
    </row>
    <row r="426" spans="18:19" x14ac:dyDescent="0.25">
      <c r="R426" s="57">
        <v>28708</v>
      </c>
      <c r="S426" s="16">
        <v>938</v>
      </c>
    </row>
    <row r="427" spans="18:19" x14ac:dyDescent="0.25">
      <c r="R427" s="57">
        <v>28715</v>
      </c>
      <c r="S427" s="16">
        <v>1329</v>
      </c>
    </row>
    <row r="428" spans="18:19" x14ac:dyDescent="0.25">
      <c r="R428" s="57">
        <v>28717</v>
      </c>
      <c r="S428" s="16">
        <v>314</v>
      </c>
    </row>
    <row r="429" spans="18:19" x14ac:dyDescent="0.25">
      <c r="R429" s="57">
        <v>28722</v>
      </c>
      <c r="S429" s="16">
        <v>1289</v>
      </c>
    </row>
    <row r="430" spans="18:19" x14ac:dyDescent="0.25">
      <c r="R430" s="57">
        <v>28729</v>
      </c>
      <c r="S430" s="16">
        <v>1025</v>
      </c>
    </row>
    <row r="431" spans="18:19" x14ac:dyDescent="0.25">
      <c r="R431" s="57">
        <v>28736</v>
      </c>
      <c r="S431" s="16">
        <v>1440</v>
      </c>
    </row>
    <row r="432" spans="18:19" x14ac:dyDescent="0.25">
      <c r="R432" s="57">
        <v>28743</v>
      </c>
      <c r="S432" s="16">
        <v>620</v>
      </c>
    </row>
    <row r="433" spans="18:19" x14ac:dyDescent="0.25">
      <c r="R433" s="57">
        <v>28750</v>
      </c>
      <c r="S433" s="16">
        <v>1110</v>
      </c>
    </row>
    <row r="434" spans="18:19" x14ac:dyDescent="0.25">
      <c r="R434" s="57">
        <v>28757</v>
      </c>
      <c r="S434" s="16">
        <v>931</v>
      </c>
    </row>
    <row r="435" spans="18:19" x14ac:dyDescent="0.25">
      <c r="R435" s="57">
        <v>28764</v>
      </c>
      <c r="S435" s="16">
        <v>1460</v>
      </c>
    </row>
    <row r="436" spans="18:19" x14ac:dyDescent="0.25">
      <c r="R436" s="57">
        <v>28771</v>
      </c>
      <c r="S436" s="16">
        <v>754</v>
      </c>
    </row>
    <row r="437" spans="18:19" x14ac:dyDescent="0.25">
      <c r="R437" s="57">
        <v>28778</v>
      </c>
      <c r="S437" s="16">
        <v>653</v>
      </c>
    </row>
    <row r="438" spans="18:19" x14ac:dyDescent="0.25">
      <c r="R438" s="57">
        <v>28785</v>
      </c>
      <c r="S438" s="16">
        <v>2288</v>
      </c>
    </row>
    <row r="439" spans="18:19" x14ac:dyDescent="0.25">
      <c r="R439" s="57">
        <v>28792</v>
      </c>
      <c r="S439" s="16">
        <v>1498</v>
      </c>
    </row>
    <row r="440" spans="18:19" x14ac:dyDescent="0.25">
      <c r="R440" s="57">
        <v>28799</v>
      </c>
      <c r="S440" s="16">
        <v>1185</v>
      </c>
    </row>
    <row r="441" spans="18:19" x14ac:dyDescent="0.25">
      <c r="R441" s="57">
        <v>28806</v>
      </c>
      <c r="S441" s="16">
        <v>1207</v>
      </c>
    </row>
    <row r="442" spans="18:19" x14ac:dyDescent="0.25">
      <c r="R442" s="57">
        <v>28813</v>
      </c>
      <c r="S442" s="16">
        <v>988</v>
      </c>
    </row>
    <row r="443" spans="18:19" x14ac:dyDescent="0.25">
      <c r="R443" s="57">
        <v>28820</v>
      </c>
      <c r="S443" s="16">
        <v>1237</v>
      </c>
    </row>
    <row r="444" spans="18:19" x14ac:dyDescent="0.25">
      <c r="R444" s="57">
        <v>28827</v>
      </c>
      <c r="S444" s="16">
        <v>1422</v>
      </c>
    </row>
    <row r="445" spans="18:19" x14ac:dyDescent="0.25">
      <c r="R445" s="57">
        <v>28834</v>
      </c>
      <c r="S445" s="16">
        <v>653</v>
      </c>
    </row>
    <row r="446" spans="18:19" x14ac:dyDescent="0.25">
      <c r="R446" s="57">
        <v>28841</v>
      </c>
      <c r="S446" s="16">
        <v>1050</v>
      </c>
    </row>
    <row r="447" spans="18:19" x14ac:dyDescent="0.25">
      <c r="R447" s="57">
        <v>28848</v>
      </c>
      <c r="S447" s="16">
        <v>1053</v>
      </c>
    </row>
    <row r="448" spans="18:19" x14ac:dyDescent="0.25">
      <c r="R448" s="57">
        <v>28849</v>
      </c>
      <c r="S448" s="16">
        <v>1121</v>
      </c>
    </row>
    <row r="449" spans="18:19" x14ac:dyDescent="0.25">
      <c r="R449" s="57">
        <v>28855</v>
      </c>
      <c r="S449" s="16">
        <v>1191</v>
      </c>
    </row>
    <row r="450" spans="18:19" x14ac:dyDescent="0.25">
      <c r="R450" s="57">
        <v>28862</v>
      </c>
      <c r="S450" s="16">
        <v>1144</v>
      </c>
    </row>
    <row r="451" spans="18:19" x14ac:dyDescent="0.25">
      <c r="R451" s="57">
        <v>28869</v>
      </c>
      <c r="S451" s="16">
        <v>886</v>
      </c>
    </row>
    <row r="452" spans="18:19" x14ac:dyDescent="0.25">
      <c r="R452" s="57">
        <v>28876</v>
      </c>
      <c r="S452" s="16">
        <v>1583</v>
      </c>
    </row>
    <row r="453" spans="18:19" x14ac:dyDescent="0.25">
      <c r="R453" s="57">
        <v>28890</v>
      </c>
      <c r="S453" s="16">
        <v>731</v>
      </c>
    </row>
    <row r="454" spans="18:19" x14ac:dyDescent="0.25">
      <c r="R454" s="57">
        <v>28918</v>
      </c>
      <c r="S454" s="16">
        <v>1217</v>
      </c>
    </row>
    <row r="455" spans="18:19" x14ac:dyDescent="0.25">
      <c r="R455" s="57">
        <v>28925</v>
      </c>
      <c r="S455" s="16">
        <v>1103</v>
      </c>
    </row>
    <row r="456" spans="18:19" x14ac:dyDescent="0.25">
      <c r="R456" s="57">
        <v>28932</v>
      </c>
      <c r="S456" s="16">
        <v>1125</v>
      </c>
    </row>
    <row r="457" spans="18:19" x14ac:dyDescent="0.25">
      <c r="R457" s="57">
        <v>28939</v>
      </c>
      <c r="S457" s="16">
        <v>1259</v>
      </c>
    </row>
    <row r="458" spans="18:19" x14ac:dyDescent="0.25">
      <c r="R458" s="57">
        <v>28946</v>
      </c>
      <c r="S458" s="16">
        <v>1343</v>
      </c>
    </row>
    <row r="459" spans="18:19" x14ac:dyDescent="0.25">
      <c r="R459" s="57">
        <v>28960</v>
      </c>
      <c r="S459" s="16">
        <v>1217</v>
      </c>
    </row>
    <row r="460" spans="18:19" x14ac:dyDescent="0.25">
      <c r="R460" s="57">
        <v>28967</v>
      </c>
      <c r="S460" s="16">
        <v>1196</v>
      </c>
    </row>
    <row r="461" spans="18:19" x14ac:dyDescent="0.25">
      <c r="R461" s="57">
        <v>28974</v>
      </c>
      <c r="S461" s="16">
        <v>1235</v>
      </c>
    </row>
    <row r="462" spans="18:19" x14ac:dyDescent="0.25">
      <c r="R462" s="57">
        <v>28981</v>
      </c>
      <c r="S462" s="16">
        <v>1451</v>
      </c>
    </row>
    <row r="463" spans="18:19" x14ac:dyDescent="0.25">
      <c r="R463" s="57">
        <v>28988</v>
      </c>
      <c r="S463" s="16">
        <v>1318</v>
      </c>
    </row>
    <row r="464" spans="18:19" x14ac:dyDescent="0.25">
      <c r="R464" s="57">
        <v>28995</v>
      </c>
      <c r="S464" s="16">
        <v>1255</v>
      </c>
    </row>
    <row r="465" spans="18:19" x14ac:dyDescent="0.25">
      <c r="R465" s="57">
        <v>29002</v>
      </c>
      <c r="S465" s="16">
        <v>716</v>
      </c>
    </row>
    <row r="466" spans="18:19" x14ac:dyDescent="0.25">
      <c r="R466" s="57">
        <v>29009</v>
      </c>
      <c r="S466" s="16">
        <v>1018</v>
      </c>
    </row>
    <row r="467" spans="18:19" x14ac:dyDescent="0.25">
      <c r="R467" s="57">
        <v>29016</v>
      </c>
      <c r="S467" s="16">
        <v>3322</v>
      </c>
    </row>
    <row r="468" spans="18:19" x14ac:dyDescent="0.25">
      <c r="R468" s="57">
        <v>29023</v>
      </c>
      <c r="S468" s="16">
        <v>878</v>
      </c>
    </row>
    <row r="469" spans="18:19" x14ac:dyDescent="0.25">
      <c r="R469" s="57">
        <v>29030</v>
      </c>
      <c r="S469" s="16">
        <v>874</v>
      </c>
    </row>
    <row r="470" spans="18:19" x14ac:dyDescent="0.25">
      <c r="R470" s="57">
        <v>29037</v>
      </c>
      <c r="S470" s="16">
        <v>1504</v>
      </c>
    </row>
    <row r="471" spans="18:19" x14ac:dyDescent="0.25">
      <c r="R471" s="57">
        <v>29044</v>
      </c>
      <c r="S471" s="16">
        <v>971</v>
      </c>
    </row>
    <row r="472" spans="18:19" x14ac:dyDescent="0.25">
      <c r="R472" s="57">
        <v>29051</v>
      </c>
      <c r="S472" s="16">
        <v>1391</v>
      </c>
    </row>
    <row r="473" spans="18:19" x14ac:dyDescent="0.25">
      <c r="R473" s="57">
        <v>29058</v>
      </c>
      <c r="S473" s="16">
        <v>930</v>
      </c>
    </row>
    <row r="474" spans="18:19" x14ac:dyDescent="0.25">
      <c r="R474" s="57">
        <v>29065</v>
      </c>
      <c r="S474" s="16">
        <v>903</v>
      </c>
    </row>
    <row r="475" spans="18:19" x14ac:dyDescent="0.25">
      <c r="R475" s="57">
        <v>29079</v>
      </c>
      <c r="S475" s="16">
        <v>1206</v>
      </c>
    </row>
    <row r="476" spans="18:19" x14ac:dyDescent="0.25">
      <c r="R476" s="57">
        <v>29082</v>
      </c>
      <c r="S476" s="16">
        <v>1999</v>
      </c>
    </row>
    <row r="477" spans="18:19" x14ac:dyDescent="0.25">
      <c r="R477" s="57">
        <v>29086</v>
      </c>
      <c r="S477" s="16">
        <v>1157</v>
      </c>
    </row>
    <row r="478" spans="18:19" x14ac:dyDescent="0.25">
      <c r="R478" s="57">
        <v>29093</v>
      </c>
      <c r="S478" s="16">
        <v>1034</v>
      </c>
    </row>
    <row r="479" spans="18:19" x14ac:dyDescent="0.25">
      <c r="R479" s="57">
        <v>29100</v>
      </c>
      <c r="S479" s="16">
        <v>744</v>
      </c>
    </row>
    <row r="480" spans="18:19" x14ac:dyDescent="0.25">
      <c r="R480" s="57">
        <v>29107</v>
      </c>
      <c r="S480" s="16">
        <v>691</v>
      </c>
    </row>
    <row r="481" spans="18:19" x14ac:dyDescent="0.25">
      <c r="R481" s="57">
        <v>29114</v>
      </c>
      <c r="S481" s="16">
        <v>1099</v>
      </c>
    </row>
    <row r="482" spans="18:19" x14ac:dyDescent="0.25">
      <c r="R482" s="57">
        <v>29121</v>
      </c>
      <c r="S482" s="16">
        <v>1234</v>
      </c>
    </row>
    <row r="483" spans="18:19" x14ac:dyDescent="0.25">
      <c r="R483" s="57">
        <v>29128</v>
      </c>
      <c r="S483" s="16">
        <v>1053</v>
      </c>
    </row>
    <row r="484" spans="18:19" x14ac:dyDescent="0.25">
      <c r="R484" s="57">
        <v>29135</v>
      </c>
      <c r="S484" s="16">
        <v>1390</v>
      </c>
    </row>
    <row r="485" spans="18:19" x14ac:dyDescent="0.25">
      <c r="R485" s="57">
        <v>29142</v>
      </c>
      <c r="S485" s="16">
        <v>1654</v>
      </c>
    </row>
    <row r="486" spans="18:19" x14ac:dyDescent="0.25">
      <c r="R486" s="57">
        <v>29156</v>
      </c>
      <c r="S486" s="16">
        <v>868</v>
      </c>
    </row>
    <row r="487" spans="18:19" x14ac:dyDescent="0.25">
      <c r="R487" s="57">
        <v>29160</v>
      </c>
      <c r="S487" s="16">
        <v>1331</v>
      </c>
    </row>
    <row r="488" spans="18:19" x14ac:dyDescent="0.25">
      <c r="R488" s="57">
        <v>29163</v>
      </c>
      <c r="S488" s="16">
        <v>1196</v>
      </c>
    </row>
    <row r="489" spans="18:19" x14ac:dyDescent="0.25">
      <c r="R489" s="57">
        <v>29177</v>
      </c>
      <c r="S489" s="16">
        <v>938</v>
      </c>
    </row>
    <row r="490" spans="18:19" x14ac:dyDescent="0.25">
      <c r="R490" s="57">
        <v>29184</v>
      </c>
      <c r="S490" s="16">
        <v>1509</v>
      </c>
    </row>
    <row r="491" spans="18:19" x14ac:dyDescent="0.25">
      <c r="R491" s="57">
        <v>29191</v>
      </c>
      <c r="S491" s="16">
        <v>1599</v>
      </c>
    </row>
    <row r="492" spans="18:19" x14ac:dyDescent="0.25">
      <c r="R492" s="57">
        <v>29198</v>
      </c>
      <c r="S492" s="16">
        <v>1015</v>
      </c>
    </row>
    <row r="493" spans="18:19" x14ac:dyDescent="0.25">
      <c r="R493" s="57">
        <v>29205</v>
      </c>
      <c r="S493" s="16">
        <v>736</v>
      </c>
    </row>
    <row r="494" spans="18:19" x14ac:dyDescent="0.25">
      <c r="R494" s="57">
        <v>29212</v>
      </c>
      <c r="S494" s="16">
        <v>1005</v>
      </c>
    </row>
    <row r="495" spans="18:19" x14ac:dyDescent="0.25">
      <c r="R495" s="57">
        <v>29213</v>
      </c>
      <c r="S495" s="16">
        <v>1383</v>
      </c>
    </row>
    <row r="496" spans="18:19" x14ac:dyDescent="0.25">
      <c r="R496" s="57">
        <v>29214</v>
      </c>
      <c r="S496" s="16">
        <v>1431</v>
      </c>
    </row>
    <row r="497" spans="18:19" x14ac:dyDescent="0.25">
      <c r="R497" s="57">
        <v>29219</v>
      </c>
      <c r="S497" s="16">
        <v>1186</v>
      </c>
    </row>
    <row r="498" spans="18:19" x14ac:dyDescent="0.25">
      <c r="R498" s="57">
        <v>29226</v>
      </c>
      <c r="S498" s="16">
        <v>1058</v>
      </c>
    </row>
    <row r="499" spans="18:19" x14ac:dyDescent="0.25">
      <c r="R499" s="57">
        <v>29233</v>
      </c>
      <c r="S499" s="16">
        <v>1230</v>
      </c>
    </row>
    <row r="500" spans="18:19" x14ac:dyDescent="0.25">
      <c r="R500" s="57">
        <v>29240</v>
      </c>
      <c r="S500" s="16">
        <v>843</v>
      </c>
    </row>
    <row r="501" spans="18:19" x14ac:dyDescent="0.25">
      <c r="R501" s="57">
        <v>29254</v>
      </c>
      <c r="S501" s="16">
        <v>1062</v>
      </c>
    </row>
    <row r="502" spans="18:19" x14ac:dyDescent="0.25">
      <c r="R502" s="57">
        <v>29261</v>
      </c>
      <c r="S502" s="16">
        <v>1278</v>
      </c>
    </row>
    <row r="503" spans="18:19" x14ac:dyDescent="0.25">
      <c r="R503" s="57">
        <v>29268</v>
      </c>
      <c r="S503" s="16">
        <v>781</v>
      </c>
    </row>
    <row r="504" spans="18:19" x14ac:dyDescent="0.25">
      <c r="R504" s="57">
        <v>29275</v>
      </c>
      <c r="S504" s="16">
        <v>939</v>
      </c>
    </row>
    <row r="505" spans="18:19" x14ac:dyDescent="0.25">
      <c r="R505" s="57">
        <v>29282</v>
      </c>
      <c r="S505" s="16">
        <v>1015</v>
      </c>
    </row>
    <row r="506" spans="18:19" x14ac:dyDescent="0.25">
      <c r="R506" s="57">
        <v>29289</v>
      </c>
      <c r="S506" s="16">
        <v>995</v>
      </c>
    </row>
    <row r="507" spans="18:19" x14ac:dyDescent="0.25">
      <c r="R507" s="57">
        <v>29296</v>
      </c>
      <c r="S507" s="16">
        <v>1001</v>
      </c>
    </row>
    <row r="508" spans="18:19" x14ac:dyDescent="0.25">
      <c r="R508" s="57">
        <v>29303</v>
      </c>
      <c r="S508" s="16">
        <v>921</v>
      </c>
    </row>
    <row r="509" spans="18:19" x14ac:dyDescent="0.25">
      <c r="R509" s="57">
        <v>29310</v>
      </c>
      <c r="S509" s="16">
        <v>787</v>
      </c>
    </row>
    <row r="510" spans="18:19" x14ac:dyDescent="0.25">
      <c r="R510" s="57">
        <v>29317</v>
      </c>
      <c r="S510" s="16">
        <v>714</v>
      </c>
    </row>
    <row r="511" spans="18:19" x14ac:dyDescent="0.25">
      <c r="R511" s="57">
        <v>29324</v>
      </c>
      <c r="S511" s="16">
        <v>1318</v>
      </c>
    </row>
    <row r="512" spans="18:19" x14ac:dyDescent="0.25">
      <c r="R512" s="57">
        <v>29331</v>
      </c>
      <c r="S512" s="16">
        <v>1167</v>
      </c>
    </row>
    <row r="513" spans="18:19" x14ac:dyDescent="0.25">
      <c r="R513" s="57">
        <v>29338</v>
      </c>
      <c r="S513" s="16">
        <v>926</v>
      </c>
    </row>
    <row r="514" spans="18:19" x14ac:dyDescent="0.25">
      <c r="R514" s="57">
        <v>29345</v>
      </c>
      <c r="S514" s="16">
        <v>715</v>
      </c>
    </row>
    <row r="515" spans="18:19" x14ac:dyDescent="0.25">
      <c r="R515" s="57">
        <v>29352</v>
      </c>
      <c r="S515" s="16">
        <v>744</v>
      </c>
    </row>
    <row r="516" spans="18:19" x14ac:dyDescent="0.25">
      <c r="R516" s="57">
        <v>29359</v>
      </c>
      <c r="S516" s="16">
        <v>856</v>
      </c>
    </row>
    <row r="517" spans="18:19" x14ac:dyDescent="0.25">
      <c r="R517" s="57">
        <v>29366</v>
      </c>
      <c r="S517" s="16">
        <v>1390</v>
      </c>
    </row>
    <row r="518" spans="18:19" x14ac:dyDescent="0.25">
      <c r="R518" s="57">
        <v>29373</v>
      </c>
      <c r="S518" s="16">
        <v>2602</v>
      </c>
    </row>
    <row r="519" spans="18:19" x14ac:dyDescent="0.25">
      <c r="R519" s="57">
        <v>29380</v>
      </c>
      <c r="S519" s="16">
        <v>1451</v>
      </c>
    </row>
    <row r="520" spans="18:19" x14ac:dyDescent="0.25">
      <c r="R520" s="57">
        <v>29387</v>
      </c>
      <c r="S520" s="16">
        <v>1297</v>
      </c>
    </row>
    <row r="521" spans="18:19" x14ac:dyDescent="0.25">
      <c r="R521" s="57">
        <v>29394</v>
      </c>
      <c r="S521" s="16">
        <v>861</v>
      </c>
    </row>
    <row r="522" spans="18:19" x14ac:dyDescent="0.25">
      <c r="R522" s="57">
        <v>29401</v>
      </c>
      <c r="S522" s="16">
        <v>749</v>
      </c>
    </row>
    <row r="523" spans="18:19" x14ac:dyDescent="0.25">
      <c r="R523" s="57">
        <v>29408</v>
      </c>
      <c r="S523" s="16">
        <v>1124</v>
      </c>
    </row>
    <row r="524" spans="18:19" x14ac:dyDescent="0.25">
      <c r="R524" s="57">
        <v>29415</v>
      </c>
      <c r="S524" s="16">
        <v>1134</v>
      </c>
    </row>
    <row r="525" spans="18:19" x14ac:dyDescent="0.25">
      <c r="R525" s="57">
        <v>29422</v>
      </c>
      <c r="S525" s="16">
        <v>929</v>
      </c>
    </row>
    <row r="526" spans="18:19" x14ac:dyDescent="0.25">
      <c r="R526" s="57">
        <v>29429</v>
      </c>
      <c r="S526" s="16">
        <v>1378</v>
      </c>
    </row>
    <row r="527" spans="18:19" x14ac:dyDescent="0.25">
      <c r="R527" s="57">
        <v>29436</v>
      </c>
      <c r="S527" s="16">
        <v>1249</v>
      </c>
    </row>
    <row r="528" spans="18:19" x14ac:dyDescent="0.25">
      <c r="R528" s="57">
        <v>29443</v>
      </c>
      <c r="S528" s="16">
        <v>1512</v>
      </c>
    </row>
    <row r="529" spans="18:19" x14ac:dyDescent="0.25">
      <c r="R529" s="57">
        <v>29448</v>
      </c>
      <c r="S529" s="16">
        <v>1021</v>
      </c>
    </row>
    <row r="530" spans="18:19" x14ac:dyDescent="0.25">
      <c r="R530" s="57">
        <v>29450</v>
      </c>
      <c r="S530" s="16">
        <v>1141</v>
      </c>
    </row>
    <row r="531" spans="18:19" x14ac:dyDescent="0.25">
      <c r="R531" s="57">
        <v>29457</v>
      </c>
      <c r="S531" s="16">
        <v>906</v>
      </c>
    </row>
    <row r="532" spans="18:19" x14ac:dyDescent="0.25">
      <c r="R532" s="57">
        <v>29464</v>
      </c>
      <c r="S532" s="16">
        <v>1115</v>
      </c>
    </row>
    <row r="533" spans="18:19" x14ac:dyDescent="0.25">
      <c r="R533" s="57">
        <v>29471</v>
      </c>
      <c r="S533" s="16">
        <v>735</v>
      </c>
    </row>
    <row r="534" spans="18:19" x14ac:dyDescent="0.25">
      <c r="R534" s="57">
        <v>29478</v>
      </c>
      <c r="S534" s="16">
        <v>1268</v>
      </c>
    </row>
    <row r="535" spans="18:19" x14ac:dyDescent="0.25">
      <c r="R535" s="57">
        <v>29485</v>
      </c>
      <c r="S535" s="16">
        <v>1259</v>
      </c>
    </row>
    <row r="536" spans="18:19" x14ac:dyDescent="0.25">
      <c r="R536" s="57">
        <v>29492</v>
      </c>
      <c r="S536" s="16">
        <v>693</v>
      </c>
    </row>
    <row r="537" spans="18:19" x14ac:dyDescent="0.25">
      <c r="R537" s="57">
        <v>29499</v>
      </c>
      <c r="S537" s="16">
        <v>1187</v>
      </c>
    </row>
    <row r="538" spans="18:19" x14ac:dyDescent="0.25">
      <c r="R538" s="57">
        <v>29506</v>
      </c>
      <c r="S538" s="16">
        <v>948</v>
      </c>
    </row>
    <row r="539" spans="18:19" x14ac:dyDescent="0.25">
      <c r="R539" s="57">
        <v>29513</v>
      </c>
      <c r="S539" s="16">
        <v>791</v>
      </c>
    </row>
    <row r="540" spans="18:19" x14ac:dyDescent="0.25">
      <c r="R540" s="57">
        <v>29520</v>
      </c>
      <c r="S540" s="16">
        <v>1074</v>
      </c>
    </row>
    <row r="541" spans="18:19" x14ac:dyDescent="0.25">
      <c r="R541" s="57">
        <v>29526</v>
      </c>
      <c r="S541" s="16">
        <v>1055</v>
      </c>
    </row>
    <row r="542" spans="18:19" x14ac:dyDescent="0.25">
      <c r="R542" s="57">
        <v>29527</v>
      </c>
      <c r="S542" s="16">
        <v>1101</v>
      </c>
    </row>
    <row r="543" spans="18:19" x14ac:dyDescent="0.25">
      <c r="R543" s="57">
        <v>29534</v>
      </c>
      <c r="S543" s="16">
        <v>990</v>
      </c>
    </row>
    <row r="544" spans="18:19" x14ac:dyDescent="0.25">
      <c r="R544" s="57">
        <v>29541</v>
      </c>
      <c r="S544" s="16">
        <v>677</v>
      </c>
    </row>
    <row r="545" spans="18:19" x14ac:dyDescent="0.25">
      <c r="R545" s="57">
        <v>29548</v>
      </c>
      <c r="S545" s="16">
        <v>1010</v>
      </c>
    </row>
    <row r="546" spans="18:19" x14ac:dyDescent="0.25">
      <c r="R546" s="57">
        <v>29555</v>
      </c>
      <c r="S546" s="16">
        <v>939</v>
      </c>
    </row>
    <row r="547" spans="18:19" x14ac:dyDescent="0.25">
      <c r="R547" s="57">
        <v>29562</v>
      </c>
      <c r="S547" s="16">
        <v>875</v>
      </c>
    </row>
    <row r="548" spans="18:19" x14ac:dyDescent="0.25">
      <c r="R548" s="57">
        <v>29569</v>
      </c>
      <c r="S548" s="16">
        <v>847</v>
      </c>
    </row>
    <row r="549" spans="18:19" x14ac:dyDescent="0.25">
      <c r="R549" s="57">
        <v>29576</v>
      </c>
      <c r="S549" s="16">
        <v>927</v>
      </c>
    </row>
    <row r="550" spans="18:19" x14ac:dyDescent="0.25">
      <c r="R550" s="57">
        <v>29579</v>
      </c>
      <c r="S550" s="16">
        <v>1052</v>
      </c>
    </row>
    <row r="551" spans="18:19" x14ac:dyDescent="0.25">
      <c r="R551" s="57">
        <v>29580</v>
      </c>
      <c r="S551" s="16">
        <v>1247</v>
      </c>
    </row>
    <row r="552" spans="18:19" x14ac:dyDescent="0.25">
      <c r="R552" s="57">
        <v>29583</v>
      </c>
      <c r="S552" s="16">
        <v>859</v>
      </c>
    </row>
    <row r="553" spans="18:19" x14ac:dyDescent="0.25">
      <c r="R553" s="57">
        <v>29590</v>
      </c>
      <c r="S553" s="16">
        <v>1018</v>
      </c>
    </row>
    <row r="554" spans="18:19" x14ac:dyDescent="0.25">
      <c r="R554" s="57">
        <v>29597</v>
      </c>
      <c r="S554" s="16">
        <v>1073</v>
      </c>
    </row>
    <row r="555" spans="18:19" x14ac:dyDescent="0.25">
      <c r="R555" s="57">
        <v>29604</v>
      </c>
      <c r="S555" s="16">
        <v>1154</v>
      </c>
    </row>
    <row r="556" spans="18:19" x14ac:dyDescent="0.25">
      <c r="R556" s="57">
        <v>29611</v>
      </c>
      <c r="S556" s="16">
        <v>612</v>
      </c>
    </row>
    <row r="557" spans="18:19" x14ac:dyDescent="0.25">
      <c r="R557" s="57">
        <v>29618</v>
      </c>
      <c r="S557" s="16">
        <v>694</v>
      </c>
    </row>
    <row r="558" spans="18:19" x14ac:dyDescent="0.25">
      <c r="R558" s="57">
        <v>29625</v>
      </c>
      <c r="S558" s="16">
        <v>1266</v>
      </c>
    </row>
    <row r="559" spans="18:19" x14ac:dyDescent="0.25">
      <c r="R559" s="57">
        <v>29632</v>
      </c>
      <c r="S559" s="16">
        <v>680</v>
      </c>
    </row>
    <row r="560" spans="18:19" x14ac:dyDescent="0.25">
      <c r="R560" s="57">
        <v>29646</v>
      </c>
      <c r="S560" s="16">
        <v>820</v>
      </c>
    </row>
    <row r="561" spans="18:19" x14ac:dyDescent="0.25">
      <c r="R561" s="57">
        <v>29653</v>
      </c>
      <c r="S561" s="16">
        <v>802</v>
      </c>
    </row>
    <row r="562" spans="18:19" x14ac:dyDescent="0.25">
      <c r="R562" s="57">
        <v>29660</v>
      </c>
      <c r="S562" s="16">
        <v>848</v>
      </c>
    </row>
    <row r="563" spans="18:19" x14ac:dyDescent="0.25">
      <c r="R563" s="57">
        <v>29667</v>
      </c>
      <c r="S563" s="16">
        <v>875</v>
      </c>
    </row>
    <row r="564" spans="18:19" x14ac:dyDescent="0.25">
      <c r="R564" s="57">
        <v>29674</v>
      </c>
      <c r="S564" s="16">
        <v>779</v>
      </c>
    </row>
    <row r="565" spans="18:19" x14ac:dyDescent="0.25">
      <c r="R565" s="57">
        <v>29681</v>
      </c>
      <c r="S565" s="16">
        <v>707</v>
      </c>
    </row>
    <row r="566" spans="18:19" x14ac:dyDescent="0.25">
      <c r="R566" s="57">
        <v>29688</v>
      </c>
      <c r="S566" s="16">
        <v>221</v>
      </c>
    </row>
    <row r="567" spans="18:19" x14ac:dyDescent="0.25">
      <c r="R567" s="57">
        <v>29695</v>
      </c>
      <c r="S567" s="16">
        <v>558</v>
      </c>
    </row>
    <row r="568" spans="18:19" x14ac:dyDescent="0.25">
      <c r="R568" s="57">
        <v>29702</v>
      </c>
      <c r="S568" s="16">
        <v>1005</v>
      </c>
    </row>
    <row r="569" spans="18:19" x14ac:dyDescent="0.25">
      <c r="R569" s="57">
        <v>29709</v>
      </c>
      <c r="S569" s="16">
        <v>1004</v>
      </c>
    </row>
    <row r="570" spans="18:19" x14ac:dyDescent="0.25">
      <c r="R570" s="57">
        <v>29716</v>
      </c>
      <c r="S570" s="16">
        <v>984</v>
      </c>
    </row>
    <row r="571" spans="18:19" x14ac:dyDescent="0.25">
      <c r="R571" s="57">
        <v>29723</v>
      </c>
      <c r="S571" s="16">
        <v>1406</v>
      </c>
    </row>
    <row r="572" spans="18:19" x14ac:dyDescent="0.25">
      <c r="R572" s="57">
        <v>29730</v>
      </c>
      <c r="S572" s="16">
        <v>1245</v>
      </c>
    </row>
    <row r="573" spans="18:19" x14ac:dyDescent="0.25">
      <c r="R573" s="57">
        <v>29737</v>
      </c>
      <c r="S573" s="16">
        <v>613</v>
      </c>
    </row>
    <row r="574" spans="18:19" x14ac:dyDescent="0.25">
      <c r="R574" s="57">
        <v>29744</v>
      </c>
      <c r="S574" s="16">
        <v>891</v>
      </c>
    </row>
    <row r="575" spans="18:19" x14ac:dyDescent="0.25">
      <c r="R575" s="57">
        <v>29751</v>
      </c>
      <c r="S575" s="16">
        <v>1097</v>
      </c>
    </row>
    <row r="576" spans="18:19" x14ac:dyDescent="0.25">
      <c r="R576" s="57">
        <v>29758</v>
      </c>
      <c r="S576" s="16">
        <v>931</v>
      </c>
    </row>
    <row r="577" spans="18:19" x14ac:dyDescent="0.25">
      <c r="R577" s="57">
        <v>29765</v>
      </c>
      <c r="S577" s="16">
        <v>1063</v>
      </c>
    </row>
    <row r="578" spans="18:19" x14ac:dyDescent="0.25">
      <c r="R578" s="57">
        <v>29772</v>
      </c>
      <c r="S578" s="16">
        <v>1214</v>
      </c>
    </row>
    <row r="579" spans="18:19" x14ac:dyDescent="0.25">
      <c r="R579" s="57">
        <v>29779</v>
      </c>
      <c r="S579" s="16">
        <v>929</v>
      </c>
    </row>
    <row r="580" spans="18:19" x14ac:dyDescent="0.25">
      <c r="R580" s="57">
        <v>29786</v>
      </c>
      <c r="S580" s="16">
        <v>1922</v>
      </c>
    </row>
    <row r="581" spans="18:19" x14ac:dyDescent="0.25">
      <c r="R581" s="57">
        <v>29793</v>
      </c>
      <c r="S581" s="16">
        <v>1142</v>
      </c>
    </row>
    <row r="582" spans="18:19" x14ac:dyDescent="0.25">
      <c r="R582" s="57">
        <v>29800</v>
      </c>
      <c r="S582" s="16">
        <v>1533</v>
      </c>
    </row>
    <row r="583" spans="18:19" x14ac:dyDescent="0.25">
      <c r="R583" s="57">
        <v>29807</v>
      </c>
      <c r="S583" s="16">
        <v>1455</v>
      </c>
    </row>
    <row r="584" spans="18:19" x14ac:dyDescent="0.25">
      <c r="R584" s="57">
        <v>29813</v>
      </c>
      <c r="S584" s="16">
        <v>819</v>
      </c>
    </row>
    <row r="585" spans="18:19" x14ac:dyDescent="0.25">
      <c r="R585" s="57">
        <v>29814</v>
      </c>
      <c r="S585" s="16">
        <v>907</v>
      </c>
    </row>
    <row r="586" spans="18:19" x14ac:dyDescent="0.25">
      <c r="R586" s="57">
        <v>29821</v>
      </c>
      <c r="S586" s="16">
        <v>1516</v>
      </c>
    </row>
    <row r="587" spans="18:19" x14ac:dyDescent="0.25">
      <c r="R587" s="57">
        <v>29828</v>
      </c>
      <c r="S587" s="16">
        <v>1186</v>
      </c>
    </row>
    <row r="588" spans="18:19" x14ac:dyDescent="0.25">
      <c r="R588" s="57">
        <v>29835</v>
      </c>
      <c r="S588" s="16">
        <v>1220</v>
      </c>
    </row>
    <row r="589" spans="18:19" x14ac:dyDescent="0.25">
      <c r="R589" s="57">
        <v>29842</v>
      </c>
      <c r="S589" s="16">
        <v>952</v>
      </c>
    </row>
    <row r="590" spans="18:19" x14ac:dyDescent="0.25">
      <c r="R590" s="57">
        <v>29849</v>
      </c>
      <c r="S590" s="16">
        <v>780</v>
      </c>
    </row>
    <row r="591" spans="18:19" x14ac:dyDescent="0.25">
      <c r="R591" s="57">
        <v>29856</v>
      </c>
      <c r="S591" s="16">
        <v>1654</v>
      </c>
    </row>
    <row r="592" spans="18:19" x14ac:dyDescent="0.25">
      <c r="R592" s="57">
        <v>29863</v>
      </c>
      <c r="S592" s="16">
        <v>1092</v>
      </c>
    </row>
    <row r="593" spans="18:19" x14ac:dyDescent="0.25">
      <c r="R593" s="57">
        <v>29870</v>
      </c>
      <c r="S593" s="16">
        <v>1584</v>
      </c>
    </row>
    <row r="594" spans="18:19" x14ac:dyDescent="0.25">
      <c r="R594" s="57">
        <v>29877</v>
      </c>
      <c r="S594" s="16">
        <v>1146</v>
      </c>
    </row>
    <row r="595" spans="18:19" x14ac:dyDescent="0.25">
      <c r="R595" s="57">
        <v>29884</v>
      </c>
      <c r="S595" s="16">
        <v>1270</v>
      </c>
    </row>
    <row r="596" spans="18:19" x14ac:dyDescent="0.25">
      <c r="R596" s="57">
        <v>29891</v>
      </c>
      <c r="S596" s="16">
        <v>1172</v>
      </c>
    </row>
    <row r="597" spans="18:19" x14ac:dyDescent="0.25">
      <c r="R597" s="57">
        <v>29898</v>
      </c>
      <c r="S597" s="16">
        <v>628</v>
      </c>
    </row>
    <row r="598" spans="18:19" x14ac:dyDescent="0.25">
      <c r="R598" s="57">
        <v>29905</v>
      </c>
      <c r="S598" s="16">
        <v>1373</v>
      </c>
    </row>
    <row r="599" spans="18:19" x14ac:dyDescent="0.25">
      <c r="R599" s="57">
        <v>29912</v>
      </c>
      <c r="S599" s="16">
        <v>284</v>
      </c>
    </row>
    <row r="600" spans="18:19" x14ac:dyDescent="0.25">
      <c r="R600" s="57">
        <v>29919</v>
      </c>
      <c r="S600" s="16">
        <v>1150</v>
      </c>
    </row>
    <row r="601" spans="18:19" x14ac:dyDescent="0.25">
      <c r="R601" s="57">
        <v>29926</v>
      </c>
      <c r="S601" s="16">
        <v>1353</v>
      </c>
    </row>
    <row r="602" spans="18:19" x14ac:dyDescent="0.25">
      <c r="R602" s="57">
        <v>29933</v>
      </c>
      <c r="S602" s="16">
        <v>1200</v>
      </c>
    </row>
    <row r="603" spans="18:19" x14ac:dyDescent="0.25">
      <c r="R603" s="57">
        <v>29940</v>
      </c>
      <c r="S603" s="16">
        <v>1283</v>
      </c>
    </row>
    <row r="604" spans="18:19" x14ac:dyDescent="0.25">
      <c r="R604" s="57">
        <v>29944</v>
      </c>
      <c r="S604" s="16">
        <v>951</v>
      </c>
    </row>
    <row r="605" spans="18:19" x14ac:dyDescent="0.25">
      <c r="R605" s="57">
        <v>29945</v>
      </c>
      <c r="S605" s="16">
        <v>1036</v>
      </c>
    </row>
    <row r="606" spans="18:19" x14ac:dyDescent="0.25">
      <c r="R606" s="57">
        <v>29947</v>
      </c>
      <c r="S606" s="16">
        <v>922</v>
      </c>
    </row>
    <row r="607" spans="18:19" x14ac:dyDescent="0.25">
      <c r="R607" s="57">
        <v>29954</v>
      </c>
      <c r="S607" s="16">
        <v>967</v>
      </c>
    </row>
    <row r="608" spans="18:19" x14ac:dyDescent="0.25">
      <c r="R608" s="57">
        <v>29961</v>
      </c>
      <c r="S608" s="16">
        <v>994</v>
      </c>
    </row>
    <row r="609" spans="18:19" x14ac:dyDescent="0.25">
      <c r="R609" s="57">
        <v>29968</v>
      </c>
      <c r="S609" s="16">
        <v>1123</v>
      </c>
    </row>
    <row r="610" spans="18:19" x14ac:dyDescent="0.25">
      <c r="R610" s="57">
        <v>29975</v>
      </c>
      <c r="S610" s="16">
        <v>1110</v>
      </c>
    </row>
    <row r="611" spans="18:19" x14ac:dyDescent="0.25">
      <c r="R611" s="57">
        <v>29982</v>
      </c>
      <c r="S611" s="16">
        <v>1329</v>
      </c>
    </row>
    <row r="612" spans="18:19" x14ac:dyDescent="0.25">
      <c r="R612" s="57">
        <v>29989</v>
      </c>
      <c r="S612" s="16">
        <v>920</v>
      </c>
    </row>
    <row r="613" spans="18:19" x14ac:dyDescent="0.25">
      <c r="R613" s="57">
        <v>29996</v>
      </c>
      <c r="S613" s="16">
        <v>464</v>
      </c>
    </row>
    <row r="614" spans="18:19" x14ac:dyDescent="0.25">
      <c r="R614" s="57">
        <v>30003</v>
      </c>
      <c r="S614" s="16">
        <v>1004</v>
      </c>
    </row>
    <row r="615" spans="18:19" x14ac:dyDescent="0.25">
      <c r="R615" s="57">
        <v>30010</v>
      </c>
      <c r="S615" s="16">
        <v>780</v>
      </c>
    </row>
    <row r="616" spans="18:19" x14ac:dyDescent="0.25">
      <c r="R616" s="57">
        <v>30017</v>
      </c>
      <c r="S616" s="16">
        <v>1103</v>
      </c>
    </row>
    <row r="617" spans="18:19" x14ac:dyDescent="0.25">
      <c r="R617" s="57">
        <v>30024</v>
      </c>
      <c r="S617" s="16">
        <v>1022</v>
      </c>
    </row>
    <row r="618" spans="18:19" x14ac:dyDescent="0.25">
      <c r="R618" s="57">
        <v>30031</v>
      </c>
      <c r="S618" s="16">
        <v>818</v>
      </c>
    </row>
    <row r="619" spans="18:19" x14ac:dyDescent="0.25">
      <c r="R619" s="57">
        <v>30038</v>
      </c>
      <c r="S619" s="16">
        <v>1594</v>
      </c>
    </row>
    <row r="620" spans="18:19" x14ac:dyDescent="0.25">
      <c r="R620" s="57">
        <v>30045</v>
      </c>
      <c r="S620" s="16">
        <v>841</v>
      </c>
    </row>
    <row r="621" spans="18:19" x14ac:dyDescent="0.25">
      <c r="R621" s="57">
        <v>30052</v>
      </c>
      <c r="S621" s="16">
        <v>1004</v>
      </c>
    </row>
    <row r="622" spans="18:19" x14ac:dyDescent="0.25">
      <c r="R622" s="57">
        <v>30059</v>
      </c>
      <c r="S622" s="16">
        <v>1349</v>
      </c>
    </row>
    <row r="623" spans="18:19" x14ac:dyDescent="0.25">
      <c r="R623" s="57">
        <v>30066</v>
      </c>
      <c r="S623" s="16">
        <v>1017</v>
      </c>
    </row>
    <row r="624" spans="18:19" x14ac:dyDescent="0.25">
      <c r="R624" s="57">
        <v>30073</v>
      </c>
      <c r="S624" s="16">
        <v>1282</v>
      </c>
    </row>
    <row r="625" spans="18:19" x14ac:dyDescent="0.25">
      <c r="R625" s="57">
        <v>30080</v>
      </c>
      <c r="S625" s="16">
        <v>950</v>
      </c>
    </row>
    <row r="626" spans="18:19" x14ac:dyDescent="0.25">
      <c r="R626" s="57">
        <v>30087</v>
      </c>
      <c r="S626" s="16">
        <v>960</v>
      </c>
    </row>
    <row r="627" spans="18:19" x14ac:dyDescent="0.25">
      <c r="R627" s="57">
        <v>30094</v>
      </c>
      <c r="S627" s="16">
        <v>569</v>
      </c>
    </row>
    <row r="628" spans="18:19" x14ac:dyDescent="0.25">
      <c r="R628" s="57">
        <v>30101</v>
      </c>
      <c r="S628" s="16">
        <v>887</v>
      </c>
    </row>
    <row r="629" spans="18:19" x14ac:dyDescent="0.25">
      <c r="R629" s="57">
        <v>30108</v>
      </c>
      <c r="S629" s="16">
        <v>1007</v>
      </c>
    </row>
    <row r="630" spans="18:19" x14ac:dyDescent="0.25">
      <c r="R630" s="57">
        <v>30115</v>
      </c>
      <c r="S630" s="16">
        <v>1599</v>
      </c>
    </row>
    <row r="631" spans="18:19" x14ac:dyDescent="0.25">
      <c r="R631" s="57">
        <v>30122</v>
      </c>
      <c r="S631" s="16">
        <v>1176</v>
      </c>
    </row>
    <row r="632" spans="18:19" x14ac:dyDescent="0.25">
      <c r="R632" s="57">
        <v>30129</v>
      </c>
      <c r="S632" s="16">
        <v>1128</v>
      </c>
    </row>
    <row r="633" spans="18:19" x14ac:dyDescent="0.25">
      <c r="R633" s="57">
        <v>30136</v>
      </c>
      <c r="S633" s="16">
        <v>853</v>
      </c>
    </row>
    <row r="634" spans="18:19" x14ac:dyDescent="0.25">
      <c r="R634" s="57">
        <v>30143</v>
      </c>
      <c r="S634" s="16">
        <v>1207</v>
      </c>
    </row>
    <row r="635" spans="18:19" x14ac:dyDescent="0.25">
      <c r="R635" s="57">
        <v>30150</v>
      </c>
      <c r="S635" s="16">
        <v>1025</v>
      </c>
    </row>
    <row r="636" spans="18:19" x14ac:dyDescent="0.25">
      <c r="R636" s="57">
        <v>30157</v>
      </c>
      <c r="S636" s="16">
        <v>1209</v>
      </c>
    </row>
    <row r="637" spans="18:19" x14ac:dyDescent="0.25">
      <c r="R637" s="57">
        <v>30164</v>
      </c>
      <c r="S637" s="16">
        <v>1282</v>
      </c>
    </row>
    <row r="638" spans="18:19" x14ac:dyDescent="0.25">
      <c r="R638" s="57">
        <v>30171</v>
      </c>
      <c r="S638" s="16">
        <v>1351</v>
      </c>
    </row>
    <row r="639" spans="18:19" x14ac:dyDescent="0.25">
      <c r="R639" s="57">
        <v>30178</v>
      </c>
      <c r="S639" s="16">
        <v>1714</v>
      </c>
    </row>
    <row r="640" spans="18:19" x14ac:dyDescent="0.25">
      <c r="R640" s="57">
        <v>30185</v>
      </c>
      <c r="S640" s="16">
        <v>589</v>
      </c>
    </row>
    <row r="641" spans="18:19" x14ac:dyDescent="0.25">
      <c r="R641" s="57">
        <v>30192</v>
      </c>
      <c r="S641" s="16">
        <v>1107</v>
      </c>
    </row>
    <row r="642" spans="18:19" x14ac:dyDescent="0.25">
      <c r="R642" s="57">
        <v>30199</v>
      </c>
      <c r="S642" s="16">
        <v>973</v>
      </c>
    </row>
    <row r="643" spans="18:19" x14ac:dyDescent="0.25">
      <c r="R643" s="57">
        <v>30206</v>
      </c>
      <c r="S643" s="16">
        <v>801</v>
      </c>
    </row>
    <row r="644" spans="18:19" x14ac:dyDescent="0.25">
      <c r="R644" s="57">
        <v>30213</v>
      </c>
      <c r="S644" s="16">
        <v>1123</v>
      </c>
    </row>
    <row r="645" spans="18:19" x14ac:dyDescent="0.25">
      <c r="R645" s="57">
        <v>30220</v>
      </c>
      <c r="S645" s="16">
        <v>1353</v>
      </c>
    </row>
    <row r="646" spans="18:19" x14ac:dyDescent="0.25">
      <c r="R646" s="57">
        <v>30227</v>
      </c>
      <c r="S646" s="16">
        <v>1117</v>
      </c>
    </row>
    <row r="647" spans="18:19" x14ac:dyDescent="0.25">
      <c r="R647" s="57">
        <v>30234</v>
      </c>
      <c r="S647" s="16">
        <v>1359</v>
      </c>
    </row>
    <row r="648" spans="18:19" x14ac:dyDescent="0.25">
      <c r="R648" s="57">
        <v>30241</v>
      </c>
      <c r="S648" s="16">
        <v>762</v>
      </c>
    </row>
    <row r="649" spans="18:19" x14ac:dyDescent="0.25">
      <c r="R649" s="57">
        <v>30248</v>
      </c>
      <c r="S649" s="16">
        <v>1043</v>
      </c>
    </row>
    <row r="650" spans="18:19" x14ac:dyDescent="0.25">
      <c r="R650" s="57">
        <v>30255</v>
      </c>
      <c r="S650" s="16">
        <v>879</v>
      </c>
    </row>
    <row r="651" spans="18:19" x14ac:dyDescent="0.25">
      <c r="R651" s="57">
        <v>30256</v>
      </c>
      <c r="S651" s="16">
        <v>1047</v>
      </c>
    </row>
    <row r="652" spans="18:19" x14ac:dyDescent="0.25">
      <c r="R652" s="57">
        <v>30262</v>
      </c>
      <c r="S652" s="16">
        <v>903</v>
      </c>
    </row>
    <row r="653" spans="18:19" x14ac:dyDescent="0.25">
      <c r="R653" s="57">
        <v>30269</v>
      </c>
      <c r="S653" s="16">
        <v>911</v>
      </c>
    </row>
    <row r="654" spans="18:19" x14ac:dyDescent="0.25">
      <c r="R654" s="57">
        <v>30276</v>
      </c>
      <c r="S654" s="16">
        <v>974</v>
      </c>
    </row>
    <row r="655" spans="18:19" x14ac:dyDescent="0.25">
      <c r="R655" s="57">
        <v>30283</v>
      </c>
      <c r="S655" s="16">
        <v>950</v>
      </c>
    </row>
    <row r="656" spans="18:19" x14ac:dyDescent="0.25">
      <c r="R656" s="57">
        <v>30290</v>
      </c>
      <c r="S656" s="16">
        <v>1015</v>
      </c>
    </row>
    <row r="657" spans="18:19" x14ac:dyDescent="0.25">
      <c r="R657" s="57">
        <v>30297</v>
      </c>
      <c r="S657" s="16">
        <v>1033</v>
      </c>
    </row>
    <row r="658" spans="18:19" x14ac:dyDescent="0.25">
      <c r="R658" s="57">
        <v>30304</v>
      </c>
      <c r="S658" s="16">
        <v>1103</v>
      </c>
    </row>
    <row r="659" spans="18:19" x14ac:dyDescent="0.25">
      <c r="R659" s="57">
        <v>30309</v>
      </c>
      <c r="S659" s="16">
        <v>1263</v>
      </c>
    </row>
    <row r="660" spans="18:19" x14ac:dyDescent="0.25">
      <c r="R660" s="57">
        <v>30311</v>
      </c>
      <c r="S660" s="16">
        <v>1334</v>
      </c>
    </row>
    <row r="661" spans="18:19" x14ac:dyDescent="0.25">
      <c r="R661" s="57">
        <v>30318</v>
      </c>
      <c r="S661" s="16">
        <v>907</v>
      </c>
    </row>
    <row r="662" spans="18:19" x14ac:dyDescent="0.25">
      <c r="R662" s="57">
        <v>30325</v>
      </c>
      <c r="S662" s="16">
        <v>570</v>
      </c>
    </row>
    <row r="663" spans="18:19" x14ac:dyDescent="0.25">
      <c r="R663" s="57">
        <v>30332</v>
      </c>
      <c r="S663" s="16">
        <v>872</v>
      </c>
    </row>
    <row r="664" spans="18:19" x14ac:dyDescent="0.25">
      <c r="R664" s="57">
        <v>30339</v>
      </c>
      <c r="S664" s="16">
        <v>1084</v>
      </c>
    </row>
    <row r="665" spans="18:19" x14ac:dyDescent="0.25">
      <c r="R665" s="57">
        <v>30346</v>
      </c>
      <c r="S665" s="16">
        <v>1021</v>
      </c>
    </row>
    <row r="666" spans="18:19" x14ac:dyDescent="0.25">
      <c r="R666" s="57">
        <v>30353</v>
      </c>
      <c r="S666" s="16">
        <v>1028</v>
      </c>
    </row>
    <row r="667" spans="18:19" x14ac:dyDescent="0.25">
      <c r="R667" s="57">
        <v>30360</v>
      </c>
      <c r="S667" s="16">
        <v>928</v>
      </c>
    </row>
    <row r="668" spans="18:19" x14ac:dyDescent="0.25">
      <c r="R668" s="57">
        <v>30367</v>
      </c>
      <c r="S668" s="16">
        <v>907</v>
      </c>
    </row>
    <row r="669" spans="18:19" x14ac:dyDescent="0.25">
      <c r="R669" s="57">
        <v>30374</v>
      </c>
      <c r="S669" s="16">
        <v>1185</v>
      </c>
    </row>
    <row r="670" spans="18:19" x14ac:dyDescent="0.25">
      <c r="R670" s="57">
        <v>30381</v>
      </c>
      <c r="S670" s="16">
        <v>949</v>
      </c>
    </row>
    <row r="671" spans="18:19" x14ac:dyDescent="0.25">
      <c r="R671" s="57">
        <v>30388</v>
      </c>
      <c r="S671" s="16">
        <v>1127</v>
      </c>
    </row>
    <row r="672" spans="18:19" x14ac:dyDescent="0.25">
      <c r="R672" s="57">
        <v>30395</v>
      </c>
      <c r="S672" s="16">
        <v>1242</v>
      </c>
    </row>
    <row r="673" spans="18:19" x14ac:dyDescent="0.25">
      <c r="R673" s="57">
        <v>30402</v>
      </c>
      <c r="S673" s="16">
        <v>651</v>
      </c>
    </row>
    <row r="674" spans="18:19" x14ac:dyDescent="0.25">
      <c r="R674" s="57">
        <v>30409</v>
      </c>
      <c r="S674" s="16">
        <v>1276</v>
      </c>
    </row>
    <row r="675" spans="18:19" x14ac:dyDescent="0.25">
      <c r="R675" s="57">
        <v>30416</v>
      </c>
      <c r="S675" s="16">
        <v>1157</v>
      </c>
    </row>
    <row r="676" spans="18:19" x14ac:dyDescent="0.25">
      <c r="R676" s="57">
        <v>30423</v>
      </c>
      <c r="S676" s="16">
        <v>706</v>
      </c>
    </row>
    <row r="677" spans="18:19" x14ac:dyDescent="0.25">
      <c r="R677" s="57">
        <v>30430</v>
      </c>
      <c r="S677" s="16">
        <v>1122</v>
      </c>
    </row>
    <row r="678" spans="18:19" x14ac:dyDescent="0.25">
      <c r="R678" s="57">
        <v>30444</v>
      </c>
      <c r="S678" s="16">
        <v>1226</v>
      </c>
    </row>
    <row r="679" spans="18:19" x14ac:dyDescent="0.25">
      <c r="R679" s="57">
        <v>30451</v>
      </c>
      <c r="S679" s="16">
        <v>991</v>
      </c>
    </row>
    <row r="680" spans="18:19" x14ac:dyDescent="0.25">
      <c r="R680" s="57">
        <v>30458</v>
      </c>
      <c r="S680" s="16">
        <v>1080</v>
      </c>
    </row>
    <row r="681" spans="18:19" x14ac:dyDescent="0.25">
      <c r="R681" s="57">
        <v>30465</v>
      </c>
      <c r="S681" s="16">
        <v>1229</v>
      </c>
    </row>
    <row r="682" spans="18:19" x14ac:dyDescent="0.25">
      <c r="R682" s="57">
        <v>30472</v>
      </c>
      <c r="S682" s="16">
        <v>1223</v>
      </c>
    </row>
    <row r="683" spans="18:19" x14ac:dyDescent="0.25">
      <c r="R683" s="57">
        <v>30479</v>
      </c>
      <c r="S683" s="16">
        <v>1500</v>
      </c>
    </row>
    <row r="684" spans="18:19" x14ac:dyDescent="0.25">
      <c r="R684" s="57">
        <v>30486</v>
      </c>
      <c r="S684" s="16">
        <v>978</v>
      </c>
    </row>
    <row r="685" spans="18:19" x14ac:dyDescent="0.25">
      <c r="R685" s="57">
        <v>30493</v>
      </c>
      <c r="S685" s="16">
        <v>1177</v>
      </c>
    </row>
    <row r="686" spans="18:19" x14ac:dyDescent="0.25">
      <c r="R686" s="57">
        <v>30500</v>
      </c>
      <c r="S686" s="16">
        <v>951</v>
      </c>
    </row>
    <row r="687" spans="18:19" x14ac:dyDescent="0.25">
      <c r="R687" s="57">
        <v>30507</v>
      </c>
      <c r="S687" s="16">
        <v>911</v>
      </c>
    </row>
    <row r="688" spans="18:19" x14ac:dyDescent="0.25">
      <c r="R688" s="57">
        <v>30514</v>
      </c>
      <c r="S688" s="16">
        <v>820</v>
      </c>
    </row>
    <row r="689" spans="18:19" x14ac:dyDescent="0.25">
      <c r="R689" s="57">
        <v>30521</v>
      </c>
      <c r="S689" s="16">
        <v>817</v>
      </c>
    </row>
    <row r="690" spans="18:19" x14ac:dyDescent="0.25">
      <c r="R690" s="57">
        <v>30528</v>
      </c>
      <c r="S690" s="16">
        <v>1125</v>
      </c>
    </row>
    <row r="691" spans="18:19" x14ac:dyDescent="0.25">
      <c r="R691" s="57">
        <v>30535</v>
      </c>
      <c r="S691" s="16">
        <v>955</v>
      </c>
    </row>
    <row r="692" spans="18:19" x14ac:dyDescent="0.25">
      <c r="R692" s="57">
        <v>30542</v>
      </c>
      <c r="S692" s="16">
        <v>1161</v>
      </c>
    </row>
    <row r="693" spans="18:19" x14ac:dyDescent="0.25">
      <c r="R693" s="57">
        <v>30543</v>
      </c>
      <c r="S693" s="16">
        <v>2068</v>
      </c>
    </row>
    <row r="694" spans="18:19" x14ac:dyDescent="0.25">
      <c r="R694" s="57">
        <v>30549</v>
      </c>
      <c r="S694" s="16">
        <v>1333</v>
      </c>
    </row>
    <row r="695" spans="18:19" x14ac:dyDescent="0.25">
      <c r="R695" s="57">
        <v>30556</v>
      </c>
      <c r="S695" s="16">
        <v>939</v>
      </c>
    </row>
    <row r="696" spans="18:19" x14ac:dyDescent="0.25">
      <c r="R696" s="57">
        <v>30563</v>
      </c>
      <c r="S696" s="16">
        <v>1069</v>
      </c>
    </row>
    <row r="697" spans="18:19" x14ac:dyDescent="0.25">
      <c r="R697" s="57">
        <v>30570</v>
      </c>
      <c r="S697" s="16">
        <v>1278</v>
      </c>
    </row>
    <row r="698" spans="18:19" x14ac:dyDescent="0.25">
      <c r="R698" s="57">
        <v>30577</v>
      </c>
      <c r="S698" s="16">
        <v>991</v>
      </c>
    </row>
    <row r="699" spans="18:19" x14ac:dyDescent="0.25">
      <c r="R699" s="57">
        <v>30584</v>
      </c>
      <c r="S699" s="16">
        <v>981</v>
      </c>
    </row>
    <row r="700" spans="18:19" x14ac:dyDescent="0.25">
      <c r="R700" s="57">
        <v>30591</v>
      </c>
      <c r="S700" s="16">
        <v>1146</v>
      </c>
    </row>
    <row r="701" spans="18:19" x14ac:dyDescent="0.25">
      <c r="R701" s="57">
        <v>30598</v>
      </c>
      <c r="S701" s="16">
        <v>1224</v>
      </c>
    </row>
    <row r="702" spans="18:19" x14ac:dyDescent="0.25">
      <c r="R702" s="57">
        <v>30605</v>
      </c>
      <c r="S702" s="16">
        <v>1067</v>
      </c>
    </row>
    <row r="703" spans="18:19" x14ac:dyDescent="0.25">
      <c r="R703" s="57">
        <v>30612</v>
      </c>
      <c r="S703" s="16">
        <v>995</v>
      </c>
    </row>
    <row r="704" spans="18:19" x14ac:dyDescent="0.25">
      <c r="R704" s="57">
        <v>30619</v>
      </c>
      <c r="S704" s="16">
        <v>1192</v>
      </c>
    </row>
    <row r="705" spans="18:19" x14ac:dyDescent="0.25">
      <c r="R705" s="57">
        <v>30621</v>
      </c>
      <c r="S705" s="16">
        <v>1075</v>
      </c>
    </row>
    <row r="706" spans="18:19" x14ac:dyDescent="0.25">
      <c r="R706" s="57">
        <v>30626</v>
      </c>
      <c r="S706" s="16">
        <v>917</v>
      </c>
    </row>
    <row r="707" spans="18:19" x14ac:dyDescent="0.25">
      <c r="R707" s="57">
        <v>30633</v>
      </c>
      <c r="S707" s="16">
        <v>1195</v>
      </c>
    </row>
    <row r="708" spans="18:19" x14ac:dyDescent="0.25">
      <c r="R708" s="57">
        <v>30640</v>
      </c>
      <c r="S708" s="16">
        <v>1276</v>
      </c>
    </row>
    <row r="709" spans="18:19" x14ac:dyDescent="0.25">
      <c r="R709" s="57">
        <v>30647</v>
      </c>
      <c r="S709" s="16">
        <v>881</v>
      </c>
    </row>
    <row r="710" spans="18:19" x14ac:dyDescent="0.25">
      <c r="R710" s="57">
        <v>30654</v>
      </c>
      <c r="S710" s="16">
        <v>984</v>
      </c>
    </row>
    <row r="711" spans="18:19" x14ac:dyDescent="0.25">
      <c r="R711" s="57">
        <v>30661</v>
      </c>
      <c r="S711" s="16">
        <v>1015</v>
      </c>
    </row>
    <row r="712" spans="18:19" x14ac:dyDescent="0.25">
      <c r="R712" s="57">
        <v>30668</v>
      </c>
      <c r="S712" s="16">
        <v>1102</v>
      </c>
    </row>
    <row r="713" spans="18:19" x14ac:dyDescent="0.25">
      <c r="R713" s="57">
        <v>30675</v>
      </c>
      <c r="S713" s="16">
        <v>1029</v>
      </c>
    </row>
    <row r="714" spans="18:19" x14ac:dyDescent="0.25">
      <c r="R714" s="57">
        <v>30682</v>
      </c>
      <c r="S714" s="16">
        <v>858</v>
      </c>
    </row>
    <row r="715" spans="18:19" x14ac:dyDescent="0.25">
      <c r="R715" s="57">
        <v>30689</v>
      </c>
      <c r="S715" s="16">
        <v>675</v>
      </c>
    </row>
    <row r="716" spans="18:19" x14ac:dyDescent="0.25">
      <c r="R716" s="57">
        <v>30696</v>
      </c>
      <c r="S716" s="16">
        <v>1272</v>
      </c>
    </row>
    <row r="717" spans="18:19" x14ac:dyDescent="0.25">
      <c r="R717" s="57">
        <v>30703</v>
      </c>
      <c r="S717" s="16">
        <v>563</v>
      </c>
    </row>
    <row r="718" spans="18:19" x14ac:dyDescent="0.25">
      <c r="R718" s="57">
        <v>30710</v>
      </c>
      <c r="S718" s="16">
        <v>1135</v>
      </c>
    </row>
    <row r="719" spans="18:19" x14ac:dyDescent="0.25">
      <c r="R719" s="57">
        <v>30717</v>
      </c>
      <c r="S719" s="16">
        <v>1160</v>
      </c>
    </row>
    <row r="720" spans="18:19" x14ac:dyDescent="0.25">
      <c r="R720" s="57">
        <v>30724</v>
      </c>
      <c r="S720" s="16">
        <v>1235</v>
      </c>
    </row>
    <row r="721" spans="18:19" x14ac:dyDescent="0.25">
      <c r="R721" s="57">
        <v>30731</v>
      </c>
      <c r="S721" s="16">
        <v>746</v>
      </c>
    </row>
    <row r="722" spans="18:19" x14ac:dyDescent="0.25">
      <c r="R722" s="57">
        <v>30738</v>
      </c>
      <c r="S722" s="16">
        <v>1230</v>
      </c>
    </row>
    <row r="723" spans="18:19" x14ac:dyDescent="0.25">
      <c r="R723" s="57">
        <v>30745</v>
      </c>
      <c r="S723" s="16">
        <v>447</v>
      </c>
    </row>
    <row r="724" spans="18:19" x14ac:dyDescent="0.25">
      <c r="R724" s="57">
        <v>30752</v>
      </c>
      <c r="S724" s="16">
        <v>1723</v>
      </c>
    </row>
    <row r="725" spans="18:19" x14ac:dyDescent="0.25">
      <c r="R725" s="57">
        <v>30759</v>
      </c>
      <c r="S725" s="16">
        <v>1491</v>
      </c>
    </row>
    <row r="726" spans="18:19" x14ac:dyDescent="0.25">
      <c r="R726" s="57">
        <v>30766</v>
      </c>
      <c r="S726" s="16">
        <v>1258</v>
      </c>
    </row>
    <row r="727" spans="18:19" x14ac:dyDescent="0.25">
      <c r="R727" s="57">
        <v>30773</v>
      </c>
      <c r="S727" s="16">
        <v>1606</v>
      </c>
    </row>
    <row r="728" spans="18:19" x14ac:dyDescent="0.25">
      <c r="R728" s="57">
        <v>30780</v>
      </c>
      <c r="S728" s="16">
        <v>1274</v>
      </c>
    </row>
    <row r="729" spans="18:19" x14ac:dyDescent="0.25">
      <c r="R729" s="57">
        <v>30787</v>
      </c>
      <c r="S729" s="16">
        <v>478</v>
      </c>
    </row>
    <row r="730" spans="18:19" x14ac:dyDescent="0.25">
      <c r="R730" s="57">
        <v>30794</v>
      </c>
      <c r="S730" s="16">
        <v>1138</v>
      </c>
    </row>
    <row r="731" spans="18:19" x14ac:dyDescent="0.25">
      <c r="R731" s="57">
        <v>30801</v>
      </c>
      <c r="S731" s="16">
        <v>836</v>
      </c>
    </row>
    <row r="732" spans="18:19" x14ac:dyDescent="0.25">
      <c r="R732" s="57">
        <v>30808</v>
      </c>
      <c r="S732" s="16">
        <v>1140</v>
      </c>
    </row>
    <row r="733" spans="18:19" x14ac:dyDescent="0.25">
      <c r="R733" s="57">
        <v>30815</v>
      </c>
      <c r="S733" s="16">
        <v>1200</v>
      </c>
    </row>
    <row r="734" spans="18:19" x14ac:dyDescent="0.25">
      <c r="R734" s="57">
        <v>30822</v>
      </c>
      <c r="S734" s="16">
        <v>1836</v>
      </c>
    </row>
    <row r="735" spans="18:19" x14ac:dyDescent="0.25">
      <c r="R735" s="57">
        <v>30829</v>
      </c>
      <c r="S735" s="16">
        <v>1428</v>
      </c>
    </row>
    <row r="736" spans="18:19" x14ac:dyDescent="0.25">
      <c r="R736" s="57">
        <v>30836</v>
      </c>
      <c r="S736" s="16">
        <v>1134</v>
      </c>
    </row>
    <row r="737" spans="18:19" x14ac:dyDescent="0.25">
      <c r="R737" s="57">
        <v>30843</v>
      </c>
      <c r="S737" s="16">
        <v>1260</v>
      </c>
    </row>
    <row r="738" spans="18:19" x14ac:dyDescent="0.25">
      <c r="R738" s="57">
        <v>30850</v>
      </c>
      <c r="S738" s="16">
        <v>755</v>
      </c>
    </row>
    <row r="739" spans="18:19" x14ac:dyDescent="0.25">
      <c r="R739" s="57">
        <v>30857</v>
      </c>
      <c r="S739" s="16">
        <v>1208</v>
      </c>
    </row>
    <row r="740" spans="18:19" x14ac:dyDescent="0.25">
      <c r="R740" s="57">
        <v>30864</v>
      </c>
      <c r="S740" s="16">
        <v>1168</v>
      </c>
    </row>
    <row r="741" spans="18:19" x14ac:dyDescent="0.25">
      <c r="R741" s="57">
        <v>30871</v>
      </c>
      <c r="S741" s="16">
        <v>828</v>
      </c>
    </row>
    <row r="742" spans="18:19" x14ac:dyDescent="0.25">
      <c r="R742" s="57">
        <v>30878</v>
      </c>
      <c r="S742" s="16">
        <v>1021</v>
      </c>
    </row>
    <row r="743" spans="18:19" x14ac:dyDescent="0.25">
      <c r="R743" s="57">
        <v>30885</v>
      </c>
      <c r="S743" s="16">
        <v>1087</v>
      </c>
    </row>
    <row r="744" spans="18:19" x14ac:dyDescent="0.25">
      <c r="R744" s="57">
        <v>30892</v>
      </c>
      <c r="S744" s="16">
        <v>884</v>
      </c>
    </row>
    <row r="745" spans="18:19" x14ac:dyDescent="0.25">
      <c r="R745" s="57">
        <v>30899</v>
      </c>
      <c r="S745" s="16">
        <v>980</v>
      </c>
    </row>
    <row r="746" spans="18:19" x14ac:dyDescent="0.25">
      <c r="R746" s="57">
        <v>30906</v>
      </c>
      <c r="S746" s="16">
        <v>694</v>
      </c>
    </row>
    <row r="747" spans="18:19" x14ac:dyDescent="0.25">
      <c r="R747" s="57">
        <v>30909</v>
      </c>
      <c r="S747" s="16">
        <v>935</v>
      </c>
    </row>
    <row r="748" spans="18:19" x14ac:dyDescent="0.25">
      <c r="R748" s="57">
        <v>30913</v>
      </c>
      <c r="S748" s="16">
        <v>1233</v>
      </c>
    </row>
    <row r="749" spans="18:19" x14ac:dyDescent="0.25">
      <c r="R749" s="57">
        <v>30920</v>
      </c>
      <c r="S749" s="16">
        <v>1233</v>
      </c>
    </row>
    <row r="750" spans="18:19" x14ac:dyDescent="0.25">
      <c r="R750" s="57">
        <v>30927</v>
      </c>
      <c r="S750" s="16">
        <v>1330</v>
      </c>
    </row>
    <row r="751" spans="18:19" x14ac:dyDescent="0.25">
      <c r="R751" s="57">
        <v>30934</v>
      </c>
      <c r="S751" s="16">
        <v>1051</v>
      </c>
    </row>
    <row r="752" spans="18:19" x14ac:dyDescent="0.25">
      <c r="R752" s="57">
        <v>30941</v>
      </c>
      <c r="S752" s="16">
        <v>1023</v>
      </c>
    </row>
    <row r="753" spans="18:19" x14ac:dyDescent="0.25">
      <c r="R753" s="57">
        <v>30948</v>
      </c>
      <c r="S753" s="16">
        <v>719</v>
      </c>
    </row>
    <row r="754" spans="18:19" x14ac:dyDescent="0.25">
      <c r="R754" s="57">
        <v>30955</v>
      </c>
      <c r="S754" s="16">
        <v>1033</v>
      </c>
    </row>
    <row r="755" spans="18:19" x14ac:dyDescent="0.25">
      <c r="R755" s="57">
        <v>30962</v>
      </c>
      <c r="S755" s="16">
        <v>1174</v>
      </c>
    </row>
    <row r="756" spans="18:19" x14ac:dyDescent="0.25">
      <c r="R756" s="57">
        <v>30969</v>
      </c>
      <c r="S756" s="16">
        <v>1273</v>
      </c>
    </row>
    <row r="757" spans="18:19" x14ac:dyDescent="0.25">
      <c r="R757" s="57">
        <v>30976</v>
      </c>
      <c r="S757" s="16">
        <v>1064</v>
      </c>
    </row>
    <row r="758" spans="18:19" x14ac:dyDescent="0.25">
      <c r="R758" s="57">
        <v>30983</v>
      </c>
      <c r="S758" s="16">
        <v>1826</v>
      </c>
    </row>
    <row r="759" spans="18:19" x14ac:dyDescent="0.25">
      <c r="R759" s="57">
        <v>30987</v>
      </c>
      <c r="S759" s="16">
        <v>1065</v>
      </c>
    </row>
    <row r="760" spans="18:19" x14ac:dyDescent="0.25">
      <c r="R760" s="57">
        <v>30990</v>
      </c>
      <c r="S760" s="16">
        <v>1054</v>
      </c>
    </row>
    <row r="761" spans="18:19" x14ac:dyDescent="0.25">
      <c r="R761" s="57">
        <v>30997</v>
      </c>
      <c r="S761" s="16">
        <v>1069</v>
      </c>
    </row>
    <row r="762" spans="18:19" x14ac:dyDescent="0.25">
      <c r="R762" s="57">
        <v>31004</v>
      </c>
      <c r="S762" s="16">
        <v>1223</v>
      </c>
    </row>
    <row r="763" spans="18:19" x14ac:dyDescent="0.25">
      <c r="R763" s="57">
        <v>31011</v>
      </c>
      <c r="S763" s="16">
        <v>815</v>
      </c>
    </row>
    <row r="764" spans="18:19" x14ac:dyDescent="0.25">
      <c r="R764" s="57">
        <v>31018</v>
      </c>
      <c r="S764" s="16">
        <v>1146</v>
      </c>
    </row>
    <row r="765" spans="18:19" x14ac:dyDescent="0.25">
      <c r="R765" s="57">
        <v>31025</v>
      </c>
      <c r="S765" s="16">
        <v>1065</v>
      </c>
    </row>
    <row r="766" spans="18:19" x14ac:dyDescent="0.25">
      <c r="R766" s="57">
        <v>31032</v>
      </c>
      <c r="S766" s="16">
        <v>995</v>
      </c>
    </row>
    <row r="767" spans="18:19" x14ac:dyDescent="0.25">
      <c r="R767" s="57">
        <v>31039</v>
      </c>
      <c r="S767" s="16">
        <v>843</v>
      </c>
    </row>
    <row r="768" spans="18:19" x14ac:dyDescent="0.25">
      <c r="R768" s="57">
        <v>31040</v>
      </c>
      <c r="S768" s="16">
        <v>917</v>
      </c>
    </row>
    <row r="769" spans="18:19" x14ac:dyDescent="0.25">
      <c r="R769" s="57">
        <v>31041</v>
      </c>
      <c r="S769" s="16">
        <v>823</v>
      </c>
    </row>
    <row r="770" spans="18:19" x14ac:dyDescent="0.25">
      <c r="R770" s="57">
        <v>31046</v>
      </c>
      <c r="S770" s="16">
        <v>1394</v>
      </c>
    </row>
    <row r="771" spans="18:19" x14ac:dyDescent="0.25">
      <c r="R771" s="57">
        <v>31053</v>
      </c>
      <c r="S771" s="16">
        <v>1122</v>
      </c>
    </row>
    <row r="772" spans="18:19" x14ac:dyDescent="0.25">
      <c r="R772" s="57">
        <v>31060</v>
      </c>
      <c r="S772" s="16">
        <v>636</v>
      </c>
    </row>
    <row r="773" spans="18:19" x14ac:dyDescent="0.25">
      <c r="R773" s="57">
        <v>31067</v>
      </c>
      <c r="S773" s="16">
        <v>1168</v>
      </c>
    </row>
    <row r="774" spans="18:19" x14ac:dyDescent="0.25">
      <c r="R774" s="57">
        <v>31074</v>
      </c>
      <c r="S774" s="16">
        <v>1200</v>
      </c>
    </row>
    <row r="775" spans="18:19" x14ac:dyDescent="0.25">
      <c r="R775" s="57">
        <v>31081</v>
      </c>
      <c r="S775" s="16">
        <v>1094</v>
      </c>
    </row>
    <row r="776" spans="18:19" x14ac:dyDescent="0.25">
      <c r="R776" s="57">
        <v>31088</v>
      </c>
      <c r="S776" s="16">
        <v>1165</v>
      </c>
    </row>
    <row r="777" spans="18:19" x14ac:dyDescent="0.25">
      <c r="R777" s="57">
        <v>31095</v>
      </c>
      <c r="S777" s="16">
        <v>774</v>
      </c>
    </row>
    <row r="778" spans="18:19" x14ac:dyDescent="0.25">
      <c r="R778" s="57">
        <v>31102</v>
      </c>
      <c r="S778" s="16">
        <v>974</v>
      </c>
    </row>
    <row r="779" spans="18:19" x14ac:dyDescent="0.25">
      <c r="R779" s="57">
        <v>31109</v>
      </c>
      <c r="S779" s="16">
        <v>927</v>
      </c>
    </row>
    <row r="780" spans="18:19" x14ac:dyDescent="0.25">
      <c r="R780" s="57">
        <v>31116</v>
      </c>
      <c r="S780" s="16">
        <v>1097</v>
      </c>
    </row>
    <row r="781" spans="18:19" x14ac:dyDescent="0.25">
      <c r="R781" s="57">
        <v>31123</v>
      </c>
      <c r="S781" s="16">
        <v>1024</v>
      </c>
    </row>
    <row r="782" spans="18:19" x14ac:dyDescent="0.25">
      <c r="R782" s="57">
        <v>31130</v>
      </c>
      <c r="S782" s="16">
        <v>953</v>
      </c>
    </row>
    <row r="783" spans="18:19" x14ac:dyDescent="0.25">
      <c r="R783" s="57">
        <v>31137</v>
      </c>
      <c r="S783" s="16">
        <v>368</v>
      </c>
    </row>
    <row r="784" spans="18:19" x14ac:dyDescent="0.25">
      <c r="R784" s="57">
        <v>31144</v>
      </c>
      <c r="S784" s="16">
        <v>901</v>
      </c>
    </row>
    <row r="785" spans="18:19" x14ac:dyDescent="0.25">
      <c r="R785" s="57">
        <v>31151</v>
      </c>
      <c r="S785" s="16">
        <v>1422</v>
      </c>
    </row>
    <row r="786" spans="18:19" x14ac:dyDescent="0.25">
      <c r="R786" s="57">
        <v>31158</v>
      </c>
      <c r="S786" s="16">
        <v>1178</v>
      </c>
    </row>
    <row r="787" spans="18:19" x14ac:dyDescent="0.25">
      <c r="R787" s="57">
        <v>31165</v>
      </c>
      <c r="S787" s="16">
        <v>1403</v>
      </c>
    </row>
    <row r="788" spans="18:19" x14ac:dyDescent="0.25">
      <c r="R788" s="57">
        <v>31172</v>
      </c>
      <c r="S788" s="16">
        <v>1013</v>
      </c>
    </row>
    <row r="789" spans="18:19" x14ac:dyDescent="0.25">
      <c r="R789" s="57">
        <v>31179</v>
      </c>
      <c r="S789" s="16">
        <v>1103</v>
      </c>
    </row>
    <row r="790" spans="18:19" x14ac:dyDescent="0.25">
      <c r="R790" s="57">
        <v>31186</v>
      </c>
      <c r="S790" s="16">
        <v>779</v>
      </c>
    </row>
    <row r="791" spans="18:19" x14ac:dyDescent="0.25">
      <c r="R791" s="57">
        <v>31193</v>
      </c>
      <c r="S791" s="16">
        <v>744</v>
      </c>
    </row>
    <row r="792" spans="18:19" x14ac:dyDescent="0.25">
      <c r="R792" s="57">
        <v>31200</v>
      </c>
      <c r="S792" s="16">
        <v>912</v>
      </c>
    </row>
    <row r="793" spans="18:19" x14ac:dyDescent="0.25">
      <c r="R793" s="57">
        <v>31207</v>
      </c>
      <c r="S793" s="16">
        <v>521</v>
      </c>
    </row>
    <row r="794" spans="18:19" x14ac:dyDescent="0.25">
      <c r="R794" s="57">
        <v>31214</v>
      </c>
      <c r="S794" s="16">
        <v>1041</v>
      </c>
    </row>
    <row r="795" spans="18:19" x14ac:dyDescent="0.25">
      <c r="R795" s="57">
        <v>31221</v>
      </c>
      <c r="S795" s="16">
        <v>954</v>
      </c>
    </row>
    <row r="796" spans="18:19" x14ac:dyDescent="0.25">
      <c r="R796" s="57">
        <v>31228</v>
      </c>
      <c r="S796" s="16">
        <v>632</v>
      </c>
    </row>
    <row r="797" spans="18:19" x14ac:dyDescent="0.25">
      <c r="R797" s="57">
        <v>31235</v>
      </c>
      <c r="S797" s="16">
        <v>1151</v>
      </c>
    </row>
    <row r="798" spans="18:19" x14ac:dyDescent="0.25">
      <c r="R798" s="57">
        <v>31242</v>
      </c>
      <c r="S798" s="16">
        <v>929</v>
      </c>
    </row>
    <row r="799" spans="18:19" x14ac:dyDescent="0.25">
      <c r="R799" s="57">
        <v>31249</v>
      </c>
      <c r="S799" s="16">
        <v>623</v>
      </c>
    </row>
    <row r="800" spans="18:19" x14ac:dyDescent="0.25">
      <c r="R800" s="57">
        <v>31256</v>
      </c>
      <c r="S800" s="16">
        <v>683</v>
      </c>
    </row>
    <row r="801" spans="18:19" x14ac:dyDescent="0.25">
      <c r="R801" s="57">
        <v>31263</v>
      </c>
      <c r="S801" s="16">
        <v>818</v>
      </c>
    </row>
    <row r="802" spans="18:19" x14ac:dyDescent="0.25">
      <c r="R802" s="57">
        <v>31270</v>
      </c>
      <c r="S802" s="16">
        <v>1489</v>
      </c>
    </row>
    <row r="803" spans="18:19" x14ac:dyDescent="0.25">
      <c r="R803" s="57">
        <v>31274</v>
      </c>
      <c r="S803" s="16">
        <v>909</v>
      </c>
    </row>
    <row r="804" spans="18:19" x14ac:dyDescent="0.25">
      <c r="R804" s="57">
        <v>31277</v>
      </c>
      <c r="S804" s="16">
        <v>1053</v>
      </c>
    </row>
    <row r="805" spans="18:19" x14ac:dyDescent="0.25">
      <c r="R805" s="57">
        <v>31284</v>
      </c>
      <c r="S805" s="16">
        <v>1501</v>
      </c>
    </row>
    <row r="806" spans="18:19" x14ac:dyDescent="0.25">
      <c r="R806" s="57">
        <v>31291</v>
      </c>
      <c r="S806" s="16">
        <v>1232</v>
      </c>
    </row>
    <row r="807" spans="18:19" x14ac:dyDescent="0.25">
      <c r="R807" s="57">
        <v>31298</v>
      </c>
      <c r="S807" s="16">
        <v>1209</v>
      </c>
    </row>
    <row r="808" spans="18:19" x14ac:dyDescent="0.25">
      <c r="R808" s="57">
        <v>31305</v>
      </c>
      <c r="S808" s="16">
        <v>1038</v>
      </c>
    </row>
    <row r="809" spans="18:19" x14ac:dyDescent="0.25">
      <c r="R809" s="57">
        <v>31312</v>
      </c>
      <c r="S809" s="16">
        <v>999</v>
      </c>
    </row>
    <row r="810" spans="18:19" x14ac:dyDescent="0.25">
      <c r="R810" s="57">
        <v>31319</v>
      </c>
      <c r="S810" s="16">
        <v>692</v>
      </c>
    </row>
    <row r="811" spans="18:19" x14ac:dyDescent="0.25">
      <c r="R811" s="57">
        <v>31326</v>
      </c>
      <c r="S811" s="16">
        <v>919</v>
      </c>
    </row>
    <row r="812" spans="18:19" x14ac:dyDescent="0.25">
      <c r="R812" s="57">
        <v>31333</v>
      </c>
      <c r="S812" s="16">
        <v>1525</v>
      </c>
    </row>
    <row r="813" spans="18:19" x14ac:dyDescent="0.25">
      <c r="R813" s="57">
        <v>31340</v>
      </c>
      <c r="S813" s="16">
        <v>1218</v>
      </c>
    </row>
    <row r="814" spans="18:19" x14ac:dyDescent="0.25">
      <c r="R814" s="57">
        <v>31347</v>
      </c>
      <c r="S814" s="16">
        <v>1113</v>
      </c>
    </row>
    <row r="815" spans="18:19" x14ac:dyDescent="0.25">
      <c r="R815" s="57">
        <v>31352</v>
      </c>
      <c r="S815" s="16">
        <v>854</v>
      </c>
    </row>
    <row r="816" spans="18:19" x14ac:dyDescent="0.25">
      <c r="R816" s="57">
        <v>31354</v>
      </c>
      <c r="S816" s="16">
        <v>916</v>
      </c>
    </row>
    <row r="817" spans="18:19" x14ac:dyDescent="0.25">
      <c r="R817" s="57">
        <v>31361</v>
      </c>
      <c r="S817" s="16">
        <v>1203</v>
      </c>
    </row>
    <row r="818" spans="18:19" x14ac:dyDescent="0.25">
      <c r="R818" s="57">
        <v>31368</v>
      </c>
      <c r="S818" s="16">
        <v>1170</v>
      </c>
    </row>
    <row r="819" spans="18:19" x14ac:dyDescent="0.25">
      <c r="R819" s="57">
        <v>31382</v>
      </c>
      <c r="S819" s="16">
        <v>827</v>
      </c>
    </row>
    <row r="820" spans="18:19" x14ac:dyDescent="0.25">
      <c r="R820" s="57">
        <v>31389</v>
      </c>
      <c r="S820" s="16">
        <v>819</v>
      </c>
    </row>
    <row r="821" spans="18:19" x14ac:dyDescent="0.25">
      <c r="R821" s="57">
        <v>31396</v>
      </c>
      <c r="S821" s="16">
        <v>935</v>
      </c>
    </row>
    <row r="822" spans="18:19" x14ac:dyDescent="0.25">
      <c r="R822" s="57">
        <v>31403</v>
      </c>
      <c r="S822" s="16">
        <v>956</v>
      </c>
    </row>
    <row r="823" spans="18:19" x14ac:dyDescent="0.25">
      <c r="R823" s="57">
        <v>31405</v>
      </c>
      <c r="S823" s="16">
        <v>895</v>
      </c>
    </row>
    <row r="824" spans="18:19" x14ac:dyDescent="0.25">
      <c r="R824" s="57">
        <v>31406</v>
      </c>
      <c r="S824" s="16">
        <v>942</v>
      </c>
    </row>
    <row r="825" spans="18:19" x14ac:dyDescent="0.25">
      <c r="R825" s="57">
        <v>31410</v>
      </c>
      <c r="S825" s="16">
        <v>1249</v>
      </c>
    </row>
    <row r="826" spans="18:19" x14ac:dyDescent="0.25">
      <c r="R826" s="57">
        <v>31417</v>
      </c>
      <c r="S826" s="16">
        <v>1160</v>
      </c>
    </row>
    <row r="827" spans="18:19" x14ac:dyDescent="0.25">
      <c r="R827" s="57">
        <v>31424</v>
      </c>
      <c r="S827" s="16">
        <v>1209</v>
      </c>
    </row>
    <row r="828" spans="18:19" x14ac:dyDescent="0.25">
      <c r="R828" s="57">
        <v>31431</v>
      </c>
      <c r="S828" s="16">
        <v>1087</v>
      </c>
    </row>
    <row r="829" spans="18:19" x14ac:dyDescent="0.25">
      <c r="R829" s="57">
        <v>31438</v>
      </c>
      <c r="S829" s="16">
        <v>793</v>
      </c>
    </row>
    <row r="830" spans="18:19" x14ac:dyDescent="0.25">
      <c r="R830" s="57">
        <v>31445</v>
      </c>
      <c r="S830" s="16">
        <v>1202</v>
      </c>
    </row>
    <row r="831" spans="18:19" x14ac:dyDescent="0.25">
      <c r="R831" s="57">
        <v>31452</v>
      </c>
      <c r="S831" s="16">
        <v>765</v>
      </c>
    </row>
    <row r="832" spans="18:19" x14ac:dyDescent="0.25">
      <c r="R832" s="57">
        <v>31459</v>
      </c>
      <c r="S832" s="16">
        <v>609</v>
      </c>
    </row>
    <row r="833" spans="18:19" x14ac:dyDescent="0.25">
      <c r="R833" s="57">
        <v>31466</v>
      </c>
      <c r="S833" s="16">
        <v>1022</v>
      </c>
    </row>
    <row r="834" spans="18:19" x14ac:dyDescent="0.25">
      <c r="R834" s="57">
        <v>31473</v>
      </c>
      <c r="S834" s="16">
        <v>857</v>
      </c>
    </row>
    <row r="835" spans="18:19" x14ac:dyDescent="0.25">
      <c r="R835" s="57">
        <v>31480</v>
      </c>
      <c r="S835" s="16">
        <v>715</v>
      </c>
    </row>
    <row r="836" spans="18:19" x14ac:dyDescent="0.25">
      <c r="R836" s="57">
        <v>31487</v>
      </c>
      <c r="S836" s="16">
        <v>758</v>
      </c>
    </row>
    <row r="837" spans="18:19" x14ac:dyDescent="0.25">
      <c r="R837" s="57">
        <v>31501</v>
      </c>
      <c r="S837" s="16">
        <v>754</v>
      </c>
    </row>
    <row r="838" spans="18:19" x14ac:dyDescent="0.25">
      <c r="R838" s="57">
        <v>31508</v>
      </c>
      <c r="S838" s="16">
        <v>1349</v>
      </c>
    </row>
    <row r="839" spans="18:19" x14ac:dyDescent="0.25">
      <c r="R839" s="57">
        <v>31515</v>
      </c>
      <c r="S839" s="16">
        <v>1432</v>
      </c>
    </row>
    <row r="840" spans="18:19" x14ac:dyDescent="0.25">
      <c r="R840" s="57">
        <v>31522</v>
      </c>
      <c r="S840" s="16">
        <v>1451</v>
      </c>
    </row>
    <row r="841" spans="18:19" x14ac:dyDescent="0.25">
      <c r="R841" s="57">
        <v>31529</v>
      </c>
      <c r="S841" s="16">
        <v>572</v>
      </c>
    </row>
    <row r="842" spans="18:19" x14ac:dyDescent="0.25">
      <c r="R842" s="57">
        <v>31536</v>
      </c>
      <c r="S842" s="16">
        <v>1407</v>
      </c>
    </row>
    <row r="843" spans="18:19" x14ac:dyDescent="0.25">
      <c r="R843" s="57">
        <v>31543</v>
      </c>
      <c r="S843" s="16">
        <v>1001</v>
      </c>
    </row>
    <row r="844" spans="18:19" x14ac:dyDescent="0.25">
      <c r="R844" s="57">
        <v>31550</v>
      </c>
      <c r="S844" s="16">
        <v>1211</v>
      </c>
    </row>
    <row r="845" spans="18:19" x14ac:dyDescent="0.25">
      <c r="R845" s="57">
        <v>31557</v>
      </c>
      <c r="S845" s="16">
        <v>781</v>
      </c>
    </row>
    <row r="846" spans="18:19" x14ac:dyDescent="0.25">
      <c r="R846" s="57">
        <v>31564</v>
      </c>
      <c r="S846" s="16">
        <v>1162</v>
      </c>
    </row>
    <row r="847" spans="18:19" x14ac:dyDescent="0.25">
      <c r="R847" s="57">
        <v>31571</v>
      </c>
      <c r="S847" s="16">
        <v>1534</v>
      </c>
    </row>
    <row r="848" spans="18:19" x14ac:dyDescent="0.25">
      <c r="R848" s="57">
        <v>31578</v>
      </c>
      <c r="S848" s="16">
        <v>1495</v>
      </c>
    </row>
    <row r="849" spans="18:19" x14ac:dyDescent="0.25">
      <c r="R849" s="57">
        <v>31585</v>
      </c>
      <c r="S849" s="16">
        <v>764</v>
      </c>
    </row>
    <row r="850" spans="18:19" x14ac:dyDescent="0.25">
      <c r="R850" s="57">
        <v>31592</v>
      </c>
      <c r="S850" s="16">
        <v>1340</v>
      </c>
    </row>
    <row r="851" spans="18:19" x14ac:dyDescent="0.25">
      <c r="R851" s="57">
        <v>31599</v>
      </c>
      <c r="S851" s="16">
        <v>1211</v>
      </c>
    </row>
    <row r="852" spans="18:19" x14ac:dyDescent="0.25">
      <c r="R852" s="57">
        <v>31606</v>
      </c>
      <c r="S852" s="16">
        <v>1157</v>
      </c>
    </row>
    <row r="853" spans="18:19" x14ac:dyDescent="0.25">
      <c r="R853" s="57">
        <v>31613</v>
      </c>
      <c r="S853" s="16">
        <v>854</v>
      </c>
    </row>
    <row r="854" spans="18:19" x14ac:dyDescent="0.25">
      <c r="R854" s="57">
        <v>31620</v>
      </c>
      <c r="S854" s="16">
        <v>1349</v>
      </c>
    </row>
    <row r="855" spans="18:19" x14ac:dyDescent="0.25">
      <c r="R855" s="57">
        <v>31627</v>
      </c>
      <c r="S855" s="16">
        <v>1594</v>
      </c>
    </row>
    <row r="856" spans="18:19" x14ac:dyDescent="0.25">
      <c r="R856" s="57">
        <v>31634</v>
      </c>
      <c r="S856" s="16">
        <v>805</v>
      </c>
    </row>
    <row r="857" spans="18:19" x14ac:dyDescent="0.25">
      <c r="R857" s="57">
        <v>31639</v>
      </c>
      <c r="S857" s="16">
        <v>761</v>
      </c>
    </row>
    <row r="858" spans="18:19" x14ac:dyDescent="0.25">
      <c r="R858" s="57">
        <v>31641</v>
      </c>
      <c r="S858" s="16">
        <v>1193</v>
      </c>
    </row>
    <row r="859" spans="18:19" x14ac:dyDescent="0.25">
      <c r="R859" s="57">
        <v>31648</v>
      </c>
      <c r="S859" s="16">
        <v>1246</v>
      </c>
    </row>
    <row r="860" spans="18:19" x14ac:dyDescent="0.25">
      <c r="R860" s="57">
        <v>31655</v>
      </c>
      <c r="S860" s="16">
        <v>811</v>
      </c>
    </row>
    <row r="861" spans="18:19" x14ac:dyDescent="0.25">
      <c r="R861" s="57">
        <v>31662</v>
      </c>
      <c r="S861" s="16">
        <v>864</v>
      </c>
    </row>
    <row r="862" spans="18:19" x14ac:dyDescent="0.25">
      <c r="R862" s="57">
        <v>31669</v>
      </c>
      <c r="S862" s="16">
        <v>1399</v>
      </c>
    </row>
    <row r="863" spans="18:19" x14ac:dyDescent="0.25">
      <c r="R863" s="57">
        <v>31676</v>
      </c>
      <c r="S863" s="16">
        <v>1026</v>
      </c>
    </row>
    <row r="864" spans="18:19" x14ac:dyDescent="0.25">
      <c r="R864" s="57">
        <v>31683</v>
      </c>
      <c r="S864" s="16">
        <v>877</v>
      </c>
    </row>
    <row r="865" spans="18:19" x14ac:dyDescent="0.25">
      <c r="R865" s="57">
        <v>31690</v>
      </c>
      <c r="S865" s="16">
        <v>2354</v>
      </c>
    </row>
    <row r="866" spans="18:19" x14ac:dyDescent="0.25">
      <c r="R866" s="57">
        <v>31697</v>
      </c>
      <c r="S866" s="16">
        <v>874</v>
      </c>
    </row>
    <row r="867" spans="18:19" x14ac:dyDescent="0.25">
      <c r="R867" s="57">
        <v>31704</v>
      </c>
      <c r="S867" s="16">
        <v>765</v>
      </c>
    </row>
    <row r="868" spans="18:19" x14ac:dyDescent="0.25">
      <c r="R868" s="57">
        <v>31711</v>
      </c>
      <c r="S868" s="16">
        <v>1266</v>
      </c>
    </row>
    <row r="869" spans="18:19" x14ac:dyDescent="0.25">
      <c r="R869" s="57">
        <v>31717</v>
      </c>
      <c r="S869" s="16">
        <v>952</v>
      </c>
    </row>
    <row r="870" spans="18:19" x14ac:dyDescent="0.25">
      <c r="R870" s="57">
        <v>31718</v>
      </c>
      <c r="S870" s="16">
        <v>1231</v>
      </c>
    </row>
    <row r="871" spans="18:19" x14ac:dyDescent="0.25">
      <c r="R871" s="57">
        <v>31725</v>
      </c>
      <c r="S871" s="16">
        <v>799</v>
      </c>
    </row>
    <row r="872" spans="18:19" x14ac:dyDescent="0.25">
      <c r="R872" s="57">
        <v>31732</v>
      </c>
      <c r="S872" s="16">
        <v>412</v>
      </c>
    </row>
    <row r="873" spans="18:19" x14ac:dyDescent="0.25">
      <c r="R873" s="57">
        <v>31739</v>
      </c>
      <c r="S873" s="16">
        <v>955</v>
      </c>
    </row>
    <row r="874" spans="18:19" x14ac:dyDescent="0.25">
      <c r="R874" s="57">
        <v>31746</v>
      </c>
      <c r="S874" s="16">
        <v>1169</v>
      </c>
    </row>
    <row r="875" spans="18:19" x14ac:dyDescent="0.25">
      <c r="R875" s="57">
        <v>31753</v>
      </c>
      <c r="S875" s="16">
        <v>1084</v>
      </c>
    </row>
    <row r="876" spans="18:19" x14ac:dyDescent="0.25">
      <c r="R876" s="57">
        <v>31760</v>
      </c>
      <c r="S876" s="16">
        <v>1287</v>
      </c>
    </row>
    <row r="877" spans="18:19" x14ac:dyDescent="0.25">
      <c r="R877" s="57">
        <v>31767</v>
      </c>
      <c r="S877" s="16">
        <v>1236</v>
      </c>
    </row>
    <row r="878" spans="18:19" x14ac:dyDescent="0.25">
      <c r="R878" s="57">
        <v>31770</v>
      </c>
      <c r="S878" s="16">
        <v>700</v>
      </c>
    </row>
    <row r="879" spans="18:19" x14ac:dyDescent="0.25">
      <c r="R879" s="57">
        <v>31771</v>
      </c>
      <c r="S879" s="16">
        <v>1071</v>
      </c>
    </row>
    <row r="880" spans="18:19" x14ac:dyDescent="0.25">
      <c r="R880" s="57">
        <v>31774</v>
      </c>
      <c r="S880" s="16">
        <v>1073</v>
      </c>
    </row>
    <row r="881" spans="18:19" x14ac:dyDescent="0.25">
      <c r="R881" s="57">
        <v>31781</v>
      </c>
      <c r="S881" s="16">
        <v>1143</v>
      </c>
    </row>
    <row r="882" spans="18:19" x14ac:dyDescent="0.25">
      <c r="R882" s="57">
        <v>31788</v>
      </c>
      <c r="S882" s="16">
        <v>543</v>
      </c>
    </row>
    <row r="883" spans="18:19" x14ac:dyDescent="0.25">
      <c r="R883" s="57">
        <v>31795</v>
      </c>
      <c r="S883" s="16">
        <v>643</v>
      </c>
    </row>
    <row r="884" spans="18:19" x14ac:dyDescent="0.25">
      <c r="R884" s="57">
        <v>31802</v>
      </c>
      <c r="S884" s="16">
        <v>1009</v>
      </c>
    </row>
    <row r="885" spans="18:19" x14ac:dyDescent="0.25">
      <c r="R885" s="57">
        <v>31809</v>
      </c>
      <c r="S885" s="16">
        <v>1084</v>
      </c>
    </row>
    <row r="886" spans="18:19" x14ac:dyDescent="0.25">
      <c r="R886" s="57">
        <v>31816</v>
      </c>
      <c r="S886" s="16">
        <v>894</v>
      </c>
    </row>
    <row r="887" spans="18:19" x14ac:dyDescent="0.25">
      <c r="R887" s="57">
        <v>31823</v>
      </c>
      <c r="S887" s="16">
        <v>1394</v>
      </c>
    </row>
    <row r="888" spans="18:19" x14ac:dyDescent="0.25">
      <c r="R888" s="57">
        <v>31830</v>
      </c>
      <c r="S888" s="16">
        <v>1038</v>
      </c>
    </row>
    <row r="889" spans="18:19" x14ac:dyDescent="0.25">
      <c r="R889" s="57">
        <v>31837</v>
      </c>
      <c r="S889" s="16">
        <v>1158</v>
      </c>
    </row>
    <row r="890" spans="18:19" x14ac:dyDescent="0.25">
      <c r="R890" s="57">
        <v>31844</v>
      </c>
      <c r="S890" s="16">
        <v>610</v>
      </c>
    </row>
    <row r="891" spans="18:19" x14ac:dyDescent="0.25">
      <c r="R891" s="57">
        <v>31851</v>
      </c>
      <c r="S891" s="16">
        <v>620</v>
      </c>
    </row>
    <row r="892" spans="18:19" x14ac:dyDescent="0.25">
      <c r="R892" s="57">
        <v>31858</v>
      </c>
      <c r="S892" s="16">
        <v>663</v>
      </c>
    </row>
    <row r="893" spans="18:19" x14ac:dyDescent="0.25">
      <c r="R893" s="57">
        <v>31865</v>
      </c>
      <c r="S893" s="16">
        <v>708</v>
      </c>
    </row>
    <row r="894" spans="18:19" x14ac:dyDescent="0.25">
      <c r="R894" s="57">
        <v>31872</v>
      </c>
      <c r="S894" s="16">
        <v>747</v>
      </c>
    </row>
    <row r="895" spans="18:19" x14ac:dyDescent="0.25">
      <c r="R895" s="57">
        <v>31879</v>
      </c>
      <c r="S895" s="16">
        <v>461</v>
      </c>
    </row>
    <row r="896" spans="18:19" x14ac:dyDescent="0.25">
      <c r="R896" s="57">
        <v>31886</v>
      </c>
      <c r="S896" s="16">
        <v>573</v>
      </c>
    </row>
    <row r="897" spans="18:19" x14ac:dyDescent="0.25">
      <c r="R897" s="57">
        <v>31893</v>
      </c>
      <c r="S897" s="16">
        <v>1008</v>
      </c>
    </row>
    <row r="898" spans="18:19" x14ac:dyDescent="0.25">
      <c r="R898" s="57">
        <v>31900</v>
      </c>
      <c r="S898" s="16">
        <v>1383</v>
      </c>
    </row>
    <row r="899" spans="18:19" x14ac:dyDescent="0.25">
      <c r="R899" s="57">
        <v>31907</v>
      </c>
      <c r="S899" s="16">
        <v>632</v>
      </c>
    </row>
    <row r="900" spans="18:19" x14ac:dyDescent="0.25">
      <c r="R900" s="57">
        <v>31914</v>
      </c>
      <c r="S900" s="16">
        <v>956</v>
      </c>
    </row>
    <row r="901" spans="18:19" x14ac:dyDescent="0.25">
      <c r="R901" s="57">
        <v>31921</v>
      </c>
      <c r="S901" s="16">
        <v>1521</v>
      </c>
    </row>
    <row r="902" spans="18:19" x14ac:dyDescent="0.25">
      <c r="R902" s="57">
        <v>31928</v>
      </c>
      <c r="S902" s="16">
        <v>487</v>
      </c>
    </row>
    <row r="903" spans="18:19" x14ac:dyDescent="0.25">
      <c r="R903" s="57">
        <v>31935</v>
      </c>
      <c r="S903" s="16">
        <v>718</v>
      </c>
    </row>
    <row r="904" spans="18:19" x14ac:dyDescent="0.25">
      <c r="R904" s="57">
        <v>31942</v>
      </c>
      <c r="S904" s="16">
        <v>843</v>
      </c>
    </row>
    <row r="905" spans="18:19" x14ac:dyDescent="0.25">
      <c r="R905" s="57">
        <v>31949</v>
      </c>
      <c r="S905" s="16">
        <v>1070</v>
      </c>
    </row>
    <row r="906" spans="18:19" x14ac:dyDescent="0.25">
      <c r="R906" s="57">
        <v>31956</v>
      </c>
      <c r="S906" s="16">
        <v>1145</v>
      </c>
    </row>
    <row r="907" spans="18:19" x14ac:dyDescent="0.25">
      <c r="R907" s="57">
        <v>31963</v>
      </c>
      <c r="S907" s="16">
        <v>1429</v>
      </c>
    </row>
    <row r="908" spans="18:19" x14ac:dyDescent="0.25">
      <c r="R908" s="57">
        <v>31970</v>
      </c>
      <c r="S908" s="16">
        <v>799</v>
      </c>
    </row>
    <row r="909" spans="18:19" x14ac:dyDescent="0.25">
      <c r="R909" s="57">
        <v>31977</v>
      </c>
      <c r="S909" s="16">
        <v>846</v>
      </c>
    </row>
    <row r="910" spans="18:19" x14ac:dyDescent="0.25">
      <c r="R910" s="57">
        <v>31984</v>
      </c>
      <c r="S910" s="16">
        <v>890</v>
      </c>
    </row>
    <row r="911" spans="18:19" x14ac:dyDescent="0.25">
      <c r="R911" s="57">
        <v>31991</v>
      </c>
      <c r="S911" s="16">
        <v>968</v>
      </c>
    </row>
    <row r="912" spans="18:19" x14ac:dyDescent="0.25">
      <c r="R912" s="57">
        <v>31998</v>
      </c>
      <c r="S912" s="16">
        <v>1046</v>
      </c>
    </row>
    <row r="913" spans="18:19" x14ac:dyDescent="0.25">
      <c r="R913" s="57">
        <v>32004</v>
      </c>
      <c r="S913" s="16">
        <v>1276</v>
      </c>
    </row>
    <row r="914" spans="18:19" x14ac:dyDescent="0.25">
      <c r="R914" s="57">
        <v>32005</v>
      </c>
      <c r="S914" s="16">
        <v>1430</v>
      </c>
    </row>
    <row r="915" spans="18:19" x14ac:dyDescent="0.25">
      <c r="R915" s="57">
        <v>32012</v>
      </c>
      <c r="S915" s="16">
        <v>930</v>
      </c>
    </row>
    <row r="916" spans="18:19" x14ac:dyDescent="0.25">
      <c r="R916" s="57">
        <v>32019</v>
      </c>
      <c r="S916" s="16">
        <v>882</v>
      </c>
    </row>
    <row r="917" spans="18:19" x14ac:dyDescent="0.25">
      <c r="R917" s="57">
        <v>32026</v>
      </c>
      <c r="S917" s="16">
        <v>1174</v>
      </c>
    </row>
    <row r="918" spans="18:19" x14ac:dyDescent="0.25">
      <c r="R918" s="57">
        <v>32033</v>
      </c>
      <c r="S918" s="16">
        <v>774</v>
      </c>
    </row>
    <row r="919" spans="18:19" x14ac:dyDescent="0.25">
      <c r="R919" s="57">
        <v>32040</v>
      </c>
      <c r="S919" s="16">
        <v>1212</v>
      </c>
    </row>
    <row r="920" spans="18:19" x14ac:dyDescent="0.25">
      <c r="R920" s="57">
        <v>32047</v>
      </c>
      <c r="S920" s="16">
        <v>788</v>
      </c>
    </row>
    <row r="921" spans="18:19" x14ac:dyDescent="0.25">
      <c r="R921" s="57">
        <v>32054</v>
      </c>
      <c r="S921" s="16">
        <v>904</v>
      </c>
    </row>
    <row r="922" spans="18:19" x14ac:dyDescent="0.25">
      <c r="R922" s="57">
        <v>32061</v>
      </c>
      <c r="S922" s="16">
        <v>1040</v>
      </c>
    </row>
    <row r="923" spans="18:19" x14ac:dyDescent="0.25">
      <c r="R923" s="57">
        <v>32068</v>
      </c>
      <c r="S923" s="16">
        <v>999</v>
      </c>
    </row>
    <row r="924" spans="18:19" x14ac:dyDescent="0.25">
      <c r="R924" s="57">
        <v>32075</v>
      </c>
      <c r="S924" s="16">
        <v>730</v>
      </c>
    </row>
    <row r="925" spans="18:19" x14ac:dyDescent="0.25">
      <c r="R925" s="57">
        <v>32082</v>
      </c>
      <c r="S925" s="16">
        <v>686</v>
      </c>
    </row>
    <row r="926" spans="18:19" x14ac:dyDescent="0.25">
      <c r="R926" s="57">
        <v>32089</v>
      </c>
      <c r="S926" s="16">
        <v>1076</v>
      </c>
    </row>
    <row r="927" spans="18:19" x14ac:dyDescent="0.25">
      <c r="R927" s="57">
        <v>32096</v>
      </c>
      <c r="S927" s="16">
        <v>856</v>
      </c>
    </row>
    <row r="928" spans="18:19" x14ac:dyDescent="0.25">
      <c r="R928" s="57">
        <v>32103</v>
      </c>
      <c r="S928" s="16">
        <v>753</v>
      </c>
    </row>
    <row r="929" spans="18:19" x14ac:dyDescent="0.25">
      <c r="R929" s="57">
        <v>32110</v>
      </c>
      <c r="S929" s="16">
        <v>756</v>
      </c>
    </row>
    <row r="930" spans="18:19" x14ac:dyDescent="0.25">
      <c r="R930" s="57">
        <v>32117</v>
      </c>
      <c r="S930" s="16">
        <v>1079</v>
      </c>
    </row>
    <row r="931" spans="18:19" x14ac:dyDescent="0.25">
      <c r="R931" s="57">
        <v>32124</v>
      </c>
      <c r="S931" s="16">
        <v>1023</v>
      </c>
    </row>
    <row r="932" spans="18:19" x14ac:dyDescent="0.25">
      <c r="R932" s="57">
        <v>32131</v>
      </c>
      <c r="S932" s="16">
        <v>1379</v>
      </c>
    </row>
    <row r="933" spans="18:19" x14ac:dyDescent="0.25">
      <c r="R933" s="57">
        <v>32135</v>
      </c>
      <c r="S933" s="16">
        <v>835</v>
      </c>
    </row>
    <row r="934" spans="18:19" x14ac:dyDescent="0.25">
      <c r="R934" s="57">
        <v>32136</v>
      </c>
      <c r="S934" s="16">
        <v>526</v>
      </c>
    </row>
    <row r="935" spans="18:19" x14ac:dyDescent="0.25">
      <c r="R935" s="57">
        <v>32138</v>
      </c>
      <c r="S935" s="16">
        <v>1143</v>
      </c>
    </row>
    <row r="936" spans="18:19" x14ac:dyDescent="0.25">
      <c r="R936" s="57">
        <v>32145</v>
      </c>
      <c r="S936" s="16">
        <v>1069</v>
      </c>
    </row>
    <row r="937" spans="18:19" x14ac:dyDescent="0.25">
      <c r="R937" s="57">
        <v>32152</v>
      </c>
      <c r="S937" s="16">
        <v>370</v>
      </c>
    </row>
    <row r="938" spans="18:19" x14ac:dyDescent="0.25">
      <c r="R938" s="57">
        <v>32159</v>
      </c>
      <c r="S938" s="16">
        <v>835</v>
      </c>
    </row>
    <row r="939" spans="18:19" x14ac:dyDescent="0.25">
      <c r="R939" s="57">
        <v>32166</v>
      </c>
      <c r="S939" s="16">
        <v>895</v>
      </c>
    </row>
    <row r="940" spans="18:19" x14ac:dyDescent="0.25">
      <c r="R940" s="57">
        <v>32173</v>
      </c>
      <c r="S940" s="16">
        <v>947</v>
      </c>
    </row>
    <row r="941" spans="18:19" x14ac:dyDescent="0.25">
      <c r="R941" s="57">
        <v>32180</v>
      </c>
      <c r="S941" s="16">
        <v>1292</v>
      </c>
    </row>
    <row r="942" spans="18:19" x14ac:dyDescent="0.25">
      <c r="R942" s="57">
        <v>32187</v>
      </c>
      <c r="S942" s="16">
        <v>779</v>
      </c>
    </row>
    <row r="943" spans="18:19" x14ac:dyDescent="0.25">
      <c r="R943" s="57">
        <v>32194</v>
      </c>
      <c r="S943" s="16">
        <v>1073</v>
      </c>
    </row>
    <row r="944" spans="18:19" x14ac:dyDescent="0.25">
      <c r="R944" s="57">
        <v>32201</v>
      </c>
      <c r="S944" s="16">
        <v>1010</v>
      </c>
    </row>
    <row r="945" spans="18:19" x14ac:dyDescent="0.25">
      <c r="R945" s="57">
        <v>32208</v>
      </c>
      <c r="S945" s="16">
        <v>1106</v>
      </c>
    </row>
    <row r="946" spans="18:19" x14ac:dyDescent="0.25">
      <c r="R946" s="57">
        <v>32215</v>
      </c>
      <c r="S946" s="16">
        <v>1023</v>
      </c>
    </row>
    <row r="947" spans="18:19" x14ac:dyDescent="0.25">
      <c r="R947" s="57">
        <v>32222</v>
      </c>
      <c r="S947" s="16">
        <v>1139</v>
      </c>
    </row>
    <row r="948" spans="18:19" x14ac:dyDescent="0.25">
      <c r="R948" s="57">
        <v>32229</v>
      </c>
      <c r="S948" s="16">
        <v>544</v>
      </c>
    </row>
    <row r="949" spans="18:19" x14ac:dyDescent="0.25">
      <c r="R949" s="57">
        <v>32236</v>
      </c>
      <c r="S949" s="16">
        <v>728</v>
      </c>
    </row>
    <row r="950" spans="18:19" x14ac:dyDescent="0.25">
      <c r="R950" s="57">
        <v>32243</v>
      </c>
      <c r="S950" s="16">
        <v>1028</v>
      </c>
    </row>
    <row r="951" spans="18:19" x14ac:dyDescent="0.25">
      <c r="R951" s="57">
        <v>32250</v>
      </c>
      <c r="S951" s="16">
        <v>743</v>
      </c>
    </row>
    <row r="952" spans="18:19" x14ac:dyDescent="0.25">
      <c r="R952" s="57">
        <v>32257</v>
      </c>
      <c r="S952" s="16">
        <v>722</v>
      </c>
    </row>
    <row r="953" spans="18:19" x14ac:dyDescent="0.25">
      <c r="R953" s="57">
        <v>32264</v>
      </c>
      <c r="S953" s="16">
        <v>1580</v>
      </c>
    </row>
    <row r="954" spans="18:19" x14ac:dyDescent="0.25">
      <c r="R954" s="57">
        <v>32271</v>
      </c>
      <c r="S954" s="16">
        <v>823</v>
      </c>
    </row>
    <row r="955" spans="18:19" x14ac:dyDescent="0.25">
      <c r="R955" s="57">
        <v>32278</v>
      </c>
      <c r="S955" s="16">
        <v>1262</v>
      </c>
    </row>
    <row r="956" spans="18:19" x14ac:dyDescent="0.25">
      <c r="R956" s="57">
        <v>32285</v>
      </c>
      <c r="S956" s="16">
        <v>849</v>
      </c>
    </row>
    <row r="957" spans="18:19" x14ac:dyDescent="0.25">
      <c r="R957" s="57">
        <v>32292</v>
      </c>
      <c r="S957" s="16">
        <v>1183</v>
      </c>
    </row>
    <row r="958" spans="18:19" x14ac:dyDescent="0.25">
      <c r="R958" s="57">
        <v>32299</v>
      </c>
      <c r="S958" s="16">
        <v>692</v>
      </c>
    </row>
    <row r="959" spans="18:19" x14ac:dyDescent="0.25">
      <c r="R959" s="57">
        <v>32306</v>
      </c>
      <c r="S959" s="16">
        <v>716</v>
      </c>
    </row>
    <row r="960" spans="18:19" x14ac:dyDescent="0.25">
      <c r="R960" s="57">
        <v>32313</v>
      </c>
      <c r="S960" s="16">
        <v>1009</v>
      </c>
    </row>
    <row r="961" spans="18:19" x14ac:dyDescent="0.25">
      <c r="R961" s="57">
        <v>32320</v>
      </c>
      <c r="S961" s="16">
        <v>1291</v>
      </c>
    </row>
    <row r="962" spans="18:19" x14ac:dyDescent="0.25">
      <c r="R962" s="57">
        <v>32327</v>
      </c>
      <c r="S962" s="16">
        <v>971</v>
      </c>
    </row>
    <row r="963" spans="18:19" x14ac:dyDescent="0.25">
      <c r="R963" s="57">
        <v>32334</v>
      </c>
      <c r="S963" s="16">
        <v>942</v>
      </c>
    </row>
    <row r="964" spans="18:19" x14ac:dyDescent="0.25">
      <c r="R964" s="57">
        <v>32341</v>
      </c>
      <c r="S964" s="16">
        <v>661</v>
      </c>
    </row>
    <row r="965" spans="18:19" x14ac:dyDescent="0.25">
      <c r="R965" s="57">
        <v>32348</v>
      </c>
      <c r="S965" s="16">
        <v>1050</v>
      </c>
    </row>
    <row r="966" spans="18:19" x14ac:dyDescent="0.25">
      <c r="R966" s="57">
        <v>32355</v>
      </c>
      <c r="S966" s="16">
        <v>797</v>
      </c>
    </row>
    <row r="967" spans="18:19" x14ac:dyDescent="0.25">
      <c r="R967" s="57">
        <v>32362</v>
      </c>
      <c r="S967" s="16">
        <v>936</v>
      </c>
    </row>
    <row r="968" spans="18:19" x14ac:dyDescent="0.25">
      <c r="R968" s="57">
        <v>32369</v>
      </c>
      <c r="S968" s="16">
        <v>932</v>
      </c>
    </row>
    <row r="969" spans="18:19" x14ac:dyDescent="0.25">
      <c r="R969" s="57">
        <v>32370</v>
      </c>
      <c r="S969" s="16">
        <v>675</v>
      </c>
    </row>
    <row r="970" spans="18:19" x14ac:dyDescent="0.25">
      <c r="R970" s="57">
        <v>32376</v>
      </c>
      <c r="S970" s="16">
        <v>885</v>
      </c>
    </row>
    <row r="971" spans="18:19" x14ac:dyDescent="0.25">
      <c r="R971" s="57">
        <v>32383</v>
      </c>
      <c r="S971" s="16">
        <v>1875</v>
      </c>
    </row>
    <row r="972" spans="18:19" x14ac:dyDescent="0.25">
      <c r="R972" s="57">
        <v>32390</v>
      </c>
      <c r="S972" s="16">
        <v>859</v>
      </c>
    </row>
    <row r="973" spans="18:19" x14ac:dyDescent="0.25">
      <c r="R973" s="57">
        <v>32397</v>
      </c>
      <c r="S973" s="16">
        <v>1087</v>
      </c>
    </row>
    <row r="974" spans="18:19" x14ac:dyDescent="0.25">
      <c r="R974" s="57">
        <v>32404</v>
      </c>
      <c r="S974" s="16">
        <v>1192</v>
      </c>
    </row>
    <row r="975" spans="18:19" x14ac:dyDescent="0.25">
      <c r="R975" s="57">
        <v>32411</v>
      </c>
      <c r="S975" s="16">
        <v>1377</v>
      </c>
    </row>
    <row r="976" spans="18:19" x14ac:dyDescent="0.25">
      <c r="R976" s="57">
        <v>32418</v>
      </c>
      <c r="S976" s="16">
        <v>978</v>
      </c>
    </row>
    <row r="977" spans="18:19" x14ac:dyDescent="0.25">
      <c r="R977" s="57">
        <v>32425</v>
      </c>
      <c r="S977" s="16">
        <v>2462</v>
      </c>
    </row>
    <row r="978" spans="18:19" x14ac:dyDescent="0.25">
      <c r="R978" s="57">
        <v>32432</v>
      </c>
      <c r="S978" s="16">
        <v>781</v>
      </c>
    </row>
    <row r="979" spans="18:19" x14ac:dyDescent="0.25">
      <c r="R979" s="57">
        <v>32439</v>
      </c>
      <c r="S979" s="16">
        <v>1287</v>
      </c>
    </row>
    <row r="980" spans="18:19" x14ac:dyDescent="0.25">
      <c r="R980" s="57">
        <v>32446</v>
      </c>
      <c r="S980" s="16">
        <v>971</v>
      </c>
    </row>
    <row r="981" spans="18:19" x14ac:dyDescent="0.25">
      <c r="R981" s="57">
        <v>32448</v>
      </c>
      <c r="S981" s="16">
        <v>782</v>
      </c>
    </row>
    <row r="982" spans="18:19" x14ac:dyDescent="0.25">
      <c r="R982" s="57">
        <v>32453</v>
      </c>
      <c r="S982" s="16">
        <v>940</v>
      </c>
    </row>
    <row r="983" spans="18:19" x14ac:dyDescent="0.25">
      <c r="R983" s="57">
        <v>32460</v>
      </c>
      <c r="S983" s="16">
        <v>1160</v>
      </c>
    </row>
    <row r="984" spans="18:19" x14ac:dyDescent="0.25">
      <c r="R984" s="57">
        <v>32467</v>
      </c>
      <c r="S984" s="16">
        <v>727</v>
      </c>
    </row>
    <row r="985" spans="18:19" x14ac:dyDescent="0.25">
      <c r="R985" s="57">
        <v>32474</v>
      </c>
      <c r="S985" s="16">
        <v>941</v>
      </c>
    </row>
    <row r="986" spans="18:19" x14ac:dyDescent="0.25">
      <c r="R986" s="57">
        <v>32481</v>
      </c>
      <c r="S986" s="16">
        <v>1044</v>
      </c>
    </row>
    <row r="987" spans="18:19" x14ac:dyDescent="0.25">
      <c r="R987" s="57">
        <v>32488</v>
      </c>
      <c r="S987" s="16">
        <v>1071</v>
      </c>
    </row>
    <row r="988" spans="18:19" x14ac:dyDescent="0.25">
      <c r="R988" s="57">
        <v>32495</v>
      </c>
      <c r="S988" s="16">
        <v>1011</v>
      </c>
    </row>
    <row r="989" spans="18:19" x14ac:dyDescent="0.25">
      <c r="R989" s="57">
        <v>32501</v>
      </c>
      <c r="S989" s="16">
        <v>1172</v>
      </c>
    </row>
    <row r="990" spans="18:19" x14ac:dyDescent="0.25">
      <c r="R990" s="57">
        <v>32502</v>
      </c>
      <c r="S990" s="16">
        <v>1007</v>
      </c>
    </row>
    <row r="991" spans="18:19" x14ac:dyDescent="0.25">
      <c r="R991" s="57">
        <v>32509</v>
      </c>
      <c r="S991" s="16">
        <v>925</v>
      </c>
    </row>
    <row r="992" spans="18:19" x14ac:dyDescent="0.25">
      <c r="R992" s="57">
        <v>32516</v>
      </c>
      <c r="S992" s="16">
        <v>947</v>
      </c>
    </row>
    <row r="993" spans="18:19" x14ac:dyDescent="0.25">
      <c r="R993" s="57">
        <v>32523</v>
      </c>
      <c r="S993" s="16">
        <v>528</v>
      </c>
    </row>
    <row r="994" spans="18:19" x14ac:dyDescent="0.25">
      <c r="R994" s="57">
        <v>32530</v>
      </c>
      <c r="S994" s="16">
        <v>1023</v>
      </c>
    </row>
    <row r="995" spans="18:19" x14ac:dyDescent="0.25">
      <c r="R995" s="57">
        <v>32537</v>
      </c>
      <c r="S995" s="16">
        <v>1165</v>
      </c>
    </row>
    <row r="996" spans="18:19" x14ac:dyDescent="0.25">
      <c r="R996" s="57">
        <v>32544</v>
      </c>
      <c r="S996" s="16">
        <v>2007</v>
      </c>
    </row>
    <row r="997" spans="18:19" x14ac:dyDescent="0.25">
      <c r="R997" s="57">
        <v>32551</v>
      </c>
      <c r="S997" s="16">
        <v>746</v>
      </c>
    </row>
    <row r="998" spans="18:19" x14ac:dyDescent="0.25">
      <c r="R998" s="57">
        <v>32558</v>
      </c>
      <c r="S998" s="16">
        <v>880</v>
      </c>
    </row>
    <row r="999" spans="18:19" x14ac:dyDescent="0.25">
      <c r="R999" s="57">
        <v>32565</v>
      </c>
      <c r="S999" s="16">
        <v>782</v>
      </c>
    </row>
    <row r="1000" spans="18:19" x14ac:dyDescent="0.25">
      <c r="R1000" s="57">
        <v>32572</v>
      </c>
      <c r="S1000" s="16">
        <v>833</v>
      </c>
    </row>
    <row r="1001" spans="18:19" x14ac:dyDescent="0.25">
      <c r="R1001" s="57">
        <v>32579</v>
      </c>
      <c r="S1001" s="16">
        <v>855</v>
      </c>
    </row>
    <row r="1002" spans="18:19" x14ac:dyDescent="0.25">
      <c r="R1002" s="57">
        <v>32586</v>
      </c>
      <c r="S1002" s="16">
        <v>519</v>
      </c>
    </row>
    <row r="1003" spans="18:19" x14ac:dyDescent="0.25">
      <c r="R1003" s="57">
        <v>32593</v>
      </c>
      <c r="S1003" s="16">
        <v>1034</v>
      </c>
    </row>
    <row r="1004" spans="18:19" x14ac:dyDescent="0.25">
      <c r="R1004" s="57">
        <v>32600</v>
      </c>
      <c r="S1004" s="16">
        <v>891</v>
      </c>
    </row>
    <row r="1005" spans="18:19" x14ac:dyDescent="0.25">
      <c r="R1005" s="57">
        <v>32607</v>
      </c>
      <c r="S1005" s="16">
        <v>684</v>
      </c>
    </row>
    <row r="1006" spans="18:19" x14ac:dyDescent="0.25">
      <c r="R1006" s="57">
        <v>32614</v>
      </c>
      <c r="S1006" s="16">
        <v>904</v>
      </c>
    </row>
    <row r="1007" spans="18:19" x14ac:dyDescent="0.25">
      <c r="R1007" s="57">
        <v>32621</v>
      </c>
      <c r="S1007" s="16">
        <v>971</v>
      </c>
    </row>
    <row r="1008" spans="18:19" x14ac:dyDescent="0.25">
      <c r="R1008" s="57">
        <v>32628</v>
      </c>
      <c r="S1008" s="16">
        <v>913</v>
      </c>
    </row>
    <row r="1009" spans="18:19" x14ac:dyDescent="0.25">
      <c r="R1009" s="57">
        <v>32635</v>
      </c>
      <c r="S1009" s="16">
        <v>905</v>
      </c>
    </row>
    <row r="1010" spans="18:19" x14ac:dyDescent="0.25">
      <c r="R1010" s="57">
        <v>32642</v>
      </c>
      <c r="S1010" s="16">
        <v>1082</v>
      </c>
    </row>
    <row r="1011" spans="18:19" x14ac:dyDescent="0.25">
      <c r="R1011" s="57">
        <v>32649</v>
      </c>
      <c r="S1011" s="16">
        <v>941</v>
      </c>
    </row>
    <row r="1012" spans="18:19" x14ac:dyDescent="0.25">
      <c r="R1012" s="57">
        <v>32656</v>
      </c>
      <c r="S1012" s="16">
        <v>1110</v>
      </c>
    </row>
    <row r="1013" spans="18:19" x14ac:dyDescent="0.25">
      <c r="R1013" s="57">
        <v>32663</v>
      </c>
      <c r="S1013" s="16">
        <v>854</v>
      </c>
    </row>
    <row r="1014" spans="18:19" x14ac:dyDescent="0.25">
      <c r="R1014" s="57">
        <v>32670</v>
      </c>
      <c r="S1014" s="16">
        <v>1225</v>
      </c>
    </row>
    <row r="1015" spans="18:19" x14ac:dyDescent="0.25">
      <c r="R1015" s="57">
        <v>32677</v>
      </c>
      <c r="S1015" s="16">
        <v>1159</v>
      </c>
    </row>
    <row r="1016" spans="18:19" x14ac:dyDescent="0.25">
      <c r="R1016" s="57">
        <v>32684</v>
      </c>
      <c r="S1016" s="16">
        <v>1123</v>
      </c>
    </row>
    <row r="1017" spans="18:19" x14ac:dyDescent="0.25">
      <c r="R1017" s="57">
        <v>32691</v>
      </c>
      <c r="S1017" s="16">
        <v>1265</v>
      </c>
    </row>
    <row r="1018" spans="18:19" x14ac:dyDescent="0.25">
      <c r="R1018" s="57">
        <v>32698</v>
      </c>
      <c r="S1018" s="16">
        <v>819</v>
      </c>
    </row>
    <row r="1019" spans="18:19" x14ac:dyDescent="0.25">
      <c r="R1019" s="57">
        <v>32705</v>
      </c>
      <c r="S1019" s="16">
        <v>902</v>
      </c>
    </row>
    <row r="1020" spans="18:19" x14ac:dyDescent="0.25">
      <c r="R1020" s="57">
        <v>32712</v>
      </c>
      <c r="S1020" s="16">
        <v>1032</v>
      </c>
    </row>
    <row r="1021" spans="18:19" x14ac:dyDescent="0.25">
      <c r="R1021" s="57">
        <v>32719</v>
      </c>
      <c r="S1021" s="16">
        <v>1284</v>
      </c>
    </row>
    <row r="1022" spans="18:19" x14ac:dyDescent="0.25">
      <c r="R1022" s="57">
        <v>32726</v>
      </c>
      <c r="S1022" s="16">
        <v>768</v>
      </c>
    </row>
    <row r="1023" spans="18:19" x14ac:dyDescent="0.25">
      <c r="R1023" s="57">
        <v>32733</v>
      </c>
      <c r="S1023" s="16">
        <v>771</v>
      </c>
    </row>
    <row r="1024" spans="18:19" x14ac:dyDescent="0.25">
      <c r="R1024" s="57">
        <v>32735</v>
      </c>
      <c r="S1024" s="16">
        <v>518</v>
      </c>
    </row>
    <row r="1025" spans="18:19" x14ac:dyDescent="0.25">
      <c r="R1025" s="57">
        <v>32740</v>
      </c>
      <c r="S1025" s="16">
        <v>2033</v>
      </c>
    </row>
    <row r="1026" spans="18:19" x14ac:dyDescent="0.25">
      <c r="R1026" s="57">
        <v>32747</v>
      </c>
      <c r="S1026" s="16">
        <v>1148</v>
      </c>
    </row>
    <row r="1027" spans="18:19" x14ac:dyDescent="0.25">
      <c r="R1027" s="57">
        <v>32754</v>
      </c>
      <c r="S1027" s="16">
        <v>979</v>
      </c>
    </row>
    <row r="1028" spans="18:19" x14ac:dyDescent="0.25">
      <c r="R1028" s="57">
        <v>32761</v>
      </c>
      <c r="S1028" s="16">
        <v>1045</v>
      </c>
    </row>
    <row r="1029" spans="18:19" x14ac:dyDescent="0.25">
      <c r="R1029" s="57">
        <v>32768</v>
      </c>
      <c r="S1029" s="16">
        <v>712</v>
      </c>
    </row>
    <row r="1030" spans="18:19" x14ac:dyDescent="0.25">
      <c r="R1030" s="57">
        <v>32775</v>
      </c>
      <c r="S1030" s="16">
        <v>723</v>
      </c>
    </row>
    <row r="1031" spans="18:19" x14ac:dyDescent="0.25">
      <c r="R1031" s="57">
        <v>32782</v>
      </c>
      <c r="S1031" s="16">
        <v>1307</v>
      </c>
    </row>
    <row r="1032" spans="18:19" x14ac:dyDescent="0.25">
      <c r="R1032" s="57">
        <v>32789</v>
      </c>
      <c r="S1032" s="16">
        <v>1115</v>
      </c>
    </row>
    <row r="1033" spans="18:19" x14ac:dyDescent="0.25">
      <c r="R1033" s="57">
        <v>32796</v>
      </c>
      <c r="S1033" s="16">
        <v>987</v>
      </c>
    </row>
    <row r="1034" spans="18:19" x14ac:dyDescent="0.25">
      <c r="R1034" s="57">
        <v>32803</v>
      </c>
      <c r="S1034" s="16">
        <v>1056</v>
      </c>
    </row>
    <row r="1035" spans="18:19" x14ac:dyDescent="0.25">
      <c r="R1035" s="57">
        <v>32810</v>
      </c>
      <c r="S1035" s="16">
        <v>966</v>
      </c>
    </row>
    <row r="1036" spans="18:19" x14ac:dyDescent="0.25">
      <c r="R1036" s="57">
        <v>32813</v>
      </c>
      <c r="S1036" s="16">
        <v>1467</v>
      </c>
    </row>
    <row r="1037" spans="18:19" x14ac:dyDescent="0.25">
      <c r="R1037" s="57">
        <v>32817</v>
      </c>
      <c r="S1037" s="16">
        <v>872</v>
      </c>
    </row>
    <row r="1038" spans="18:19" x14ac:dyDescent="0.25">
      <c r="R1038" s="57">
        <v>32824</v>
      </c>
      <c r="S1038" s="16">
        <v>595</v>
      </c>
    </row>
    <row r="1039" spans="18:19" x14ac:dyDescent="0.25">
      <c r="R1039" s="57">
        <v>32831</v>
      </c>
      <c r="S1039" s="16">
        <v>1213</v>
      </c>
    </row>
    <row r="1040" spans="18:19" x14ac:dyDescent="0.25">
      <c r="R1040" s="57">
        <v>32838</v>
      </c>
      <c r="S1040" s="16">
        <v>828</v>
      </c>
    </row>
    <row r="1041" spans="18:19" x14ac:dyDescent="0.25">
      <c r="R1041" s="57">
        <v>32845</v>
      </c>
      <c r="S1041" s="16">
        <v>1018</v>
      </c>
    </row>
    <row r="1042" spans="18:19" x14ac:dyDescent="0.25">
      <c r="R1042" s="57">
        <v>32852</v>
      </c>
      <c r="S1042" s="16">
        <v>981</v>
      </c>
    </row>
    <row r="1043" spans="18:19" x14ac:dyDescent="0.25">
      <c r="R1043" s="57">
        <v>32859</v>
      </c>
      <c r="S1043" s="16">
        <v>995</v>
      </c>
    </row>
    <row r="1044" spans="18:19" x14ac:dyDescent="0.25">
      <c r="R1044" s="57">
        <v>32866</v>
      </c>
      <c r="S1044" s="16">
        <v>1432</v>
      </c>
    </row>
    <row r="1045" spans="18:19" x14ac:dyDescent="0.25">
      <c r="R1045" s="57">
        <v>32867</v>
      </c>
      <c r="S1045" s="16">
        <v>1019</v>
      </c>
    </row>
    <row r="1046" spans="18:19" x14ac:dyDescent="0.25">
      <c r="R1046" s="57">
        <v>32873</v>
      </c>
      <c r="S1046" s="16">
        <v>863</v>
      </c>
    </row>
    <row r="1047" spans="18:19" x14ac:dyDescent="0.25">
      <c r="R1047" s="57">
        <v>32880</v>
      </c>
      <c r="S1047" s="16">
        <v>721</v>
      </c>
    </row>
    <row r="1048" spans="18:19" x14ac:dyDescent="0.25">
      <c r="R1048" s="57">
        <v>32887</v>
      </c>
      <c r="S1048" s="16">
        <v>866</v>
      </c>
    </row>
    <row r="1049" spans="18:19" x14ac:dyDescent="0.25">
      <c r="R1049" s="57">
        <v>32894</v>
      </c>
      <c r="S1049" s="16">
        <v>948</v>
      </c>
    </row>
    <row r="1050" spans="18:19" x14ac:dyDescent="0.25">
      <c r="R1050" s="57">
        <v>32901</v>
      </c>
      <c r="S1050" s="16">
        <v>805</v>
      </c>
    </row>
    <row r="1051" spans="18:19" x14ac:dyDescent="0.25">
      <c r="R1051" s="57">
        <v>32908</v>
      </c>
      <c r="S1051" s="16">
        <v>1052</v>
      </c>
    </row>
    <row r="1052" spans="18:19" x14ac:dyDescent="0.25">
      <c r="R1052" s="57">
        <v>32915</v>
      </c>
      <c r="S1052" s="16">
        <v>677</v>
      </c>
    </row>
    <row r="1053" spans="18:19" x14ac:dyDescent="0.25">
      <c r="R1053" s="57">
        <v>32922</v>
      </c>
      <c r="S1053" s="16">
        <v>748</v>
      </c>
    </row>
    <row r="1054" spans="18:19" x14ac:dyDescent="0.25">
      <c r="R1054" s="57">
        <v>32929</v>
      </c>
      <c r="S1054" s="16">
        <v>1149</v>
      </c>
    </row>
    <row r="1055" spans="18:19" x14ac:dyDescent="0.25">
      <c r="R1055" s="57">
        <v>32936</v>
      </c>
      <c r="S1055" s="16">
        <v>850</v>
      </c>
    </row>
    <row r="1056" spans="18:19" x14ac:dyDescent="0.25">
      <c r="R1056" s="57">
        <v>32943</v>
      </c>
      <c r="S1056" s="16">
        <v>788</v>
      </c>
    </row>
    <row r="1057" spans="18:19" x14ac:dyDescent="0.25">
      <c r="R1057" s="57">
        <v>32950</v>
      </c>
      <c r="S1057" s="16">
        <v>669</v>
      </c>
    </row>
    <row r="1058" spans="18:19" x14ac:dyDescent="0.25">
      <c r="R1058" s="57">
        <v>32957</v>
      </c>
      <c r="S1058" s="16">
        <v>799</v>
      </c>
    </row>
    <row r="1059" spans="18:19" x14ac:dyDescent="0.25">
      <c r="R1059" s="57">
        <v>32964</v>
      </c>
      <c r="S1059" s="16">
        <v>789</v>
      </c>
    </row>
    <row r="1060" spans="18:19" x14ac:dyDescent="0.25">
      <c r="R1060" s="57">
        <v>32971</v>
      </c>
      <c r="S1060" s="16">
        <v>1151</v>
      </c>
    </row>
    <row r="1061" spans="18:19" x14ac:dyDescent="0.25">
      <c r="R1061" s="57">
        <v>32978</v>
      </c>
      <c r="S1061" s="16">
        <v>686</v>
      </c>
    </row>
    <row r="1062" spans="18:19" x14ac:dyDescent="0.25">
      <c r="R1062" s="57">
        <v>32985</v>
      </c>
      <c r="S1062" s="16">
        <v>829</v>
      </c>
    </row>
    <row r="1063" spans="18:19" x14ac:dyDescent="0.25">
      <c r="R1063" s="57">
        <v>32992</v>
      </c>
      <c r="S1063" s="16">
        <v>578</v>
      </c>
    </row>
    <row r="1064" spans="18:19" x14ac:dyDescent="0.25">
      <c r="R1064" s="57">
        <v>32999</v>
      </c>
      <c r="S1064" s="16">
        <v>619</v>
      </c>
    </row>
    <row r="1065" spans="18:19" x14ac:dyDescent="0.25">
      <c r="R1065" s="57">
        <v>33006</v>
      </c>
      <c r="S1065" s="16">
        <v>1159</v>
      </c>
    </row>
    <row r="1066" spans="18:19" x14ac:dyDescent="0.25">
      <c r="R1066" s="57">
        <v>33013</v>
      </c>
      <c r="S1066" s="16">
        <v>1070</v>
      </c>
    </row>
    <row r="1067" spans="18:19" x14ac:dyDescent="0.25">
      <c r="R1067" s="57">
        <v>33020</v>
      </c>
      <c r="S1067" s="16">
        <v>968</v>
      </c>
    </row>
    <row r="1068" spans="18:19" x14ac:dyDescent="0.25">
      <c r="R1068" s="57">
        <v>33027</v>
      </c>
      <c r="S1068" s="16">
        <v>840</v>
      </c>
    </row>
    <row r="1069" spans="18:19" x14ac:dyDescent="0.25">
      <c r="R1069" s="57">
        <v>33034</v>
      </c>
      <c r="S1069" s="16">
        <v>720</v>
      </c>
    </row>
    <row r="1070" spans="18:19" x14ac:dyDescent="0.25">
      <c r="R1070" s="57">
        <v>33048</v>
      </c>
      <c r="S1070" s="16">
        <v>1035</v>
      </c>
    </row>
    <row r="1071" spans="18:19" x14ac:dyDescent="0.25">
      <c r="R1071" s="57">
        <v>33055</v>
      </c>
      <c r="S1071" s="16">
        <v>1014</v>
      </c>
    </row>
    <row r="1072" spans="18:19" x14ac:dyDescent="0.25">
      <c r="R1072" s="57">
        <v>33062</v>
      </c>
      <c r="S1072" s="16">
        <v>1067</v>
      </c>
    </row>
    <row r="1073" spans="18:19" x14ac:dyDescent="0.25">
      <c r="R1073" s="57">
        <v>33069</v>
      </c>
      <c r="S1073" s="16">
        <v>1493</v>
      </c>
    </row>
    <row r="1074" spans="18:19" x14ac:dyDescent="0.25">
      <c r="R1074" s="57">
        <v>33076</v>
      </c>
      <c r="S1074" s="16">
        <v>1211</v>
      </c>
    </row>
    <row r="1075" spans="18:19" x14ac:dyDescent="0.25">
      <c r="R1075" s="57">
        <v>33083</v>
      </c>
      <c r="S1075" s="16">
        <v>1211</v>
      </c>
    </row>
    <row r="1076" spans="18:19" x14ac:dyDescent="0.25">
      <c r="R1076" s="57">
        <v>33090</v>
      </c>
      <c r="S1076" s="16">
        <v>793</v>
      </c>
    </row>
    <row r="1077" spans="18:19" x14ac:dyDescent="0.25">
      <c r="R1077" s="57">
        <v>33097</v>
      </c>
      <c r="S1077" s="16">
        <v>783</v>
      </c>
    </row>
    <row r="1078" spans="18:19" x14ac:dyDescent="0.25">
      <c r="R1078" s="57">
        <v>33100</v>
      </c>
      <c r="S1078" s="16">
        <v>743</v>
      </c>
    </row>
    <row r="1079" spans="18:19" x14ac:dyDescent="0.25">
      <c r="R1079" s="57">
        <v>33104</v>
      </c>
      <c r="S1079" s="16">
        <v>993</v>
      </c>
    </row>
    <row r="1080" spans="18:19" x14ac:dyDescent="0.25">
      <c r="R1080" s="57">
        <v>33111</v>
      </c>
      <c r="S1080" s="16">
        <v>920</v>
      </c>
    </row>
    <row r="1081" spans="18:19" x14ac:dyDescent="0.25">
      <c r="R1081" s="57">
        <v>33118</v>
      </c>
      <c r="S1081" s="16">
        <v>750</v>
      </c>
    </row>
    <row r="1082" spans="18:19" x14ac:dyDescent="0.25">
      <c r="R1082" s="57">
        <v>33125</v>
      </c>
      <c r="S1082" s="16">
        <v>818</v>
      </c>
    </row>
    <row r="1083" spans="18:19" x14ac:dyDescent="0.25">
      <c r="R1083" s="57">
        <v>33132</v>
      </c>
      <c r="S1083" s="16">
        <v>900</v>
      </c>
    </row>
    <row r="1084" spans="18:19" x14ac:dyDescent="0.25">
      <c r="R1084" s="57">
        <v>33139</v>
      </c>
      <c r="S1084" s="16">
        <v>892</v>
      </c>
    </row>
    <row r="1085" spans="18:19" x14ac:dyDescent="0.25">
      <c r="R1085" s="57">
        <v>33146</v>
      </c>
      <c r="S1085" s="16">
        <v>918</v>
      </c>
    </row>
    <row r="1086" spans="18:19" x14ac:dyDescent="0.25">
      <c r="R1086" s="57">
        <v>33153</v>
      </c>
      <c r="S1086" s="16">
        <v>913</v>
      </c>
    </row>
    <row r="1087" spans="18:19" x14ac:dyDescent="0.25">
      <c r="R1087" s="57">
        <v>33160</v>
      </c>
      <c r="S1087" s="16">
        <v>784</v>
      </c>
    </row>
    <row r="1088" spans="18:19" x14ac:dyDescent="0.25">
      <c r="R1088" s="57">
        <v>33167</v>
      </c>
      <c r="S1088" s="16">
        <v>810</v>
      </c>
    </row>
    <row r="1089" spans="18:19" x14ac:dyDescent="0.25">
      <c r="R1089" s="57">
        <v>33174</v>
      </c>
      <c r="S1089" s="16">
        <v>926</v>
      </c>
    </row>
    <row r="1090" spans="18:19" x14ac:dyDescent="0.25">
      <c r="R1090" s="57">
        <v>33178</v>
      </c>
      <c r="S1090" s="16">
        <v>906</v>
      </c>
    </row>
    <row r="1091" spans="18:19" x14ac:dyDescent="0.25">
      <c r="R1091" s="57">
        <v>33181</v>
      </c>
      <c r="S1091" s="16">
        <v>1392</v>
      </c>
    </row>
    <row r="1092" spans="18:19" x14ac:dyDescent="0.25">
      <c r="R1092" s="57">
        <v>33188</v>
      </c>
      <c r="S1092" s="16">
        <v>543</v>
      </c>
    </row>
    <row r="1093" spans="18:19" x14ac:dyDescent="0.25">
      <c r="R1093" s="57">
        <v>33195</v>
      </c>
      <c r="S1093" s="16">
        <v>757</v>
      </c>
    </row>
    <row r="1094" spans="18:19" x14ac:dyDescent="0.25">
      <c r="R1094" s="57">
        <v>33202</v>
      </c>
      <c r="S1094" s="16">
        <v>841</v>
      </c>
    </row>
    <row r="1095" spans="18:19" x14ac:dyDescent="0.25">
      <c r="R1095" s="57">
        <v>33209</v>
      </c>
      <c r="S1095" s="16">
        <v>673</v>
      </c>
    </row>
    <row r="1096" spans="18:19" x14ac:dyDescent="0.25">
      <c r="R1096" s="57">
        <v>33216</v>
      </c>
      <c r="S1096" s="16">
        <v>827</v>
      </c>
    </row>
    <row r="1097" spans="18:19" x14ac:dyDescent="0.25">
      <c r="R1097" s="57">
        <v>33223</v>
      </c>
      <c r="S1097" s="16">
        <v>756</v>
      </c>
    </row>
    <row r="1098" spans="18:19" x14ac:dyDescent="0.25">
      <c r="R1098" s="57">
        <v>33230</v>
      </c>
      <c r="S1098" s="16">
        <v>759</v>
      </c>
    </row>
    <row r="1099" spans="18:19" x14ac:dyDescent="0.25">
      <c r="R1099" s="57">
        <v>33231</v>
      </c>
      <c r="S1099" s="16">
        <v>1137</v>
      </c>
    </row>
    <row r="1100" spans="18:19" x14ac:dyDescent="0.25">
      <c r="R1100" s="57">
        <v>33232</v>
      </c>
      <c r="S1100" s="16">
        <v>1155</v>
      </c>
    </row>
    <row r="1101" spans="18:19" x14ac:dyDescent="0.25">
      <c r="R1101" s="57">
        <v>33237</v>
      </c>
      <c r="S1101" s="16">
        <v>1029</v>
      </c>
    </row>
    <row r="1102" spans="18:19" x14ac:dyDescent="0.25">
      <c r="R1102" s="57">
        <v>33244</v>
      </c>
      <c r="S1102" s="16">
        <v>927</v>
      </c>
    </row>
    <row r="1103" spans="18:19" x14ac:dyDescent="0.25">
      <c r="R1103" s="57">
        <v>33251</v>
      </c>
      <c r="S1103" s="16">
        <v>837</v>
      </c>
    </row>
    <row r="1104" spans="18:19" x14ac:dyDescent="0.25">
      <c r="R1104" s="57">
        <v>33258</v>
      </c>
      <c r="S1104" s="16">
        <v>412</v>
      </c>
    </row>
    <row r="1105" spans="18:19" x14ac:dyDescent="0.25">
      <c r="R1105" s="57">
        <v>33265</v>
      </c>
      <c r="S1105" s="16">
        <v>600</v>
      </c>
    </row>
    <row r="1106" spans="18:19" x14ac:dyDescent="0.25">
      <c r="R1106" s="57">
        <v>33272</v>
      </c>
      <c r="S1106" s="16">
        <v>1274</v>
      </c>
    </row>
    <row r="1107" spans="18:19" x14ac:dyDescent="0.25">
      <c r="R1107" s="57">
        <v>33279</v>
      </c>
      <c r="S1107" s="16">
        <v>1058</v>
      </c>
    </row>
    <row r="1108" spans="18:19" x14ac:dyDescent="0.25">
      <c r="R1108" s="57">
        <v>33286</v>
      </c>
      <c r="S1108" s="16">
        <v>1112</v>
      </c>
    </row>
    <row r="1109" spans="18:19" x14ac:dyDescent="0.25">
      <c r="R1109" s="57">
        <v>33293</v>
      </c>
      <c r="S1109" s="16">
        <v>846</v>
      </c>
    </row>
    <row r="1110" spans="18:19" x14ac:dyDescent="0.25">
      <c r="R1110" s="57">
        <v>33300</v>
      </c>
      <c r="S1110" s="16">
        <v>967</v>
      </c>
    </row>
    <row r="1111" spans="18:19" x14ac:dyDescent="0.25">
      <c r="R1111" s="57">
        <v>33307</v>
      </c>
      <c r="S1111" s="16">
        <v>985</v>
      </c>
    </row>
    <row r="1112" spans="18:19" x14ac:dyDescent="0.25">
      <c r="R1112" s="57">
        <v>33314</v>
      </c>
      <c r="S1112" s="16">
        <v>1077</v>
      </c>
    </row>
    <row r="1113" spans="18:19" x14ac:dyDescent="0.25">
      <c r="R1113" s="57">
        <v>33321</v>
      </c>
      <c r="S1113" s="16">
        <v>622</v>
      </c>
    </row>
    <row r="1114" spans="18:19" x14ac:dyDescent="0.25">
      <c r="R1114" s="57">
        <v>33328</v>
      </c>
      <c r="S1114" s="16">
        <v>906</v>
      </c>
    </row>
    <row r="1115" spans="18:19" x14ac:dyDescent="0.25">
      <c r="R1115" s="57">
        <v>33335</v>
      </c>
      <c r="S1115" s="16">
        <v>877</v>
      </c>
    </row>
    <row r="1116" spans="18:19" x14ac:dyDescent="0.25">
      <c r="R1116" s="57">
        <v>33342</v>
      </c>
      <c r="S1116" s="16">
        <v>1165</v>
      </c>
    </row>
    <row r="1117" spans="18:19" x14ac:dyDescent="0.25">
      <c r="R1117" s="57">
        <v>33349</v>
      </c>
      <c r="S1117" s="16">
        <v>991</v>
      </c>
    </row>
    <row r="1118" spans="18:19" x14ac:dyDescent="0.25">
      <c r="R1118" s="57">
        <v>33356</v>
      </c>
      <c r="S1118" s="16">
        <v>844</v>
      </c>
    </row>
    <row r="1119" spans="18:19" x14ac:dyDescent="0.25">
      <c r="R1119" s="57">
        <v>33363</v>
      </c>
      <c r="S1119" s="16">
        <v>1181</v>
      </c>
    </row>
    <row r="1120" spans="18:19" x14ac:dyDescent="0.25">
      <c r="R1120" s="57">
        <v>33370</v>
      </c>
      <c r="S1120" s="16">
        <v>882</v>
      </c>
    </row>
    <row r="1121" spans="18:19" x14ac:dyDescent="0.25">
      <c r="R1121" s="57">
        <v>33377</v>
      </c>
      <c r="S1121" s="16">
        <v>934</v>
      </c>
    </row>
    <row r="1122" spans="18:19" x14ac:dyDescent="0.25">
      <c r="R1122" s="57">
        <v>33384</v>
      </c>
      <c r="S1122" s="16">
        <v>807</v>
      </c>
    </row>
    <row r="1123" spans="18:19" x14ac:dyDescent="0.25">
      <c r="R1123" s="57">
        <v>33391</v>
      </c>
      <c r="S1123" s="16">
        <v>626</v>
      </c>
    </row>
    <row r="1124" spans="18:19" x14ac:dyDescent="0.25">
      <c r="R1124" s="57">
        <v>33398</v>
      </c>
      <c r="S1124" s="16">
        <v>1180</v>
      </c>
    </row>
    <row r="1125" spans="18:19" x14ac:dyDescent="0.25">
      <c r="R1125" s="57">
        <v>33405</v>
      </c>
      <c r="S1125" s="16">
        <v>781</v>
      </c>
    </row>
    <row r="1126" spans="18:19" x14ac:dyDescent="0.25">
      <c r="R1126" s="57">
        <v>33412</v>
      </c>
      <c r="S1126" s="16">
        <v>695</v>
      </c>
    </row>
    <row r="1127" spans="18:19" x14ac:dyDescent="0.25">
      <c r="R1127" s="57">
        <v>33419</v>
      </c>
      <c r="S1127" s="16">
        <v>908</v>
      </c>
    </row>
    <row r="1128" spans="18:19" x14ac:dyDescent="0.25">
      <c r="R1128" s="57">
        <v>33426</v>
      </c>
      <c r="S1128" s="16">
        <v>988</v>
      </c>
    </row>
    <row r="1129" spans="18:19" x14ac:dyDescent="0.25">
      <c r="R1129" s="57">
        <v>33433</v>
      </c>
      <c r="S1129" s="16">
        <v>899</v>
      </c>
    </row>
    <row r="1130" spans="18:19" x14ac:dyDescent="0.25">
      <c r="R1130" s="57">
        <v>33440</v>
      </c>
      <c r="S1130" s="16">
        <v>743</v>
      </c>
    </row>
    <row r="1131" spans="18:19" x14ac:dyDescent="0.25">
      <c r="R1131" s="57">
        <v>33447</v>
      </c>
      <c r="S1131" s="16">
        <v>1240</v>
      </c>
    </row>
    <row r="1132" spans="18:19" x14ac:dyDescent="0.25">
      <c r="R1132" s="57">
        <v>33454</v>
      </c>
      <c r="S1132" s="16">
        <v>1142</v>
      </c>
    </row>
    <row r="1133" spans="18:19" x14ac:dyDescent="0.25">
      <c r="R1133" s="57">
        <v>33461</v>
      </c>
      <c r="S1133" s="16">
        <v>1318</v>
      </c>
    </row>
    <row r="1134" spans="18:19" x14ac:dyDescent="0.25">
      <c r="R1134" s="57">
        <v>33465</v>
      </c>
      <c r="S1134" s="16">
        <v>2491</v>
      </c>
    </row>
    <row r="1135" spans="18:19" x14ac:dyDescent="0.25">
      <c r="R1135" s="57">
        <v>33468</v>
      </c>
      <c r="S1135" s="16">
        <v>1149</v>
      </c>
    </row>
    <row r="1136" spans="18:19" x14ac:dyDescent="0.25">
      <c r="R1136" s="57">
        <v>33475</v>
      </c>
      <c r="S1136" s="16">
        <v>1299</v>
      </c>
    </row>
    <row r="1137" spans="18:19" x14ac:dyDescent="0.25">
      <c r="R1137" s="57">
        <v>33482</v>
      </c>
      <c r="S1137" s="16">
        <v>1087</v>
      </c>
    </row>
    <row r="1138" spans="18:19" x14ac:dyDescent="0.25">
      <c r="R1138" s="57">
        <v>33489</v>
      </c>
      <c r="S1138" s="16">
        <v>660</v>
      </c>
    </row>
    <row r="1139" spans="18:19" x14ac:dyDescent="0.25">
      <c r="R1139" s="57">
        <v>33496</v>
      </c>
      <c r="S1139" s="16">
        <v>1068</v>
      </c>
    </row>
    <row r="1140" spans="18:19" x14ac:dyDescent="0.25">
      <c r="R1140" s="57">
        <v>33503</v>
      </c>
      <c r="S1140" s="16">
        <v>885</v>
      </c>
    </row>
    <row r="1141" spans="18:19" x14ac:dyDescent="0.25">
      <c r="R1141" s="57">
        <v>33510</v>
      </c>
      <c r="S1141" s="16">
        <v>782</v>
      </c>
    </row>
    <row r="1142" spans="18:19" x14ac:dyDescent="0.25">
      <c r="R1142" s="57">
        <v>33517</v>
      </c>
      <c r="S1142" s="16">
        <v>628</v>
      </c>
    </row>
    <row r="1143" spans="18:19" x14ac:dyDescent="0.25">
      <c r="R1143" s="57">
        <v>33524</v>
      </c>
      <c r="S1143" s="16">
        <v>950</v>
      </c>
    </row>
    <row r="1144" spans="18:19" x14ac:dyDescent="0.25">
      <c r="R1144" s="57">
        <v>33531</v>
      </c>
      <c r="S1144" s="16">
        <v>906</v>
      </c>
    </row>
    <row r="1145" spans="18:19" x14ac:dyDescent="0.25">
      <c r="R1145" s="57">
        <v>33538</v>
      </c>
      <c r="S1145" s="16">
        <v>806</v>
      </c>
    </row>
    <row r="1146" spans="18:19" x14ac:dyDescent="0.25">
      <c r="R1146" s="57">
        <v>33543</v>
      </c>
      <c r="S1146" s="16">
        <v>828</v>
      </c>
    </row>
    <row r="1147" spans="18:19" x14ac:dyDescent="0.25">
      <c r="R1147" s="57">
        <v>33545</v>
      </c>
      <c r="S1147" s="16">
        <v>888</v>
      </c>
    </row>
    <row r="1148" spans="18:19" x14ac:dyDescent="0.25">
      <c r="R1148" s="57">
        <v>33552</v>
      </c>
      <c r="S1148" s="16">
        <v>625</v>
      </c>
    </row>
    <row r="1149" spans="18:19" x14ac:dyDescent="0.25">
      <c r="R1149" s="57">
        <v>33559</v>
      </c>
      <c r="S1149" s="16">
        <v>823</v>
      </c>
    </row>
    <row r="1150" spans="18:19" x14ac:dyDescent="0.25">
      <c r="R1150" s="57">
        <v>33566</v>
      </c>
      <c r="S1150" s="16">
        <v>863</v>
      </c>
    </row>
    <row r="1151" spans="18:19" x14ac:dyDescent="0.25">
      <c r="R1151" s="57">
        <v>33573</v>
      </c>
      <c r="S1151" s="16">
        <v>908</v>
      </c>
    </row>
    <row r="1152" spans="18:19" x14ac:dyDescent="0.25">
      <c r="R1152" s="57">
        <v>33580</v>
      </c>
      <c r="S1152" s="16">
        <v>752</v>
      </c>
    </row>
    <row r="1153" spans="18:19" x14ac:dyDescent="0.25">
      <c r="R1153" s="57">
        <v>33587</v>
      </c>
      <c r="S1153" s="16">
        <v>684</v>
      </c>
    </row>
    <row r="1154" spans="18:19" x14ac:dyDescent="0.25">
      <c r="R1154" s="57">
        <v>33594</v>
      </c>
      <c r="S1154" s="16">
        <v>672</v>
      </c>
    </row>
    <row r="1155" spans="18:19" x14ac:dyDescent="0.25">
      <c r="R1155" s="57">
        <v>33596</v>
      </c>
      <c r="S1155" s="16">
        <v>825</v>
      </c>
    </row>
    <row r="1156" spans="18:19" x14ac:dyDescent="0.25">
      <c r="R1156" s="57">
        <v>33597</v>
      </c>
      <c r="S1156" s="16">
        <v>666</v>
      </c>
    </row>
    <row r="1157" spans="18:19" x14ac:dyDescent="0.25">
      <c r="R1157" s="57">
        <v>33601</v>
      </c>
      <c r="S1157" s="16">
        <v>902</v>
      </c>
    </row>
    <row r="1158" spans="18:19" x14ac:dyDescent="0.25">
      <c r="R1158" s="57">
        <v>33608</v>
      </c>
      <c r="S1158" s="16">
        <v>1008</v>
      </c>
    </row>
    <row r="1159" spans="18:19" x14ac:dyDescent="0.25">
      <c r="R1159" s="57">
        <v>33615</v>
      </c>
      <c r="S1159" s="16">
        <v>1312</v>
      </c>
    </row>
    <row r="1160" spans="18:19" x14ac:dyDescent="0.25">
      <c r="R1160" s="57">
        <v>33622</v>
      </c>
      <c r="S1160" s="16">
        <v>590</v>
      </c>
    </row>
    <row r="1161" spans="18:19" x14ac:dyDescent="0.25">
      <c r="R1161" s="57">
        <v>33629</v>
      </c>
      <c r="S1161" s="16">
        <v>966</v>
      </c>
    </row>
    <row r="1162" spans="18:19" x14ac:dyDescent="0.25">
      <c r="R1162" s="57">
        <v>33636</v>
      </c>
      <c r="S1162" s="16">
        <v>840</v>
      </c>
    </row>
    <row r="1163" spans="18:19" x14ac:dyDescent="0.25">
      <c r="R1163" s="57">
        <v>33643</v>
      </c>
      <c r="S1163" s="16">
        <v>800</v>
      </c>
    </row>
    <row r="1164" spans="18:19" x14ac:dyDescent="0.25">
      <c r="R1164" s="57">
        <v>33650</v>
      </c>
      <c r="S1164" s="16">
        <v>357</v>
      </c>
    </row>
    <row r="1165" spans="18:19" x14ac:dyDescent="0.25">
      <c r="R1165" s="57">
        <v>33657</v>
      </c>
      <c r="S1165" s="16">
        <v>1049</v>
      </c>
    </row>
    <row r="1166" spans="18:19" x14ac:dyDescent="0.25">
      <c r="R1166" s="57">
        <v>33664</v>
      </c>
      <c r="S1166" s="16">
        <v>639</v>
      </c>
    </row>
    <row r="1167" spans="18:19" x14ac:dyDescent="0.25">
      <c r="R1167" s="57">
        <v>33671</v>
      </c>
      <c r="S1167" s="16">
        <v>1109</v>
      </c>
    </row>
    <row r="1168" spans="18:19" x14ac:dyDescent="0.25">
      <c r="R1168" s="57">
        <v>33678</v>
      </c>
      <c r="S1168" s="16">
        <v>1004</v>
      </c>
    </row>
    <row r="1169" spans="18:19" x14ac:dyDescent="0.25">
      <c r="R1169" s="57">
        <v>33685</v>
      </c>
      <c r="S1169" s="16">
        <v>900</v>
      </c>
    </row>
    <row r="1170" spans="18:19" x14ac:dyDescent="0.25">
      <c r="R1170" s="57">
        <v>33692</v>
      </c>
      <c r="S1170" s="16">
        <v>934</v>
      </c>
    </row>
    <row r="1171" spans="18:19" x14ac:dyDescent="0.25">
      <c r="R1171" s="57">
        <v>33699</v>
      </c>
      <c r="S1171" s="16">
        <v>1049</v>
      </c>
    </row>
    <row r="1172" spans="18:19" x14ac:dyDescent="0.25">
      <c r="R1172" s="57">
        <v>33706</v>
      </c>
      <c r="S1172" s="16">
        <v>1509</v>
      </c>
    </row>
    <row r="1173" spans="18:19" x14ac:dyDescent="0.25">
      <c r="R1173" s="57">
        <v>33713</v>
      </c>
      <c r="S1173" s="16">
        <v>891</v>
      </c>
    </row>
    <row r="1174" spans="18:19" x14ac:dyDescent="0.25">
      <c r="R1174" s="57">
        <v>33720</v>
      </c>
      <c r="S1174" s="16">
        <v>988</v>
      </c>
    </row>
    <row r="1175" spans="18:19" x14ac:dyDescent="0.25">
      <c r="R1175" s="57">
        <v>33727</v>
      </c>
      <c r="S1175" s="16">
        <v>988</v>
      </c>
    </row>
    <row r="1176" spans="18:19" x14ac:dyDescent="0.25">
      <c r="R1176" s="57">
        <v>33734</v>
      </c>
      <c r="S1176" s="16">
        <v>782</v>
      </c>
    </row>
    <row r="1177" spans="18:19" x14ac:dyDescent="0.25">
      <c r="R1177" s="57">
        <v>33741</v>
      </c>
      <c r="S1177" s="16">
        <v>836</v>
      </c>
    </row>
    <row r="1178" spans="18:19" x14ac:dyDescent="0.25">
      <c r="R1178" s="57">
        <v>33748</v>
      </c>
      <c r="S1178" s="16">
        <v>1023</v>
      </c>
    </row>
    <row r="1179" spans="18:19" x14ac:dyDescent="0.25">
      <c r="R1179" s="57">
        <v>33755</v>
      </c>
      <c r="S1179" s="16">
        <v>1049</v>
      </c>
    </row>
    <row r="1180" spans="18:19" x14ac:dyDescent="0.25">
      <c r="R1180" s="57">
        <v>33762</v>
      </c>
      <c r="S1180" s="16">
        <v>856</v>
      </c>
    </row>
    <row r="1181" spans="18:19" x14ac:dyDescent="0.25">
      <c r="R1181" s="57">
        <v>33769</v>
      </c>
      <c r="S1181" s="16">
        <v>688</v>
      </c>
    </row>
    <row r="1182" spans="18:19" x14ac:dyDescent="0.25">
      <c r="R1182" s="57">
        <v>33776</v>
      </c>
      <c r="S1182" s="16">
        <v>808</v>
      </c>
    </row>
    <row r="1183" spans="18:19" x14ac:dyDescent="0.25">
      <c r="R1183" s="57">
        <v>33783</v>
      </c>
      <c r="S1183" s="16">
        <v>704</v>
      </c>
    </row>
    <row r="1184" spans="18:19" x14ac:dyDescent="0.25">
      <c r="R1184" s="57">
        <v>33790</v>
      </c>
      <c r="S1184" s="16">
        <v>990</v>
      </c>
    </row>
    <row r="1185" spans="18:19" x14ac:dyDescent="0.25">
      <c r="R1185" s="57">
        <v>33797</v>
      </c>
      <c r="S1185" s="16">
        <v>1053</v>
      </c>
    </row>
    <row r="1186" spans="18:19" x14ac:dyDescent="0.25">
      <c r="R1186" s="57">
        <v>33804</v>
      </c>
      <c r="S1186" s="16">
        <v>1047</v>
      </c>
    </row>
    <row r="1187" spans="18:19" x14ac:dyDescent="0.25">
      <c r="R1187" s="57">
        <v>33811</v>
      </c>
      <c r="S1187" s="16">
        <v>958</v>
      </c>
    </row>
    <row r="1188" spans="18:19" x14ac:dyDescent="0.25">
      <c r="R1188" s="57">
        <v>33818</v>
      </c>
      <c r="S1188" s="16">
        <v>920</v>
      </c>
    </row>
    <row r="1189" spans="18:19" x14ac:dyDescent="0.25">
      <c r="R1189" s="57">
        <v>33825</v>
      </c>
      <c r="S1189" s="16">
        <v>819</v>
      </c>
    </row>
    <row r="1190" spans="18:19" x14ac:dyDescent="0.25">
      <c r="R1190" s="57">
        <v>33831</v>
      </c>
      <c r="S1190" s="16">
        <v>1158</v>
      </c>
    </row>
    <row r="1191" spans="18:19" x14ac:dyDescent="0.25">
      <c r="R1191" s="57">
        <v>33832</v>
      </c>
      <c r="S1191" s="16">
        <v>914</v>
      </c>
    </row>
    <row r="1192" spans="18:19" x14ac:dyDescent="0.25">
      <c r="R1192" s="57">
        <v>33839</v>
      </c>
      <c r="S1192" s="16">
        <v>782</v>
      </c>
    </row>
    <row r="1193" spans="18:19" x14ac:dyDescent="0.25">
      <c r="R1193" s="57">
        <v>33846</v>
      </c>
      <c r="S1193" s="16">
        <v>849</v>
      </c>
    </row>
    <row r="1194" spans="18:19" x14ac:dyDescent="0.25">
      <c r="R1194" s="57">
        <v>33853</v>
      </c>
      <c r="S1194" s="16">
        <v>816</v>
      </c>
    </row>
    <row r="1195" spans="18:19" x14ac:dyDescent="0.25">
      <c r="R1195" s="57">
        <v>33860</v>
      </c>
      <c r="S1195" s="16">
        <v>1471</v>
      </c>
    </row>
    <row r="1196" spans="18:19" x14ac:dyDescent="0.25">
      <c r="R1196" s="57">
        <v>33867</v>
      </c>
      <c r="S1196" s="16">
        <v>1066</v>
      </c>
    </row>
    <row r="1197" spans="18:19" x14ac:dyDescent="0.25">
      <c r="R1197" s="57">
        <v>33874</v>
      </c>
      <c r="S1197" s="16">
        <v>951</v>
      </c>
    </row>
    <row r="1198" spans="18:19" x14ac:dyDescent="0.25">
      <c r="R1198" s="57">
        <v>33881</v>
      </c>
      <c r="S1198" s="16">
        <v>874</v>
      </c>
    </row>
    <row r="1199" spans="18:19" x14ac:dyDescent="0.25">
      <c r="R1199" s="57">
        <v>33888</v>
      </c>
      <c r="S1199" s="16">
        <v>874</v>
      </c>
    </row>
    <row r="1200" spans="18:19" x14ac:dyDescent="0.25">
      <c r="R1200" s="57">
        <v>33895</v>
      </c>
      <c r="S1200" s="16">
        <v>1079</v>
      </c>
    </row>
    <row r="1201" spans="18:19" x14ac:dyDescent="0.25">
      <c r="R1201" s="57">
        <v>33902</v>
      </c>
      <c r="S1201" s="16">
        <v>701</v>
      </c>
    </row>
    <row r="1202" spans="18:19" x14ac:dyDescent="0.25">
      <c r="R1202" s="57">
        <v>33909</v>
      </c>
      <c r="S1202" s="16">
        <v>639</v>
      </c>
    </row>
    <row r="1203" spans="18:19" x14ac:dyDescent="0.25">
      <c r="R1203" s="57">
        <v>33916</v>
      </c>
      <c r="S1203" s="16">
        <v>966</v>
      </c>
    </row>
    <row r="1204" spans="18:19" x14ac:dyDescent="0.25">
      <c r="R1204" s="57">
        <v>33923</v>
      </c>
      <c r="S1204" s="16">
        <v>608</v>
      </c>
    </row>
    <row r="1205" spans="18:19" x14ac:dyDescent="0.25">
      <c r="R1205" s="57">
        <v>33930</v>
      </c>
      <c r="S1205" s="16">
        <v>1044</v>
      </c>
    </row>
    <row r="1206" spans="18:19" x14ac:dyDescent="0.25">
      <c r="R1206" s="57">
        <v>33937</v>
      </c>
      <c r="S1206" s="16">
        <v>785</v>
      </c>
    </row>
    <row r="1207" spans="18:19" x14ac:dyDescent="0.25">
      <c r="R1207" s="57">
        <v>33944</v>
      </c>
      <c r="S1207" s="16">
        <v>950</v>
      </c>
    </row>
    <row r="1208" spans="18:19" x14ac:dyDescent="0.25">
      <c r="R1208" s="57">
        <v>33951</v>
      </c>
      <c r="S1208" s="16">
        <v>794</v>
      </c>
    </row>
    <row r="1209" spans="18:19" x14ac:dyDescent="0.25">
      <c r="R1209" s="57">
        <v>33958</v>
      </c>
      <c r="S1209" s="16">
        <v>736</v>
      </c>
    </row>
    <row r="1210" spans="18:19" x14ac:dyDescent="0.25">
      <c r="R1210" s="57">
        <v>33962</v>
      </c>
      <c r="S1210" s="16">
        <v>804</v>
      </c>
    </row>
    <row r="1211" spans="18:19" x14ac:dyDescent="0.25">
      <c r="R1211" s="57">
        <v>33963</v>
      </c>
      <c r="S1211" s="16">
        <v>869</v>
      </c>
    </row>
    <row r="1212" spans="18:19" x14ac:dyDescent="0.25">
      <c r="R1212" s="57">
        <v>33965</v>
      </c>
      <c r="S1212" s="16">
        <v>1071</v>
      </c>
    </row>
    <row r="1213" spans="18:19" x14ac:dyDescent="0.25">
      <c r="R1213" s="57">
        <v>33972</v>
      </c>
      <c r="S1213" s="16">
        <v>759</v>
      </c>
    </row>
    <row r="1214" spans="18:19" x14ac:dyDescent="0.25">
      <c r="R1214" s="57">
        <v>33979</v>
      </c>
      <c r="S1214" s="16">
        <v>963</v>
      </c>
    </row>
    <row r="1215" spans="18:19" x14ac:dyDescent="0.25">
      <c r="R1215" s="57">
        <v>33986</v>
      </c>
      <c r="S1215" s="16">
        <v>1025</v>
      </c>
    </row>
    <row r="1216" spans="18:19" x14ac:dyDescent="0.25">
      <c r="R1216" s="57">
        <v>33993</v>
      </c>
      <c r="S1216" s="16">
        <v>1082</v>
      </c>
    </row>
    <row r="1217" spans="18:19" x14ac:dyDescent="0.25">
      <c r="R1217" s="57">
        <v>34000</v>
      </c>
      <c r="S1217" s="16">
        <v>798</v>
      </c>
    </row>
    <row r="1218" spans="18:19" x14ac:dyDescent="0.25">
      <c r="R1218" s="57">
        <v>34007</v>
      </c>
      <c r="S1218" s="16">
        <v>799</v>
      </c>
    </row>
    <row r="1219" spans="18:19" x14ac:dyDescent="0.25">
      <c r="R1219" s="57">
        <v>34014</v>
      </c>
      <c r="S1219" s="16">
        <v>922</v>
      </c>
    </row>
    <row r="1220" spans="18:19" x14ac:dyDescent="0.25">
      <c r="R1220" s="57">
        <v>34021</v>
      </c>
      <c r="S1220" s="16">
        <v>748</v>
      </c>
    </row>
    <row r="1221" spans="18:19" x14ac:dyDescent="0.25">
      <c r="R1221" s="57">
        <v>34028</v>
      </c>
      <c r="S1221" s="16">
        <v>1058</v>
      </c>
    </row>
    <row r="1222" spans="18:19" x14ac:dyDescent="0.25">
      <c r="R1222" s="57">
        <v>34035</v>
      </c>
      <c r="S1222" s="16">
        <v>972</v>
      </c>
    </row>
    <row r="1223" spans="18:19" x14ac:dyDescent="0.25">
      <c r="R1223" s="57">
        <v>34042</v>
      </c>
      <c r="S1223" s="16">
        <v>1058</v>
      </c>
    </row>
    <row r="1224" spans="18:19" x14ac:dyDescent="0.25">
      <c r="R1224" s="57">
        <v>34049</v>
      </c>
      <c r="S1224" s="16">
        <v>1017</v>
      </c>
    </row>
    <row r="1225" spans="18:19" x14ac:dyDescent="0.25">
      <c r="R1225" s="57">
        <v>34056</v>
      </c>
      <c r="S1225" s="16">
        <v>1003</v>
      </c>
    </row>
    <row r="1226" spans="18:19" x14ac:dyDescent="0.25">
      <c r="R1226" s="57">
        <v>34063</v>
      </c>
      <c r="S1226" s="16">
        <v>784</v>
      </c>
    </row>
    <row r="1227" spans="18:19" x14ac:dyDescent="0.25">
      <c r="R1227" s="57">
        <v>34070</v>
      </c>
      <c r="S1227" s="16">
        <v>781</v>
      </c>
    </row>
    <row r="1228" spans="18:19" x14ac:dyDescent="0.25">
      <c r="R1228" s="57">
        <v>34077</v>
      </c>
      <c r="S1228" s="16">
        <v>863</v>
      </c>
    </row>
    <row r="1229" spans="18:19" x14ac:dyDescent="0.25">
      <c r="R1229" s="57">
        <v>34084</v>
      </c>
      <c r="S1229" s="16">
        <v>748</v>
      </c>
    </row>
    <row r="1230" spans="18:19" x14ac:dyDescent="0.25">
      <c r="R1230" s="57">
        <v>34091</v>
      </c>
      <c r="S1230" s="16">
        <v>930</v>
      </c>
    </row>
    <row r="1231" spans="18:19" x14ac:dyDescent="0.25">
      <c r="R1231" s="57">
        <v>34098</v>
      </c>
      <c r="S1231" s="16">
        <v>909</v>
      </c>
    </row>
    <row r="1232" spans="18:19" x14ac:dyDescent="0.25">
      <c r="R1232" s="57">
        <v>34105</v>
      </c>
      <c r="S1232" s="16">
        <v>1066</v>
      </c>
    </row>
    <row r="1233" spans="18:19" x14ac:dyDescent="0.25">
      <c r="R1233" s="57">
        <v>34112</v>
      </c>
      <c r="S1233" s="16">
        <v>933</v>
      </c>
    </row>
    <row r="1234" spans="18:19" x14ac:dyDescent="0.25">
      <c r="R1234" s="57">
        <v>34119</v>
      </c>
      <c r="S1234" s="16">
        <v>572</v>
      </c>
    </row>
    <row r="1235" spans="18:19" x14ac:dyDescent="0.25">
      <c r="R1235" s="57">
        <v>34126</v>
      </c>
      <c r="S1235" s="16">
        <v>880</v>
      </c>
    </row>
    <row r="1236" spans="18:19" x14ac:dyDescent="0.25">
      <c r="R1236" s="57">
        <v>34133</v>
      </c>
      <c r="S1236" s="16">
        <v>1095</v>
      </c>
    </row>
    <row r="1237" spans="18:19" x14ac:dyDescent="0.25">
      <c r="R1237" s="57">
        <v>34140</v>
      </c>
      <c r="S1237" s="16">
        <v>912</v>
      </c>
    </row>
    <row r="1238" spans="18:19" x14ac:dyDescent="0.25">
      <c r="R1238" s="57">
        <v>34147</v>
      </c>
      <c r="S1238" s="16">
        <v>838</v>
      </c>
    </row>
    <row r="1239" spans="18:19" x14ac:dyDescent="0.25">
      <c r="R1239" s="57">
        <v>34154</v>
      </c>
      <c r="S1239" s="16">
        <v>1064</v>
      </c>
    </row>
    <row r="1240" spans="18:19" x14ac:dyDescent="0.25">
      <c r="R1240" s="57">
        <v>34161</v>
      </c>
      <c r="S1240" s="16">
        <v>861</v>
      </c>
    </row>
    <row r="1241" spans="18:19" x14ac:dyDescent="0.25">
      <c r="R1241" s="57">
        <v>34168</v>
      </c>
      <c r="S1241" s="16">
        <v>871</v>
      </c>
    </row>
    <row r="1242" spans="18:19" x14ac:dyDescent="0.25">
      <c r="R1242" s="57">
        <v>34175</v>
      </c>
      <c r="S1242" s="16">
        <v>706</v>
      </c>
    </row>
    <row r="1243" spans="18:19" x14ac:dyDescent="0.25">
      <c r="R1243" s="57">
        <v>34182</v>
      </c>
      <c r="S1243" s="16">
        <v>754</v>
      </c>
    </row>
    <row r="1244" spans="18:19" x14ac:dyDescent="0.25">
      <c r="R1244" s="57">
        <v>34189</v>
      </c>
      <c r="S1244" s="16">
        <v>998</v>
      </c>
    </row>
    <row r="1245" spans="18:19" x14ac:dyDescent="0.25">
      <c r="R1245" s="57">
        <v>34196</v>
      </c>
      <c r="S1245" s="16">
        <v>998</v>
      </c>
    </row>
    <row r="1246" spans="18:19" x14ac:dyDescent="0.25">
      <c r="R1246" s="57">
        <v>34203</v>
      </c>
      <c r="S1246" s="16">
        <v>765</v>
      </c>
    </row>
    <row r="1247" spans="18:19" x14ac:dyDescent="0.25">
      <c r="R1247" s="57">
        <v>34210</v>
      </c>
      <c r="S1247" s="16">
        <v>943</v>
      </c>
    </row>
    <row r="1248" spans="18:19" x14ac:dyDescent="0.25">
      <c r="R1248" s="57">
        <v>34217</v>
      </c>
      <c r="S1248" s="16">
        <v>928</v>
      </c>
    </row>
    <row r="1249" spans="18:19" x14ac:dyDescent="0.25">
      <c r="R1249" s="57">
        <v>34224</v>
      </c>
      <c r="S1249" s="16">
        <v>959</v>
      </c>
    </row>
    <row r="1250" spans="18:19" x14ac:dyDescent="0.25">
      <c r="R1250" s="57">
        <v>34231</v>
      </c>
      <c r="S1250" s="16">
        <v>999</v>
      </c>
    </row>
    <row r="1251" spans="18:19" x14ac:dyDescent="0.25">
      <c r="R1251" s="57">
        <v>34238</v>
      </c>
      <c r="S1251" s="16">
        <v>726</v>
      </c>
    </row>
    <row r="1252" spans="18:19" x14ac:dyDescent="0.25">
      <c r="R1252" s="57">
        <v>34245</v>
      </c>
      <c r="S1252" s="16">
        <v>941</v>
      </c>
    </row>
    <row r="1253" spans="18:19" x14ac:dyDescent="0.25">
      <c r="R1253" s="57">
        <v>34252</v>
      </c>
      <c r="S1253" s="16">
        <v>847</v>
      </c>
    </row>
    <row r="1254" spans="18:19" x14ac:dyDescent="0.25">
      <c r="R1254" s="57">
        <v>34259</v>
      </c>
      <c r="S1254" s="16">
        <v>835</v>
      </c>
    </row>
    <row r="1255" spans="18:19" x14ac:dyDescent="0.25">
      <c r="R1255" s="57">
        <v>34266</v>
      </c>
      <c r="S1255" s="16">
        <v>1146</v>
      </c>
    </row>
    <row r="1256" spans="18:19" x14ac:dyDescent="0.25">
      <c r="R1256" s="57">
        <v>34273</v>
      </c>
      <c r="S1256" s="16">
        <v>605</v>
      </c>
    </row>
    <row r="1257" spans="18:19" x14ac:dyDescent="0.25">
      <c r="R1257" s="57">
        <v>34274</v>
      </c>
      <c r="S1257" s="16">
        <v>1084</v>
      </c>
    </row>
    <row r="1258" spans="18:19" x14ac:dyDescent="0.25">
      <c r="R1258" s="57">
        <v>34280</v>
      </c>
      <c r="S1258" s="16">
        <v>510</v>
      </c>
    </row>
    <row r="1259" spans="18:19" x14ac:dyDescent="0.25">
      <c r="R1259" s="57">
        <v>34287</v>
      </c>
      <c r="S1259" s="16">
        <v>788</v>
      </c>
    </row>
    <row r="1260" spans="18:19" x14ac:dyDescent="0.25">
      <c r="R1260" s="57">
        <v>34294</v>
      </c>
      <c r="S1260" s="16">
        <v>869</v>
      </c>
    </row>
    <row r="1261" spans="18:19" x14ac:dyDescent="0.25">
      <c r="R1261" s="57">
        <v>34301</v>
      </c>
      <c r="S1261" s="16">
        <v>664</v>
      </c>
    </row>
    <row r="1262" spans="18:19" x14ac:dyDescent="0.25">
      <c r="R1262" s="57">
        <v>34308</v>
      </c>
      <c r="S1262" s="16">
        <v>766</v>
      </c>
    </row>
    <row r="1263" spans="18:19" x14ac:dyDescent="0.25">
      <c r="R1263" s="57">
        <v>34315</v>
      </c>
      <c r="S1263" s="16">
        <v>905</v>
      </c>
    </row>
    <row r="1264" spans="18:19" x14ac:dyDescent="0.25">
      <c r="R1264" s="57">
        <v>34322</v>
      </c>
      <c r="S1264" s="16">
        <v>882</v>
      </c>
    </row>
    <row r="1265" spans="18:19" x14ac:dyDescent="0.25">
      <c r="R1265" s="57">
        <v>34327</v>
      </c>
      <c r="S1265" s="16">
        <v>780</v>
      </c>
    </row>
    <row r="1266" spans="18:19" x14ac:dyDescent="0.25">
      <c r="R1266" s="57">
        <v>34328</v>
      </c>
      <c r="S1266" s="16">
        <v>1056</v>
      </c>
    </row>
    <row r="1267" spans="18:19" x14ac:dyDescent="0.25">
      <c r="R1267" s="57">
        <v>34329</v>
      </c>
      <c r="S1267" s="16">
        <v>1068</v>
      </c>
    </row>
    <row r="1268" spans="18:19" x14ac:dyDescent="0.25">
      <c r="R1268" s="57">
        <v>34336</v>
      </c>
      <c r="S1268" s="16">
        <v>647</v>
      </c>
    </row>
    <row r="1269" spans="18:19" x14ac:dyDescent="0.25">
      <c r="R1269" s="57">
        <v>34343</v>
      </c>
      <c r="S1269" s="16">
        <v>747</v>
      </c>
    </row>
    <row r="1270" spans="18:19" x14ac:dyDescent="0.25">
      <c r="R1270" s="57">
        <v>34350</v>
      </c>
      <c r="S1270" s="16">
        <v>985</v>
      </c>
    </row>
    <row r="1271" spans="18:19" x14ac:dyDescent="0.25">
      <c r="R1271" s="57">
        <v>34357</v>
      </c>
      <c r="S1271" s="16">
        <v>379</v>
      </c>
    </row>
    <row r="1272" spans="18:19" x14ac:dyDescent="0.25">
      <c r="R1272" s="57">
        <v>34364</v>
      </c>
      <c r="S1272" s="16">
        <v>562</v>
      </c>
    </row>
    <row r="1273" spans="18:19" x14ac:dyDescent="0.25">
      <c r="R1273" s="57">
        <v>34371</v>
      </c>
      <c r="S1273" s="16">
        <v>1061</v>
      </c>
    </row>
    <row r="1274" spans="18:19" x14ac:dyDescent="0.25">
      <c r="R1274" s="57">
        <v>34378</v>
      </c>
      <c r="S1274" s="16">
        <v>934</v>
      </c>
    </row>
    <row r="1275" spans="18:19" x14ac:dyDescent="0.25">
      <c r="R1275" s="57">
        <v>34385</v>
      </c>
      <c r="S1275" s="16">
        <v>1332</v>
      </c>
    </row>
    <row r="1276" spans="18:19" x14ac:dyDescent="0.25">
      <c r="R1276" s="57">
        <v>34392</v>
      </c>
      <c r="S1276" s="16">
        <v>933</v>
      </c>
    </row>
    <row r="1277" spans="18:19" x14ac:dyDescent="0.25">
      <c r="R1277" s="57">
        <v>34399</v>
      </c>
      <c r="S1277" s="16">
        <v>1120</v>
      </c>
    </row>
    <row r="1278" spans="18:19" x14ac:dyDescent="0.25">
      <c r="R1278" s="57">
        <v>34406</v>
      </c>
      <c r="S1278" s="16">
        <v>963</v>
      </c>
    </row>
    <row r="1279" spans="18:19" x14ac:dyDescent="0.25">
      <c r="R1279" s="57">
        <v>34413</v>
      </c>
      <c r="S1279" s="16">
        <v>1131</v>
      </c>
    </row>
    <row r="1280" spans="18:19" x14ac:dyDescent="0.25">
      <c r="R1280" s="57">
        <v>34420</v>
      </c>
      <c r="S1280" s="16">
        <v>438</v>
      </c>
    </row>
    <row r="1281" spans="18:19" x14ac:dyDescent="0.25">
      <c r="R1281" s="57">
        <v>34427</v>
      </c>
      <c r="S1281" s="16">
        <v>1043</v>
      </c>
    </row>
    <row r="1282" spans="18:19" x14ac:dyDescent="0.25">
      <c r="R1282" s="57">
        <v>34434</v>
      </c>
      <c r="S1282" s="16">
        <v>438</v>
      </c>
    </row>
    <row r="1283" spans="18:19" x14ac:dyDescent="0.25">
      <c r="R1283" s="57">
        <v>34441</v>
      </c>
      <c r="S1283" s="16">
        <v>549</v>
      </c>
    </row>
    <row r="1284" spans="18:19" x14ac:dyDescent="0.25">
      <c r="R1284" s="57">
        <v>34448</v>
      </c>
      <c r="S1284" s="16">
        <v>1184</v>
      </c>
    </row>
    <row r="1285" spans="18:19" x14ac:dyDescent="0.25">
      <c r="R1285" s="57">
        <v>34455</v>
      </c>
      <c r="S1285" s="16">
        <v>1351</v>
      </c>
    </row>
    <row r="1286" spans="18:19" x14ac:dyDescent="0.25">
      <c r="R1286" s="57">
        <v>34462</v>
      </c>
      <c r="S1286" s="16">
        <v>1019</v>
      </c>
    </row>
    <row r="1287" spans="18:19" x14ac:dyDescent="0.25">
      <c r="R1287" s="57">
        <v>34466</v>
      </c>
      <c r="S1287" s="16">
        <v>490</v>
      </c>
    </row>
    <row r="1288" spans="18:19" x14ac:dyDescent="0.25">
      <c r="R1288" s="57">
        <v>34469</v>
      </c>
      <c r="S1288" s="16">
        <v>909</v>
      </c>
    </row>
    <row r="1289" spans="18:19" x14ac:dyDescent="0.25">
      <c r="R1289" s="57">
        <v>34476</v>
      </c>
      <c r="S1289" s="16">
        <v>704</v>
      </c>
    </row>
    <row r="1290" spans="18:19" x14ac:dyDescent="0.25">
      <c r="R1290" s="57">
        <v>34483</v>
      </c>
      <c r="S1290" s="16">
        <v>1014</v>
      </c>
    </row>
    <row r="1291" spans="18:19" x14ac:dyDescent="0.25">
      <c r="R1291" s="57">
        <v>34490</v>
      </c>
      <c r="S1291" s="16">
        <v>822</v>
      </c>
    </row>
    <row r="1292" spans="18:19" x14ac:dyDescent="0.25">
      <c r="R1292" s="57">
        <v>34497</v>
      </c>
      <c r="S1292" s="16">
        <v>866</v>
      </c>
    </row>
    <row r="1293" spans="18:19" x14ac:dyDescent="0.25">
      <c r="R1293" s="57">
        <v>34504</v>
      </c>
      <c r="S1293" s="16">
        <v>940</v>
      </c>
    </row>
    <row r="1294" spans="18:19" x14ac:dyDescent="0.25">
      <c r="R1294" s="57">
        <v>34511</v>
      </c>
      <c r="S1294" s="16">
        <v>1149</v>
      </c>
    </row>
    <row r="1295" spans="18:19" x14ac:dyDescent="0.25">
      <c r="R1295" s="57">
        <v>34518</v>
      </c>
      <c r="S1295" s="16">
        <v>1157</v>
      </c>
    </row>
    <row r="1296" spans="18:19" x14ac:dyDescent="0.25">
      <c r="R1296" s="57">
        <v>34525</v>
      </c>
      <c r="S1296" s="16">
        <v>842</v>
      </c>
    </row>
    <row r="1297" spans="18:19" x14ac:dyDescent="0.25">
      <c r="R1297" s="57">
        <v>34532</v>
      </c>
      <c r="S1297" s="16">
        <v>739</v>
      </c>
    </row>
    <row r="1298" spans="18:19" x14ac:dyDescent="0.25">
      <c r="R1298" s="57">
        <v>34539</v>
      </c>
      <c r="S1298" s="16">
        <v>953</v>
      </c>
    </row>
    <row r="1299" spans="18:19" x14ac:dyDescent="0.25">
      <c r="R1299" s="57">
        <v>34546</v>
      </c>
      <c r="S1299" s="16">
        <v>997</v>
      </c>
    </row>
    <row r="1300" spans="18:19" x14ac:dyDescent="0.25">
      <c r="R1300" s="57">
        <v>34553</v>
      </c>
      <c r="S1300" s="16">
        <v>1123</v>
      </c>
    </row>
    <row r="1301" spans="18:19" x14ac:dyDescent="0.25">
      <c r="R1301" s="57">
        <v>34560</v>
      </c>
      <c r="S1301" s="16">
        <v>1413</v>
      </c>
    </row>
    <row r="1302" spans="18:19" x14ac:dyDescent="0.25">
      <c r="R1302" s="57">
        <v>34561</v>
      </c>
      <c r="S1302" s="16">
        <v>857</v>
      </c>
    </row>
    <row r="1303" spans="18:19" x14ac:dyDescent="0.25">
      <c r="R1303" s="57">
        <v>34567</v>
      </c>
      <c r="S1303" s="16">
        <v>1408</v>
      </c>
    </row>
    <row r="1304" spans="18:19" x14ac:dyDescent="0.25">
      <c r="R1304" s="57">
        <v>34574</v>
      </c>
      <c r="S1304" s="16">
        <v>957</v>
      </c>
    </row>
    <row r="1305" spans="18:19" x14ac:dyDescent="0.25">
      <c r="R1305" s="57">
        <v>34581</v>
      </c>
      <c r="S1305" s="16">
        <v>811</v>
      </c>
    </row>
    <row r="1306" spans="18:19" x14ac:dyDescent="0.25">
      <c r="R1306" s="57">
        <v>34588</v>
      </c>
      <c r="S1306" s="16">
        <v>1410</v>
      </c>
    </row>
    <row r="1307" spans="18:19" x14ac:dyDescent="0.25">
      <c r="R1307" s="57">
        <v>34595</v>
      </c>
      <c r="S1307" s="16">
        <v>1121</v>
      </c>
    </row>
    <row r="1308" spans="18:19" x14ac:dyDescent="0.25">
      <c r="R1308" s="57">
        <v>34602</v>
      </c>
      <c r="S1308" s="16">
        <v>925</v>
      </c>
    </row>
    <row r="1309" spans="18:19" x14ac:dyDescent="0.25">
      <c r="R1309" s="57">
        <v>34609</v>
      </c>
      <c r="S1309" s="16">
        <v>985</v>
      </c>
    </row>
    <row r="1310" spans="18:19" x14ac:dyDescent="0.25">
      <c r="R1310" s="57">
        <v>34616</v>
      </c>
      <c r="S1310" s="16">
        <v>760</v>
      </c>
    </row>
    <row r="1311" spans="18:19" x14ac:dyDescent="0.25">
      <c r="R1311" s="57">
        <v>34623</v>
      </c>
      <c r="S1311" s="16">
        <v>1295</v>
      </c>
    </row>
    <row r="1312" spans="18:19" x14ac:dyDescent="0.25">
      <c r="R1312" s="57">
        <v>34630</v>
      </c>
      <c r="S1312" s="16">
        <v>778</v>
      </c>
    </row>
    <row r="1313" spans="18:19" x14ac:dyDescent="0.25">
      <c r="R1313" s="57">
        <v>34637</v>
      </c>
      <c r="S1313" s="16">
        <v>679</v>
      </c>
    </row>
    <row r="1314" spans="18:19" x14ac:dyDescent="0.25">
      <c r="R1314" s="57">
        <v>34639</v>
      </c>
      <c r="S1314" s="16">
        <v>630</v>
      </c>
    </row>
    <row r="1315" spans="18:19" x14ac:dyDescent="0.25">
      <c r="R1315" s="57">
        <v>34644</v>
      </c>
      <c r="S1315" s="16">
        <v>753</v>
      </c>
    </row>
    <row r="1316" spans="18:19" x14ac:dyDescent="0.25">
      <c r="R1316" s="57">
        <v>34651</v>
      </c>
      <c r="S1316" s="16">
        <v>856</v>
      </c>
    </row>
    <row r="1317" spans="18:19" x14ac:dyDescent="0.25">
      <c r="R1317" s="57">
        <v>34658</v>
      </c>
      <c r="S1317" s="16">
        <v>506</v>
      </c>
    </row>
    <row r="1318" spans="18:19" x14ac:dyDescent="0.25">
      <c r="R1318" s="57">
        <v>34665</v>
      </c>
      <c r="S1318" s="16">
        <v>720</v>
      </c>
    </row>
    <row r="1319" spans="18:19" x14ac:dyDescent="0.25">
      <c r="R1319" s="57">
        <v>34672</v>
      </c>
      <c r="S1319" s="16">
        <v>712</v>
      </c>
    </row>
    <row r="1320" spans="18:19" x14ac:dyDescent="0.25">
      <c r="R1320" s="57">
        <v>34679</v>
      </c>
      <c r="S1320" s="16">
        <v>744</v>
      </c>
    </row>
    <row r="1321" spans="18:19" x14ac:dyDescent="0.25">
      <c r="R1321" s="57">
        <v>34686</v>
      </c>
      <c r="S1321" s="16">
        <v>712</v>
      </c>
    </row>
    <row r="1322" spans="18:19" x14ac:dyDescent="0.25">
      <c r="R1322" s="57">
        <v>34692</v>
      </c>
      <c r="S1322" s="16">
        <v>874</v>
      </c>
    </row>
    <row r="1323" spans="18:19" x14ac:dyDescent="0.25">
      <c r="R1323" s="57">
        <v>34693</v>
      </c>
      <c r="S1323" s="16">
        <v>828</v>
      </c>
    </row>
    <row r="1324" spans="18:19" x14ac:dyDescent="0.25">
      <c r="R1324" s="57">
        <v>34700</v>
      </c>
      <c r="S1324" s="16">
        <v>332</v>
      </c>
    </row>
    <row r="1325" spans="18:19" x14ac:dyDescent="0.25">
      <c r="R1325" s="57">
        <v>34707</v>
      </c>
      <c r="S1325" s="16">
        <v>1685</v>
      </c>
    </row>
    <row r="1326" spans="18:19" x14ac:dyDescent="0.25">
      <c r="R1326" s="57">
        <v>34714</v>
      </c>
      <c r="S1326" s="16">
        <v>806</v>
      </c>
    </row>
    <row r="1327" spans="18:19" x14ac:dyDescent="0.25">
      <c r="R1327" s="57">
        <v>34721</v>
      </c>
      <c r="S1327" s="16">
        <v>897</v>
      </c>
    </row>
    <row r="1328" spans="18:19" x14ac:dyDescent="0.25">
      <c r="R1328" s="57">
        <v>34728</v>
      </c>
      <c r="S1328" s="16">
        <v>1057</v>
      </c>
    </row>
    <row r="1329" spans="18:19" x14ac:dyDescent="0.25">
      <c r="R1329" s="57">
        <v>34735</v>
      </c>
      <c r="S1329" s="16">
        <v>1089</v>
      </c>
    </row>
    <row r="1330" spans="18:19" x14ac:dyDescent="0.25">
      <c r="R1330" s="57">
        <v>34742</v>
      </c>
      <c r="S1330" s="16">
        <v>952</v>
      </c>
    </row>
    <row r="1331" spans="18:19" x14ac:dyDescent="0.25">
      <c r="R1331" s="57">
        <v>34749</v>
      </c>
      <c r="S1331" s="16">
        <v>473</v>
      </c>
    </row>
    <row r="1332" spans="18:19" x14ac:dyDescent="0.25">
      <c r="R1332" s="57">
        <v>34756</v>
      </c>
      <c r="S1332" s="16">
        <v>908</v>
      </c>
    </row>
    <row r="1333" spans="18:19" x14ac:dyDescent="0.25">
      <c r="R1333" s="57">
        <v>34763</v>
      </c>
      <c r="S1333" s="16">
        <v>824</v>
      </c>
    </row>
    <row r="1334" spans="18:19" x14ac:dyDescent="0.25">
      <c r="R1334" s="57">
        <v>34770</v>
      </c>
      <c r="S1334" s="16">
        <v>774</v>
      </c>
    </row>
    <row r="1335" spans="18:19" x14ac:dyDescent="0.25">
      <c r="R1335" s="57">
        <v>34777</v>
      </c>
      <c r="S1335" s="16">
        <v>737</v>
      </c>
    </row>
    <row r="1336" spans="18:19" x14ac:dyDescent="0.25">
      <c r="R1336" s="57">
        <v>34784</v>
      </c>
      <c r="S1336" s="16">
        <v>864</v>
      </c>
    </row>
    <row r="1337" spans="18:19" x14ac:dyDescent="0.25">
      <c r="R1337" s="57">
        <v>34791</v>
      </c>
      <c r="S1337" s="16">
        <v>767</v>
      </c>
    </row>
    <row r="1338" spans="18:19" x14ac:dyDescent="0.25">
      <c r="R1338" s="57">
        <v>34798</v>
      </c>
      <c r="S1338" s="16">
        <v>544</v>
      </c>
    </row>
    <row r="1339" spans="18:19" x14ac:dyDescent="0.25">
      <c r="R1339" s="57">
        <v>34805</v>
      </c>
      <c r="S1339" s="16">
        <v>851</v>
      </c>
    </row>
    <row r="1340" spans="18:19" x14ac:dyDescent="0.25">
      <c r="R1340" s="57">
        <v>34812</v>
      </c>
      <c r="S1340" s="16">
        <v>812</v>
      </c>
    </row>
    <row r="1341" spans="18:19" x14ac:dyDescent="0.25">
      <c r="R1341" s="57">
        <v>34819</v>
      </c>
      <c r="S1341" s="16">
        <v>754</v>
      </c>
    </row>
    <row r="1342" spans="18:19" x14ac:dyDescent="0.25">
      <c r="R1342" s="57">
        <v>34826</v>
      </c>
      <c r="S1342" s="16">
        <v>1313</v>
      </c>
    </row>
    <row r="1343" spans="18:19" x14ac:dyDescent="0.25">
      <c r="R1343" s="57">
        <v>34833</v>
      </c>
      <c r="S1343" s="16">
        <v>721</v>
      </c>
    </row>
    <row r="1344" spans="18:19" x14ac:dyDescent="0.25">
      <c r="R1344" s="57">
        <v>34840</v>
      </c>
      <c r="S1344" s="16">
        <v>949</v>
      </c>
    </row>
    <row r="1345" spans="18:19" x14ac:dyDescent="0.25">
      <c r="R1345" s="57">
        <v>34844</v>
      </c>
      <c r="S1345" s="16">
        <v>1169</v>
      </c>
    </row>
    <row r="1346" spans="18:19" x14ac:dyDescent="0.25">
      <c r="R1346" s="57">
        <v>34847</v>
      </c>
      <c r="S1346" s="16">
        <v>1237</v>
      </c>
    </row>
    <row r="1347" spans="18:19" x14ac:dyDescent="0.25">
      <c r="R1347" s="57">
        <v>34854</v>
      </c>
      <c r="S1347" s="16">
        <v>691</v>
      </c>
    </row>
    <row r="1348" spans="18:19" x14ac:dyDescent="0.25">
      <c r="R1348" s="57">
        <v>34861</v>
      </c>
      <c r="S1348" s="16">
        <v>1410</v>
      </c>
    </row>
    <row r="1349" spans="18:19" x14ac:dyDescent="0.25">
      <c r="R1349" s="57">
        <v>34868</v>
      </c>
      <c r="S1349" s="16">
        <v>985</v>
      </c>
    </row>
    <row r="1350" spans="18:19" x14ac:dyDescent="0.25">
      <c r="R1350" s="57">
        <v>34875</v>
      </c>
      <c r="S1350" s="16">
        <v>997</v>
      </c>
    </row>
    <row r="1351" spans="18:19" x14ac:dyDescent="0.25">
      <c r="R1351" s="57">
        <v>34882</v>
      </c>
      <c r="S1351" s="16">
        <v>923</v>
      </c>
    </row>
    <row r="1352" spans="18:19" x14ac:dyDescent="0.25">
      <c r="R1352" s="57">
        <v>34889</v>
      </c>
      <c r="S1352" s="16">
        <v>954</v>
      </c>
    </row>
    <row r="1353" spans="18:19" x14ac:dyDescent="0.25">
      <c r="R1353" s="57">
        <v>34896</v>
      </c>
      <c r="S1353" s="16">
        <v>913</v>
      </c>
    </row>
    <row r="1354" spans="18:19" x14ac:dyDescent="0.25">
      <c r="R1354" s="57">
        <v>34903</v>
      </c>
      <c r="S1354" s="16">
        <v>806</v>
      </c>
    </row>
    <row r="1355" spans="18:19" x14ac:dyDescent="0.25">
      <c r="R1355" s="57">
        <v>34910</v>
      </c>
      <c r="S1355" s="16">
        <v>1034</v>
      </c>
    </row>
    <row r="1356" spans="18:19" x14ac:dyDescent="0.25">
      <c r="R1356" s="57">
        <v>34917</v>
      </c>
      <c r="S1356" s="16">
        <v>1215</v>
      </c>
    </row>
    <row r="1357" spans="18:19" x14ac:dyDescent="0.25">
      <c r="R1357" s="57">
        <v>34924</v>
      </c>
      <c r="S1357" s="16">
        <v>871</v>
      </c>
    </row>
    <row r="1358" spans="18:19" x14ac:dyDescent="0.25">
      <c r="R1358" s="57">
        <v>34926</v>
      </c>
      <c r="S1358" s="16">
        <v>1004</v>
      </c>
    </row>
    <row r="1359" spans="18:19" x14ac:dyDescent="0.25">
      <c r="R1359" s="57">
        <v>34931</v>
      </c>
      <c r="S1359" s="16">
        <v>960</v>
      </c>
    </row>
    <row r="1360" spans="18:19" x14ac:dyDescent="0.25">
      <c r="R1360" s="57">
        <v>34938</v>
      </c>
      <c r="S1360" s="16">
        <v>1122</v>
      </c>
    </row>
    <row r="1361" spans="18:19" x14ac:dyDescent="0.25">
      <c r="R1361" s="57">
        <v>34945</v>
      </c>
      <c r="S1361" s="16">
        <v>944</v>
      </c>
    </row>
    <row r="1362" spans="18:19" x14ac:dyDescent="0.25">
      <c r="R1362" s="57">
        <v>34952</v>
      </c>
      <c r="S1362" s="16">
        <v>979</v>
      </c>
    </row>
    <row r="1363" spans="18:19" x14ac:dyDescent="0.25">
      <c r="R1363" s="57">
        <v>34959</v>
      </c>
      <c r="S1363" s="16">
        <v>696</v>
      </c>
    </row>
    <row r="1364" spans="18:19" x14ac:dyDescent="0.25">
      <c r="R1364" s="57">
        <v>34966</v>
      </c>
      <c r="S1364" s="16">
        <v>1022</v>
      </c>
    </row>
    <row r="1365" spans="18:19" x14ac:dyDescent="0.25">
      <c r="R1365" s="57">
        <v>34973</v>
      </c>
      <c r="S1365" s="16">
        <v>1048</v>
      </c>
    </row>
    <row r="1366" spans="18:19" x14ac:dyDescent="0.25">
      <c r="R1366" s="57">
        <v>34980</v>
      </c>
      <c r="S1366" s="16">
        <v>986</v>
      </c>
    </row>
    <row r="1367" spans="18:19" x14ac:dyDescent="0.25">
      <c r="R1367" s="57">
        <v>34987</v>
      </c>
      <c r="S1367" s="16">
        <v>884</v>
      </c>
    </row>
    <row r="1368" spans="18:19" x14ac:dyDescent="0.25">
      <c r="R1368" s="57">
        <v>34994</v>
      </c>
      <c r="S1368" s="16">
        <v>1017</v>
      </c>
    </row>
    <row r="1369" spans="18:19" x14ac:dyDescent="0.25">
      <c r="R1369" s="57">
        <v>35001</v>
      </c>
      <c r="S1369" s="16">
        <v>865</v>
      </c>
    </row>
    <row r="1370" spans="18:19" x14ac:dyDescent="0.25">
      <c r="R1370" s="57">
        <v>35004</v>
      </c>
      <c r="S1370" s="16">
        <v>732</v>
      </c>
    </row>
    <row r="1371" spans="18:19" x14ac:dyDescent="0.25">
      <c r="R1371" s="57">
        <v>35008</v>
      </c>
      <c r="S1371" s="16">
        <v>1096</v>
      </c>
    </row>
    <row r="1372" spans="18:19" x14ac:dyDescent="0.25">
      <c r="R1372" s="57">
        <v>35015</v>
      </c>
      <c r="S1372" s="16">
        <v>1260</v>
      </c>
    </row>
    <row r="1373" spans="18:19" x14ac:dyDescent="0.25">
      <c r="R1373" s="57">
        <v>35022</v>
      </c>
      <c r="S1373" s="16">
        <v>843</v>
      </c>
    </row>
    <row r="1374" spans="18:19" x14ac:dyDescent="0.25">
      <c r="R1374" s="57">
        <v>35029</v>
      </c>
      <c r="S1374" s="16">
        <v>724</v>
      </c>
    </row>
    <row r="1375" spans="18:19" x14ac:dyDescent="0.25">
      <c r="R1375" s="57">
        <v>35036</v>
      </c>
      <c r="S1375" s="16">
        <v>703</v>
      </c>
    </row>
    <row r="1376" spans="18:19" x14ac:dyDescent="0.25">
      <c r="R1376" s="57">
        <v>35043</v>
      </c>
      <c r="S1376" s="16">
        <v>702</v>
      </c>
    </row>
    <row r="1377" spans="18:19" x14ac:dyDescent="0.25">
      <c r="R1377" s="57">
        <v>35050</v>
      </c>
      <c r="S1377" s="16">
        <v>694</v>
      </c>
    </row>
    <row r="1378" spans="18:19" x14ac:dyDescent="0.25">
      <c r="R1378" s="57">
        <v>35057</v>
      </c>
      <c r="S1378" s="16">
        <v>752</v>
      </c>
    </row>
    <row r="1379" spans="18:19" x14ac:dyDescent="0.25">
      <c r="R1379" s="57">
        <v>35057</v>
      </c>
      <c r="S1379" s="16">
        <v>675</v>
      </c>
    </row>
    <row r="1380" spans="18:19" x14ac:dyDescent="0.25">
      <c r="R1380" s="57">
        <v>35058</v>
      </c>
      <c r="S1380" s="16">
        <v>494</v>
      </c>
    </row>
    <row r="1381" spans="18:19" x14ac:dyDescent="0.25">
      <c r="R1381" s="57">
        <v>35064</v>
      </c>
      <c r="S1381" s="16">
        <v>1059</v>
      </c>
    </row>
    <row r="1382" spans="18:19" x14ac:dyDescent="0.25">
      <c r="R1382" s="57">
        <v>35071</v>
      </c>
      <c r="S1382" s="16">
        <v>1057</v>
      </c>
    </row>
    <row r="1383" spans="18:19" x14ac:dyDescent="0.25">
      <c r="R1383" s="57">
        <v>35078</v>
      </c>
      <c r="S1383" s="16">
        <v>903</v>
      </c>
    </row>
    <row r="1384" spans="18:19" x14ac:dyDescent="0.25">
      <c r="R1384" s="57">
        <v>35085</v>
      </c>
      <c r="S1384" s="16">
        <v>545</v>
      </c>
    </row>
    <row r="1385" spans="18:19" x14ac:dyDescent="0.25">
      <c r="R1385" s="57">
        <v>35092</v>
      </c>
      <c r="S1385" s="16">
        <v>802</v>
      </c>
    </row>
    <row r="1386" spans="18:19" x14ac:dyDescent="0.25">
      <c r="R1386" s="57">
        <v>35099</v>
      </c>
      <c r="S1386" s="16">
        <v>1107</v>
      </c>
    </row>
    <row r="1387" spans="18:19" x14ac:dyDescent="0.25">
      <c r="R1387" s="57">
        <v>35106</v>
      </c>
      <c r="S1387" s="16">
        <v>456</v>
      </c>
    </row>
    <row r="1388" spans="18:19" x14ac:dyDescent="0.25">
      <c r="R1388" s="57">
        <v>35113</v>
      </c>
      <c r="S1388" s="16">
        <v>916</v>
      </c>
    </row>
    <row r="1389" spans="18:19" x14ac:dyDescent="0.25">
      <c r="R1389" s="57">
        <v>35120</v>
      </c>
      <c r="S1389" s="16">
        <v>921</v>
      </c>
    </row>
    <row r="1390" spans="18:19" x14ac:dyDescent="0.25">
      <c r="R1390" s="57">
        <v>35127</v>
      </c>
      <c r="S1390" s="16">
        <v>1123</v>
      </c>
    </row>
    <row r="1391" spans="18:19" x14ac:dyDescent="0.25">
      <c r="R1391" s="57">
        <v>35134</v>
      </c>
      <c r="S1391" s="16">
        <v>1038</v>
      </c>
    </row>
    <row r="1392" spans="18:19" x14ac:dyDescent="0.25">
      <c r="R1392" s="57">
        <v>35141</v>
      </c>
      <c r="S1392" s="16">
        <v>1320</v>
      </c>
    </row>
    <row r="1393" spans="18:19" x14ac:dyDescent="0.25">
      <c r="R1393" s="57">
        <v>35148</v>
      </c>
      <c r="S1393" s="16">
        <v>1062</v>
      </c>
    </row>
    <row r="1394" spans="18:19" x14ac:dyDescent="0.25">
      <c r="R1394" s="57">
        <v>35155</v>
      </c>
      <c r="S1394" s="16">
        <v>601</v>
      </c>
    </row>
    <row r="1395" spans="18:19" x14ac:dyDescent="0.25">
      <c r="R1395" s="57">
        <v>35162</v>
      </c>
      <c r="S1395" s="16">
        <v>965</v>
      </c>
    </row>
    <row r="1396" spans="18:19" x14ac:dyDescent="0.25">
      <c r="R1396" s="57">
        <v>35169</v>
      </c>
      <c r="S1396" s="16">
        <v>799</v>
      </c>
    </row>
    <row r="1397" spans="18:19" x14ac:dyDescent="0.25">
      <c r="R1397" s="57">
        <v>35176</v>
      </c>
      <c r="S1397" s="16">
        <v>1132</v>
      </c>
    </row>
    <row r="1398" spans="18:19" x14ac:dyDescent="0.25">
      <c r="R1398" s="57">
        <v>35183</v>
      </c>
      <c r="S1398" s="16">
        <v>852</v>
      </c>
    </row>
    <row r="1399" spans="18:19" x14ac:dyDescent="0.25">
      <c r="R1399" s="57">
        <v>35190</v>
      </c>
      <c r="S1399" s="16">
        <v>929</v>
      </c>
    </row>
    <row r="1400" spans="18:19" x14ac:dyDescent="0.25">
      <c r="R1400" s="57">
        <v>35197</v>
      </c>
      <c r="S1400" s="16">
        <v>1223</v>
      </c>
    </row>
    <row r="1401" spans="18:19" x14ac:dyDescent="0.25">
      <c r="R1401" s="57">
        <v>35201</v>
      </c>
      <c r="S1401" s="16">
        <v>1223</v>
      </c>
    </row>
    <row r="1402" spans="18:19" x14ac:dyDescent="0.25">
      <c r="R1402" s="57">
        <v>35204</v>
      </c>
      <c r="S1402" s="16">
        <v>927</v>
      </c>
    </row>
    <row r="1403" spans="18:19" x14ac:dyDescent="0.25">
      <c r="R1403" s="57">
        <v>35211</v>
      </c>
      <c r="S1403" s="16">
        <v>1253</v>
      </c>
    </row>
    <row r="1404" spans="18:19" x14ac:dyDescent="0.25">
      <c r="R1404" s="57">
        <v>35218</v>
      </c>
      <c r="S1404" s="16">
        <v>1004</v>
      </c>
    </row>
    <row r="1405" spans="18:19" x14ac:dyDescent="0.25">
      <c r="R1405" s="57">
        <v>35225</v>
      </c>
      <c r="S1405" s="16">
        <v>785</v>
      </c>
    </row>
    <row r="1406" spans="18:19" x14ac:dyDescent="0.25">
      <c r="R1406" s="57">
        <v>35232</v>
      </c>
      <c r="S1406" s="16">
        <v>1098</v>
      </c>
    </row>
    <row r="1407" spans="18:19" x14ac:dyDescent="0.25">
      <c r="R1407" s="57">
        <v>35239</v>
      </c>
      <c r="S1407" s="16">
        <v>574</v>
      </c>
    </row>
    <row r="1408" spans="18:19" x14ac:dyDescent="0.25">
      <c r="R1408" s="57">
        <v>35246</v>
      </c>
      <c r="S1408" s="16">
        <v>1109</v>
      </c>
    </row>
    <row r="1409" spans="18:19" x14ac:dyDescent="0.25">
      <c r="R1409" s="57">
        <v>35253</v>
      </c>
      <c r="S1409" s="16">
        <v>645</v>
      </c>
    </row>
    <row r="1410" spans="18:19" x14ac:dyDescent="0.25">
      <c r="R1410" s="57">
        <v>35260</v>
      </c>
      <c r="S1410" s="16">
        <v>689</v>
      </c>
    </row>
    <row r="1411" spans="18:19" x14ac:dyDescent="0.25">
      <c r="R1411" s="57">
        <v>35267</v>
      </c>
      <c r="S1411" s="16">
        <v>979</v>
      </c>
    </row>
    <row r="1412" spans="18:19" x14ac:dyDescent="0.25">
      <c r="R1412" s="57">
        <v>35274</v>
      </c>
      <c r="S1412" s="16">
        <v>1038</v>
      </c>
    </row>
    <row r="1413" spans="18:19" x14ac:dyDescent="0.25">
      <c r="R1413" s="57">
        <v>35281</v>
      </c>
      <c r="S1413" s="16">
        <v>711</v>
      </c>
    </row>
    <row r="1414" spans="18:19" x14ac:dyDescent="0.25">
      <c r="R1414" s="57">
        <v>35288</v>
      </c>
      <c r="S1414" s="16">
        <v>766</v>
      </c>
    </row>
    <row r="1415" spans="18:19" x14ac:dyDescent="0.25">
      <c r="R1415" s="57">
        <v>35292</v>
      </c>
      <c r="S1415" s="16">
        <v>766</v>
      </c>
    </row>
    <row r="1416" spans="18:19" x14ac:dyDescent="0.25">
      <c r="R1416" s="57">
        <v>35295</v>
      </c>
      <c r="S1416" s="16">
        <v>911</v>
      </c>
    </row>
    <row r="1417" spans="18:19" x14ac:dyDescent="0.25">
      <c r="R1417" s="57">
        <v>35302</v>
      </c>
      <c r="S1417" s="16">
        <v>674</v>
      </c>
    </row>
    <row r="1418" spans="18:19" x14ac:dyDescent="0.25">
      <c r="R1418" s="57">
        <v>35309</v>
      </c>
      <c r="S1418" s="16">
        <v>1017</v>
      </c>
    </row>
    <row r="1419" spans="18:19" x14ac:dyDescent="0.25">
      <c r="R1419" s="57">
        <v>35316</v>
      </c>
      <c r="S1419" s="16">
        <v>687</v>
      </c>
    </row>
    <row r="1420" spans="18:19" x14ac:dyDescent="0.25">
      <c r="R1420" s="57">
        <v>35323</v>
      </c>
      <c r="S1420" s="16">
        <v>1103</v>
      </c>
    </row>
    <row r="1421" spans="18:19" x14ac:dyDescent="0.25">
      <c r="R1421" s="57">
        <v>35328</v>
      </c>
      <c r="S1421" s="16">
        <v>1637</v>
      </c>
    </row>
    <row r="1422" spans="18:19" x14ac:dyDescent="0.25">
      <c r="R1422" s="57">
        <v>35329</v>
      </c>
      <c r="S1422" s="16">
        <v>1399</v>
      </c>
    </row>
    <row r="1423" spans="18:19" x14ac:dyDescent="0.25">
      <c r="R1423" s="57">
        <v>35330</v>
      </c>
      <c r="S1423" s="16">
        <v>1641</v>
      </c>
    </row>
    <row r="1424" spans="18:19" x14ac:dyDescent="0.25">
      <c r="R1424" s="57">
        <v>35337</v>
      </c>
      <c r="S1424" s="16">
        <v>1057</v>
      </c>
    </row>
    <row r="1425" spans="18:19" x14ac:dyDescent="0.25">
      <c r="R1425" s="57">
        <v>35344</v>
      </c>
      <c r="S1425" s="16">
        <v>1001</v>
      </c>
    </row>
    <row r="1426" spans="18:19" x14ac:dyDescent="0.25">
      <c r="R1426" s="57">
        <v>35351</v>
      </c>
      <c r="S1426" s="16">
        <v>943</v>
      </c>
    </row>
    <row r="1427" spans="18:19" x14ac:dyDescent="0.25">
      <c r="R1427" s="57">
        <v>35358</v>
      </c>
      <c r="S1427" s="16">
        <v>1125</v>
      </c>
    </row>
    <row r="1428" spans="18:19" x14ac:dyDescent="0.25">
      <c r="R1428" s="57">
        <v>35365</v>
      </c>
      <c r="S1428" s="16">
        <v>454</v>
      </c>
    </row>
    <row r="1429" spans="18:19" x14ac:dyDescent="0.25">
      <c r="R1429" s="57">
        <v>35370</v>
      </c>
      <c r="S1429" s="16">
        <v>715</v>
      </c>
    </row>
    <row r="1430" spans="18:19" x14ac:dyDescent="0.25">
      <c r="R1430" s="57">
        <v>35372</v>
      </c>
      <c r="S1430" s="16">
        <v>623</v>
      </c>
    </row>
    <row r="1431" spans="18:19" x14ac:dyDescent="0.25">
      <c r="R1431" s="57">
        <v>35379</v>
      </c>
      <c r="S1431" s="16">
        <v>576</v>
      </c>
    </row>
    <row r="1432" spans="18:19" x14ac:dyDescent="0.25">
      <c r="R1432" s="57">
        <v>35386</v>
      </c>
      <c r="S1432" s="16">
        <v>787</v>
      </c>
    </row>
    <row r="1433" spans="18:19" x14ac:dyDescent="0.25">
      <c r="R1433" s="57">
        <v>35393</v>
      </c>
      <c r="S1433" s="16">
        <v>1084</v>
      </c>
    </row>
    <row r="1434" spans="18:19" x14ac:dyDescent="0.25">
      <c r="R1434" s="57">
        <v>35400</v>
      </c>
      <c r="S1434" s="16">
        <v>1291</v>
      </c>
    </row>
    <row r="1435" spans="18:19" x14ac:dyDescent="0.25">
      <c r="R1435" s="57">
        <v>35407</v>
      </c>
      <c r="S1435" s="16">
        <v>1006</v>
      </c>
    </row>
    <row r="1436" spans="18:19" x14ac:dyDescent="0.25">
      <c r="R1436" s="57">
        <v>35414</v>
      </c>
      <c r="S1436" s="16">
        <v>1132</v>
      </c>
    </row>
    <row r="1437" spans="18:19" x14ac:dyDescent="0.25">
      <c r="R1437" s="57">
        <v>35421</v>
      </c>
      <c r="S1437" s="16">
        <v>1153</v>
      </c>
    </row>
    <row r="1438" spans="18:19" x14ac:dyDescent="0.25">
      <c r="R1438" s="57">
        <v>35423</v>
      </c>
      <c r="S1438" s="16">
        <v>393</v>
      </c>
    </row>
    <row r="1439" spans="18:19" x14ac:dyDescent="0.25">
      <c r="R1439" s="57">
        <v>35424</v>
      </c>
      <c r="S1439" s="16">
        <v>942</v>
      </c>
    </row>
    <row r="1440" spans="18:19" x14ac:dyDescent="0.25">
      <c r="R1440" s="57">
        <v>35428</v>
      </c>
      <c r="S1440" s="16">
        <v>1125</v>
      </c>
    </row>
    <row r="1441" spans="18:19" x14ac:dyDescent="0.25">
      <c r="R1441" s="57">
        <v>35435</v>
      </c>
      <c r="S1441" s="16">
        <v>881</v>
      </c>
    </row>
    <row r="1442" spans="18:19" x14ac:dyDescent="0.25">
      <c r="R1442" s="57">
        <v>35442</v>
      </c>
      <c r="S1442" s="16">
        <v>710</v>
      </c>
    </row>
    <row r="1443" spans="18:19" x14ac:dyDescent="0.25">
      <c r="R1443" s="57">
        <v>35449</v>
      </c>
      <c r="S1443" s="16">
        <v>820</v>
      </c>
    </row>
    <row r="1444" spans="18:19" x14ac:dyDescent="0.25">
      <c r="R1444" s="57">
        <v>35456</v>
      </c>
      <c r="S1444" s="16">
        <v>1123</v>
      </c>
    </row>
    <row r="1445" spans="18:19" x14ac:dyDescent="0.25">
      <c r="R1445" s="57">
        <v>35463</v>
      </c>
      <c r="S1445" s="16">
        <v>999</v>
      </c>
    </row>
    <row r="1446" spans="18:19" x14ac:dyDescent="0.25">
      <c r="R1446" s="57">
        <v>35470</v>
      </c>
      <c r="S1446" s="16">
        <v>566</v>
      </c>
    </row>
    <row r="1447" spans="18:19" x14ac:dyDescent="0.25">
      <c r="R1447" s="57">
        <v>35477</v>
      </c>
      <c r="S1447" s="16">
        <v>1176</v>
      </c>
    </row>
    <row r="1448" spans="18:19" x14ac:dyDescent="0.25">
      <c r="R1448" s="57">
        <v>35484</v>
      </c>
      <c r="S1448" s="16">
        <v>937</v>
      </c>
    </row>
    <row r="1449" spans="18:19" x14ac:dyDescent="0.25">
      <c r="R1449" s="57">
        <v>35491</v>
      </c>
      <c r="S1449" s="16">
        <v>903</v>
      </c>
    </row>
    <row r="1450" spans="18:19" x14ac:dyDescent="0.25">
      <c r="R1450" s="57">
        <v>35498</v>
      </c>
      <c r="S1450" s="16">
        <v>685</v>
      </c>
    </row>
    <row r="1451" spans="18:19" x14ac:dyDescent="0.25">
      <c r="R1451" s="57">
        <v>35505</v>
      </c>
      <c r="S1451" s="16">
        <v>730</v>
      </c>
    </row>
    <row r="1452" spans="18:19" x14ac:dyDescent="0.25">
      <c r="R1452" s="57">
        <v>35512</v>
      </c>
      <c r="S1452" s="16">
        <v>636</v>
      </c>
    </row>
    <row r="1453" spans="18:19" x14ac:dyDescent="0.25">
      <c r="R1453" s="57">
        <v>35519</v>
      </c>
      <c r="S1453" s="16">
        <v>752</v>
      </c>
    </row>
    <row r="1454" spans="18:19" x14ac:dyDescent="0.25">
      <c r="R1454" s="57">
        <v>35526</v>
      </c>
      <c r="S1454" s="16">
        <v>942</v>
      </c>
    </row>
    <row r="1455" spans="18:19" x14ac:dyDescent="0.25">
      <c r="R1455" s="57">
        <v>35533</v>
      </c>
      <c r="S1455" s="16">
        <v>979</v>
      </c>
    </row>
    <row r="1456" spans="18:19" x14ac:dyDescent="0.25">
      <c r="R1456" s="57">
        <v>35540</v>
      </c>
      <c r="S1456" s="16">
        <v>789</v>
      </c>
    </row>
    <row r="1457" spans="18:19" x14ac:dyDescent="0.25">
      <c r="R1457" s="57">
        <v>35547</v>
      </c>
      <c r="S1457" s="16">
        <v>814</v>
      </c>
    </row>
    <row r="1458" spans="18:19" x14ac:dyDescent="0.25">
      <c r="R1458" s="57">
        <v>35554</v>
      </c>
      <c r="S1458" s="16">
        <v>884</v>
      </c>
    </row>
    <row r="1459" spans="18:19" x14ac:dyDescent="0.25">
      <c r="R1459" s="57">
        <v>35558</v>
      </c>
      <c r="S1459" s="16">
        <v>582</v>
      </c>
    </row>
    <row r="1460" spans="18:19" x14ac:dyDescent="0.25">
      <c r="R1460" s="57">
        <v>35561</v>
      </c>
      <c r="S1460" s="16">
        <v>624</v>
      </c>
    </row>
    <row r="1461" spans="18:19" x14ac:dyDescent="0.25">
      <c r="R1461" s="57">
        <v>35568</v>
      </c>
      <c r="S1461" s="16">
        <v>1538</v>
      </c>
    </row>
    <row r="1462" spans="18:19" x14ac:dyDescent="0.25">
      <c r="R1462" s="57">
        <v>35575</v>
      </c>
      <c r="S1462" s="16">
        <v>863</v>
      </c>
    </row>
    <row r="1463" spans="18:19" x14ac:dyDescent="0.25">
      <c r="R1463" s="57">
        <v>35582</v>
      </c>
      <c r="S1463" s="16">
        <v>1177</v>
      </c>
    </row>
    <row r="1464" spans="18:19" x14ac:dyDescent="0.25">
      <c r="R1464" s="57">
        <v>35589</v>
      </c>
      <c r="S1464" s="16">
        <v>540</v>
      </c>
    </row>
    <row r="1465" spans="18:19" x14ac:dyDescent="0.25">
      <c r="R1465" s="57">
        <v>35596</v>
      </c>
      <c r="S1465" s="16">
        <v>839</v>
      </c>
    </row>
    <row r="1466" spans="18:19" x14ac:dyDescent="0.25">
      <c r="R1466" s="57">
        <v>35603</v>
      </c>
      <c r="S1466" s="16">
        <v>648</v>
      </c>
    </row>
    <row r="1467" spans="18:19" x14ac:dyDescent="0.25">
      <c r="R1467" s="57">
        <v>35610</v>
      </c>
      <c r="S1467" s="16">
        <v>1132</v>
      </c>
    </row>
    <row r="1468" spans="18:19" x14ac:dyDescent="0.25">
      <c r="R1468" s="57">
        <v>35617</v>
      </c>
      <c r="S1468" s="16">
        <v>809</v>
      </c>
    </row>
    <row r="1469" spans="18:19" x14ac:dyDescent="0.25">
      <c r="R1469" s="57">
        <v>35624</v>
      </c>
      <c r="S1469" s="16">
        <v>834</v>
      </c>
    </row>
    <row r="1470" spans="18:19" x14ac:dyDescent="0.25">
      <c r="R1470" s="57">
        <v>35631</v>
      </c>
      <c r="S1470" s="16">
        <v>770</v>
      </c>
    </row>
    <row r="1471" spans="18:19" x14ac:dyDescent="0.25">
      <c r="R1471" s="57">
        <v>35638</v>
      </c>
      <c r="S1471" s="16">
        <v>760</v>
      </c>
    </row>
    <row r="1472" spans="18:19" x14ac:dyDescent="0.25">
      <c r="R1472" s="57">
        <v>35645</v>
      </c>
      <c r="S1472" s="16">
        <v>1416</v>
      </c>
    </row>
    <row r="1473" spans="18:19" x14ac:dyDescent="0.25">
      <c r="R1473" s="57">
        <v>35652</v>
      </c>
      <c r="S1473" s="16">
        <v>1132</v>
      </c>
    </row>
    <row r="1474" spans="18:19" x14ac:dyDescent="0.25">
      <c r="R1474" s="57">
        <v>35657</v>
      </c>
      <c r="S1474" s="16">
        <v>988</v>
      </c>
    </row>
    <row r="1475" spans="18:19" x14ac:dyDescent="0.25">
      <c r="R1475" s="57">
        <v>35659</v>
      </c>
      <c r="S1475" s="16">
        <v>1184</v>
      </c>
    </row>
    <row r="1476" spans="18:19" x14ac:dyDescent="0.25">
      <c r="R1476" s="57">
        <v>35666</v>
      </c>
      <c r="S1476" s="16">
        <v>1962</v>
      </c>
    </row>
    <row r="1477" spans="18:19" x14ac:dyDescent="0.25">
      <c r="R1477" s="57">
        <v>35673</v>
      </c>
      <c r="S1477" s="16">
        <v>712</v>
      </c>
    </row>
    <row r="1478" spans="18:19" x14ac:dyDescent="0.25">
      <c r="R1478" s="57">
        <v>35680</v>
      </c>
      <c r="S1478" s="16">
        <v>569</v>
      </c>
    </row>
    <row r="1479" spans="18:19" x14ac:dyDescent="0.25">
      <c r="R1479" s="57">
        <v>35687</v>
      </c>
      <c r="S1479" s="16">
        <v>775</v>
      </c>
    </row>
    <row r="1480" spans="18:19" x14ac:dyDescent="0.25">
      <c r="R1480" s="57">
        <v>35694</v>
      </c>
      <c r="S1480" s="16">
        <v>1018</v>
      </c>
    </row>
    <row r="1481" spans="18:19" x14ac:dyDescent="0.25">
      <c r="R1481" s="57">
        <v>35701</v>
      </c>
      <c r="S1481" s="16">
        <v>876</v>
      </c>
    </row>
    <row r="1482" spans="18:19" x14ac:dyDescent="0.25">
      <c r="R1482" s="57">
        <v>35708</v>
      </c>
      <c r="S1482" s="16">
        <v>913</v>
      </c>
    </row>
    <row r="1483" spans="18:19" x14ac:dyDescent="0.25">
      <c r="R1483" s="57">
        <v>35715</v>
      </c>
      <c r="S1483" s="16">
        <v>1073</v>
      </c>
    </row>
    <row r="1484" spans="18:19" x14ac:dyDescent="0.25">
      <c r="R1484" s="57">
        <v>35722</v>
      </c>
      <c r="S1484" s="16">
        <v>1458</v>
      </c>
    </row>
    <row r="1485" spans="18:19" x14ac:dyDescent="0.25">
      <c r="R1485" s="57">
        <v>35729</v>
      </c>
      <c r="S1485" s="16">
        <v>819</v>
      </c>
    </row>
    <row r="1486" spans="18:19" x14ac:dyDescent="0.25">
      <c r="R1486" s="57">
        <v>35735</v>
      </c>
      <c r="S1486" s="16">
        <v>869</v>
      </c>
    </row>
    <row r="1487" spans="18:19" x14ac:dyDescent="0.25">
      <c r="R1487" s="57">
        <v>35736</v>
      </c>
      <c r="S1487" s="16">
        <v>666</v>
      </c>
    </row>
    <row r="1488" spans="18:19" x14ac:dyDescent="0.25">
      <c r="R1488" s="57">
        <v>35743</v>
      </c>
      <c r="S1488" s="16">
        <v>644</v>
      </c>
    </row>
    <row r="1489" spans="18:19" x14ac:dyDescent="0.25">
      <c r="R1489" s="57">
        <v>35750</v>
      </c>
      <c r="S1489" s="16">
        <v>938</v>
      </c>
    </row>
    <row r="1490" spans="18:19" x14ac:dyDescent="0.25">
      <c r="R1490" s="57">
        <v>35757</v>
      </c>
      <c r="S1490" s="16">
        <v>1174</v>
      </c>
    </row>
    <row r="1491" spans="18:19" x14ac:dyDescent="0.25">
      <c r="R1491" s="57">
        <v>35764</v>
      </c>
      <c r="S1491" s="16">
        <v>1105</v>
      </c>
    </row>
    <row r="1492" spans="18:19" x14ac:dyDescent="0.25">
      <c r="R1492" s="57">
        <v>35771</v>
      </c>
      <c r="S1492" s="16">
        <v>921</v>
      </c>
    </row>
    <row r="1493" spans="18:19" x14ac:dyDescent="0.25">
      <c r="R1493" s="57">
        <v>35778</v>
      </c>
      <c r="S1493" s="16">
        <v>965</v>
      </c>
    </row>
    <row r="1494" spans="18:19" x14ac:dyDescent="0.25">
      <c r="R1494" s="57">
        <v>35785</v>
      </c>
      <c r="S1494" s="16">
        <v>762</v>
      </c>
    </row>
    <row r="1495" spans="18:19" x14ac:dyDescent="0.25">
      <c r="R1495" s="57">
        <v>35788</v>
      </c>
      <c r="S1495" s="16">
        <v>1106</v>
      </c>
    </row>
    <row r="1496" spans="18:19" x14ac:dyDescent="0.25">
      <c r="R1496" s="57">
        <v>35789</v>
      </c>
      <c r="S1496" s="16">
        <v>810</v>
      </c>
    </row>
    <row r="1497" spans="18:19" x14ac:dyDescent="0.25">
      <c r="R1497" s="57">
        <v>35792</v>
      </c>
      <c r="S1497" s="16">
        <v>653</v>
      </c>
    </row>
    <row r="1498" spans="18:19" x14ac:dyDescent="0.25">
      <c r="R1498" s="57">
        <v>35799</v>
      </c>
      <c r="S1498" s="16">
        <v>1151</v>
      </c>
    </row>
    <row r="1499" spans="18:19" x14ac:dyDescent="0.25">
      <c r="R1499" s="57">
        <v>35806</v>
      </c>
      <c r="S1499" s="16">
        <v>1082</v>
      </c>
    </row>
    <row r="1500" spans="18:19" x14ac:dyDescent="0.25">
      <c r="R1500" s="57">
        <v>35813</v>
      </c>
      <c r="S1500" s="16">
        <v>800</v>
      </c>
    </row>
    <row r="1501" spans="18:19" x14ac:dyDescent="0.25">
      <c r="R1501" s="57">
        <v>35820</v>
      </c>
      <c r="S1501" s="16">
        <v>1090</v>
      </c>
    </row>
    <row r="1502" spans="18:19" x14ac:dyDescent="0.25">
      <c r="R1502" s="57">
        <v>35827</v>
      </c>
      <c r="S1502" s="16">
        <v>767</v>
      </c>
    </row>
    <row r="1503" spans="18:19" x14ac:dyDescent="0.25">
      <c r="R1503" s="57">
        <v>35834</v>
      </c>
      <c r="S1503" s="16">
        <v>673</v>
      </c>
    </row>
    <row r="1504" spans="18:19" x14ac:dyDescent="0.25">
      <c r="R1504" s="57">
        <v>35841</v>
      </c>
      <c r="S1504" s="16">
        <v>1005</v>
      </c>
    </row>
    <row r="1505" spans="18:19" x14ac:dyDescent="0.25">
      <c r="R1505" s="57">
        <v>35848</v>
      </c>
      <c r="S1505" s="16">
        <v>801</v>
      </c>
    </row>
    <row r="1506" spans="18:19" x14ac:dyDescent="0.25">
      <c r="R1506" s="57">
        <v>35855</v>
      </c>
      <c r="S1506" s="16">
        <v>960</v>
      </c>
    </row>
    <row r="1507" spans="18:19" x14ac:dyDescent="0.25">
      <c r="R1507" s="57">
        <v>35862</v>
      </c>
      <c r="S1507" s="16">
        <v>910</v>
      </c>
    </row>
    <row r="1508" spans="18:19" x14ac:dyDescent="0.25">
      <c r="R1508" s="57">
        <v>35869</v>
      </c>
      <c r="S1508" s="16">
        <v>586</v>
      </c>
    </row>
    <row r="1509" spans="18:19" x14ac:dyDescent="0.25">
      <c r="R1509" s="57">
        <v>35876</v>
      </c>
      <c r="S1509" s="16">
        <v>844</v>
      </c>
    </row>
    <row r="1510" spans="18:19" x14ac:dyDescent="0.25">
      <c r="R1510" s="57">
        <v>35883</v>
      </c>
      <c r="S1510" s="16">
        <v>475</v>
      </c>
    </row>
    <row r="1511" spans="18:19" x14ac:dyDescent="0.25">
      <c r="R1511" s="57">
        <v>35890</v>
      </c>
      <c r="S1511" s="16">
        <v>662</v>
      </c>
    </row>
    <row r="1512" spans="18:19" x14ac:dyDescent="0.25">
      <c r="R1512" s="57">
        <v>35897</v>
      </c>
      <c r="S1512" s="16">
        <v>868</v>
      </c>
    </row>
    <row r="1513" spans="18:19" x14ac:dyDescent="0.25">
      <c r="R1513" s="57">
        <v>35904</v>
      </c>
      <c r="S1513" s="16">
        <v>928</v>
      </c>
    </row>
    <row r="1514" spans="18:19" x14ac:dyDescent="0.25">
      <c r="R1514" s="57">
        <v>35911</v>
      </c>
      <c r="S1514" s="16">
        <v>586</v>
      </c>
    </row>
    <row r="1515" spans="18:19" x14ac:dyDescent="0.25">
      <c r="R1515" s="57">
        <v>35918</v>
      </c>
      <c r="S1515" s="16">
        <v>776</v>
      </c>
    </row>
    <row r="1516" spans="18:19" x14ac:dyDescent="0.25">
      <c r="R1516" s="57">
        <v>35925</v>
      </c>
      <c r="S1516" s="16">
        <v>950</v>
      </c>
    </row>
    <row r="1517" spans="18:19" x14ac:dyDescent="0.25">
      <c r="R1517" s="57">
        <v>35932</v>
      </c>
      <c r="S1517" s="16">
        <v>396</v>
      </c>
    </row>
    <row r="1518" spans="18:19" x14ac:dyDescent="0.25">
      <c r="R1518" s="57">
        <v>35936</v>
      </c>
      <c r="S1518" s="16">
        <v>761</v>
      </c>
    </row>
    <row r="1519" spans="18:19" x14ac:dyDescent="0.25">
      <c r="R1519" s="57">
        <v>35939</v>
      </c>
      <c r="S1519" s="16">
        <v>1031</v>
      </c>
    </row>
    <row r="1520" spans="18:19" x14ac:dyDescent="0.25">
      <c r="R1520" s="57">
        <v>35946</v>
      </c>
      <c r="S1520" s="16">
        <v>1019</v>
      </c>
    </row>
    <row r="1521" spans="18:19" x14ac:dyDescent="0.25">
      <c r="R1521" s="57">
        <v>35953</v>
      </c>
      <c r="S1521" s="16">
        <v>524</v>
      </c>
    </row>
    <row r="1522" spans="18:19" x14ac:dyDescent="0.25">
      <c r="R1522" s="57">
        <v>35960</v>
      </c>
      <c r="S1522" s="16">
        <v>1060</v>
      </c>
    </row>
    <row r="1523" spans="18:19" x14ac:dyDescent="0.25">
      <c r="R1523" s="57">
        <v>35967</v>
      </c>
      <c r="S1523" s="16">
        <v>628</v>
      </c>
    </row>
    <row r="1524" spans="18:19" x14ac:dyDescent="0.25">
      <c r="R1524" s="57">
        <v>35974</v>
      </c>
      <c r="S1524" s="16">
        <v>524</v>
      </c>
    </row>
    <row r="1525" spans="18:19" x14ac:dyDescent="0.25">
      <c r="R1525" s="57">
        <v>35981</v>
      </c>
      <c r="S1525" s="16">
        <v>1341</v>
      </c>
    </row>
    <row r="1526" spans="18:19" x14ac:dyDescent="0.25">
      <c r="R1526" s="57">
        <v>35988</v>
      </c>
      <c r="S1526" s="16">
        <v>921</v>
      </c>
    </row>
    <row r="1527" spans="18:19" x14ac:dyDescent="0.25">
      <c r="R1527" s="57">
        <v>35995</v>
      </c>
      <c r="S1527" s="16">
        <v>1567</v>
      </c>
    </row>
    <row r="1528" spans="18:19" x14ac:dyDescent="0.25">
      <c r="R1528" s="57">
        <v>36002</v>
      </c>
      <c r="S1528" s="16">
        <v>815</v>
      </c>
    </row>
    <row r="1529" spans="18:19" x14ac:dyDescent="0.25">
      <c r="R1529" s="57">
        <v>36009</v>
      </c>
      <c r="S1529" s="16">
        <v>1661</v>
      </c>
    </row>
    <row r="1530" spans="18:19" x14ac:dyDescent="0.25">
      <c r="R1530" s="57">
        <v>36016</v>
      </c>
      <c r="S1530" s="16">
        <v>818</v>
      </c>
    </row>
    <row r="1531" spans="18:19" x14ac:dyDescent="0.25">
      <c r="R1531" s="57">
        <v>36022</v>
      </c>
      <c r="S1531" s="16">
        <v>1291</v>
      </c>
    </row>
    <row r="1532" spans="18:19" x14ac:dyDescent="0.25">
      <c r="R1532" s="57">
        <v>36023</v>
      </c>
      <c r="S1532" s="16">
        <v>1042</v>
      </c>
    </row>
    <row r="1533" spans="18:19" x14ac:dyDescent="0.25">
      <c r="R1533" s="57">
        <v>36030</v>
      </c>
      <c r="S1533" s="16">
        <v>730</v>
      </c>
    </row>
    <row r="1534" spans="18:19" x14ac:dyDescent="0.25">
      <c r="R1534" s="57">
        <v>36037</v>
      </c>
      <c r="S1534" s="16">
        <v>720</v>
      </c>
    </row>
    <row r="1535" spans="18:19" x14ac:dyDescent="0.25">
      <c r="R1535" s="57">
        <v>36044</v>
      </c>
      <c r="S1535" s="16">
        <v>412</v>
      </c>
    </row>
    <row r="1536" spans="18:19" x14ac:dyDescent="0.25">
      <c r="R1536" s="57">
        <v>36051</v>
      </c>
      <c r="S1536" s="16">
        <v>882</v>
      </c>
    </row>
    <row r="1537" spans="18:19" x14ac:dyDescent="0.25">
      <c r="R1537" s="57">
        <v>36058</v>
      </c>
      <c r="S1537" s="16">
        <v>749</v>
      </c>
    </row>
    <row r="1538" spans="18:19" x14ac:dyDescent="0.25">
      <c r="R1538" s="57">
        <v>36065</v>
      </c>
      <c r="S1538" s="16">
        <v>619</v>
      </c>
    </row>
    <row r="1539" spans="18:19" x14ac:dyDescent="0.25">
      <c r="R1539" s="57">
        <v>36072</v>
      </c>
      <c r="S1539" s="16">
        <v>890</v>
      </c>
    </row>
    <row r="1540" spans="18:19" x14ac:dyDescent="0.25">
      <c r="R1540" s="57">
        <v>36079</v>
      </c>
      <c r="S1540" s="16">
        <v>1022</v>
      </c>
    </row>
    <row r="1541" spans="18:19" x14ac:dyDescent="0.25">
      <c r="R1541" s="57">
        <v>36086</v>
      </c>
      <c r="S1541" s="16">
        <v>798</v>
      </c>
    </row>
    <row r="1542" spans="18:19" x14ac:dyDescent="0.25">
      <c r="R1542" s="57">
        <v>36093</v>
      </c>
      <c r="S1542" s="16">
        <v>495</v>
      </c>
    </row>
    <row r="1543" spans="18:19" x14ac:dyDescent="0.25">
      <c r="R1543" s="57">
        <v>36100</v>
      </c>
      <c r="S1543" s="16">
        <v>987</v>
      </c>
    </row>
    <row r="1544" spans="18:19" x14ac:dyDescent="0.25">
      <c r="R1544" s="57">
        <v>36107</v>
      </c>
      <c r="S1544" s="16">
        <v>743</v>
      </c>
    </row>
    <row r="1545" spans="18:19" x14ac:dyDescent="0.25">
      <c r="R1545" s="57">
        <v>36114</v>
      </c>
      <c r="S1545" s="16">
        <v>837</v>
      </c>
    </row>
    <row r="1546" spans="18:19" x14ac:dyDescent="0.25">
      <c r="R1546" s="57">
        <v>36121</v>
      </c>
      <c r="S1546" s="16">
        <v>782</v>
      </c>
    </row>
    <row r="1547" spans="18:19" x14ac:dyDescent="0.25">
      <c r="R1547" s="57">
        <v>36128</v>
      </c>
      <c r="S1547" s="16">
        <v>846</v>
      </c>
    </row>
    <row r="1548" spans="18:19" x14ac:dyDescent="0.25">
      <c r="R1548" s="57">
        <v>36135</v>
      </c>
      <c r="S1548" s="16">
        <v>887</v>
      </c>
    </row>
    <row r="1549" spans="18:19" x14ac:dyDescent="0.25">
      <c r="R1549" s="57">
        <v>36142</v>
      </c>
      <c r="S1549" s="16">
        <v>1219</v>
      </c>
    </row>
    <row r="1550" spans="18:19" x14ac:dyDescent="0.25">
      <c r="R1550" s="57">
        <v>36149</v>
      </c>
      <c r="S1550" s="16">
        <v>952</v>
      </c>
    </row>
    <row r="1551" spans="18:19" x14ac:dyDescent="0.25">
      <c r="R1551" s="57">
        <v>36153</v>
      </c>
      <c r="S1551" s="16">
        <v>755</v>
      </c>
    </row>
    <row r="1552" spans="18:19" x14ac:dyDescent="0.25">
      <c r="R1552" s="57">
        <v>36154</v>
      </c>
      <c r="S1552" s="16">
        <v>1177</v>
      </c>
    </row>
    <row r="1553" spans="18:19" x14ac:dyDescent="0.25">
      <c r="R1553" s="57">
        <v>36156</v>
      </c>
      <c r="S1553" s="16">
        <v>1060</v>
      </c>
    </row>
    <row r="1554" spans="18:19" x14ac:dyDescent="0.25">
      <c r="R1554" s="57">
        <v>36163</v>
      </c>
      <c r="S1554" s="16">
        <v>860</v>
      </c>
    </row>
    <row r="1555" spans="18:19" x14ac:dyDescent="0.25">
      <c r="R1555" s="57">
        <v>36170</v>
      </c>
      <c r="S1555" s="16">
        <v>539</v>
      </c>
    </row>
    <row r="1556" spans="18:19" x14ac:dyDescent="0.25">
      <c r="R1556" s="57">
        <v>36177</v>
      </c>
      <c r="S1556" s="16">
        <v>1067</v>
      </c>
    </row>
    <row r="1557" spans="18:19" x14ac:dyDescent="0.25">
      <c r="R1557" s="57">
        <v>36184</v>
      </c>
      <c r="S1557" s="16">
        <v>1062</v>
      </c>
    </row>
    <row r="1558" spans="18:19" x14ac:dyDescent="0.25">
      <c r="R1558" s="57">
        <v>36191</v>
      </c>
      <c r="S1558" s="16">
        <v>797</v>
      </c>
    </row>
    <row r="1559" spans="18:19" x14ac:dyDescent="0.25">
      <c r="R1559" s="57">
        <v>36198</v>
      </c>
      <c r="S1559" s="16">
        <v>720</v>
      </c>
    </row>
    <row r="1560" spans="18:19" x14ac:dyDescent="0.25">
      <c r="R1560" s="57">
        <v>36205</v>
      </c>
      <c r="S1560" s="16">
        <v>898</v>
      </c>
    </row>
    <row r="1561" spans="18:19" x14ac:dyDescent="0.25">
      <c r="R1561" s="57">
        <v>36212</v>
      </c>
      <c r="S1561" s="16">
        <v>1161</v>
      </c>
    </row>
    <row r="1562" spans="18:19" x14ac:dyDescent="0.25">
      <c r="R1562" s="57">
        <v>36219</v>
      </c>
      <c r="S1562" s="16">
        <v>1291</v>
      </c>
    </row>
    <row r="1563" spans="18:19" x14ac:dyDescent="0.25">
      <c r="R1563" s="57">
        <v>36226</v>
      </c>
      <c r="S1563" s="16">
        <v>727</v>
      </c>
    </row>
    <row r="1564" spans="18:19" x14ac:dyDescent="0.25">
      <c r="R1564" s="57">
        <v>36233</v>
      </c>
      <c r="S1564" s="16">
        <v>651</v>
      </c>
    </row>
    <row r="1565" spans="18:19" x14ac:dyDescent="0.25">
      <c r="R1565" s="57">
        <v>36240</v>
      </c>
      <c r="S1565" s="16">
        <v>1150</v>
      </c>
    </row>
    <row r="1566" spans="18:19" x14ac:dyDescent="0.25">
      <c r="R1566" s="57">
        <v>36247</v>
      </c>
      <c r="S1566" s="16">
        <v>908</v>
      </c>
    </row>
    <row r="1567" spans="18:19" x14ac:dyDescent="0.25">
      <c r="R1567" s="57">
        <v>36254</v>
      </c>
      <c r="S1567" s="16">
        <v>893</v>
      </c>
    </row>
    <row r="1568" spans="18:19" x14ac:dyDescent="0.25">
      <c r="R1568" s="57">
        <v>36261</v>
      </c>
      <c r="S1568" s="16">
        <v>1196</v>
      </c>
    </row>
    <row r="1569" spans="18:19" x14ac:dyDescent="0.25">
      <c r="R1569" s="57">
        <v>36268</v>
      </c>
      <c r="S1569" s="16">
        <v>984</v>
      </c>
    </row>
    <row r="1570" spans="18:19" x14ac:dyDescent="0.25">
      <c r="R1570" s="57">
        <v>36275</v>
      </c>
      <c r="S1570" s="16">
        <v>745</v>
      </c>
    </row>
    <row r="1571" spans="18:19" x14ac:dyDescent="0.25">
      <c r="R1571" s="57">
        <v>36282</v>
      </c>
      <c r="S1571" s="16">
        <v>606</v>
      </c>
    </row>
    <row r="1572" spans="18:19" x14ac:dyDescent="0.25">
      <c r="R1572" s="57">
        <v>36289</v>
      </c>
      <c r="S1572" s="16">
        <v>1224</v>
      </c>
    </row>
    <row r="1573" spans="18:19" x14ac:dyDescent="0.25">
      <c r="R1573" s="57">
        <v>36293</v>
      </c>
      <c r="S1573" s="16">
        <v>1216</v>
      </c>
    </row>
    <row r="1574" spans="18:19" x14ac:dyDescent="0.25">
      <c r="R1574" s="57">
        <v>36296</v>
      </c>
      <c r="S1574" s="16">
        <v>617</v>
      </c>
    </row>
    <row r="1575" spans="18:19" x14ac:dyDescent="0.25">
      <c r="R1575" s="57">
        <v>36303</v>
      </c>
      <c r="S1575" s="16">
        <v>1049</v>
      </c>
    </row>
    <row r="1576" spans="18:19" x14ac:dyDescent="0.25">
      <c r="R1576" s="57">
        <v>36310</v>
      </c>
      <c r="S1576" s="16">
        <v>1070</v>
      </c>
    </row>
    <row r="1577" spans="18:19" x14ac:dyDescent="0.25">
      <c r="R1577" s="57">
        <v>36317</v>
      </c>
      <c r="S1577" s="16">
        <v>1179</v>
      </c>
    </row>
    <row r="1578" spans="18:19" x14ac:dyDescent="0.25">
      <c r="R1578" s="57">
        <v>36324</v>
      </c>
      <c r="S1578" s="16">
        <v>1068</v>
      </c>
    </row>
    <row r="1579" spans="18:19" x14ac:dyDescent="0.25">
      <c r="R1579" s="57">
        <v>36331</v>
      </c>
      <c r="S1579" s="16">
        <v>477</v>
      </c>
    </row>
    <row r="1580" spans="18:19" x14ac:dyDescent="0.25">
      <c r="R1580" s="57">
        <v>36338</v>
      </c>
      <c r="S1580" s="16">
        <v>862</v>
      </c>
    </row>
    <row r="1581" spans="18:19" x14ac:dyDescent="0.25">
      <c r="R1581" s="57">
        <v>36345</v>
      </c>
      <c r="S1581" s="16">
        <v>757</v>
      </c>
    </row>
    <row r="1582" spans="18:19" x14ac:dyDescent="0.25">
      <c r="R1582" s="57">
        <v>36352</v>
      </c>
      <c r="S1582" s="16">
        <v>809</v>
      </c>
    </row>
    <row r="1583" spans="18:19" x14ac:dyDescent="0.25">
      <c r="R1583" s="57">
        <v>36359</v>
      </c>
      <c r="S1583" s="16">
        <v>717</v>
      </c>
    </row>
    <row r="1584" spans="18:19" x14ac:dyDescent="0.25">
      <c r="R1584" s="57">
        <v>36366</v>
      </c>
      <c r="S1584" s="16">
        <v>937</v>
      </c>
    </row>
    <row r="1585" spans="18:19" x14ac:dyDescent="0.25">
      <c r="R1585" s="57">
        <v>36373</v>
      </c>
      <c r="S1585" s="16">
        <v>982</v>
      </c>
    </row>
    <row r="1586" spans="18:19" x14ac:dyDescent="0.25">
      <c r="R1586" s="57">
        <v>36380</v>
      </c>
      <c r="S1586" s="16">
        <v>972</v>
      </c>
    </row>
    <row r="1587" spans="18:19" x14ac:dyDescent="0.25">
      <c r="R1587" s="57">
        <v>36387</v>
      </c>
      <c r="S1587" s="16">
        <v>1132</v>
      </c>
    </row>
    <row r="1588" spans="18:19" x14ac:dyDescent="0.25">
      <c r="R1588" s="57">
        <v>36394</v>
      </c>
      <c r="S1588" s="16">
        <v>769</v>
      </c>
    </row>
    <row r="1589" spans="18:19" x14ac:dyDescent="0.25">
      <c r="R1589" s="57">
        <v>36401</v>
      </c>
      <c r="S1589" s="16">
        <v>739</v>
      </c>
    </row>
    <row r="1590" spans="18:19" x14ac:dyDescent="0.25">
      <c r="R1590" s="57">
        <v>36408</v>
      </c>
      <c r="S1590" s="16">
        <v>406</v>
      </c>
    </row>
    <row r="1591" spans="18:19" x14ac:dyDescent="0.25">
      <c r="R1591" s="57">
        <v>36415</v>
      </c>
      <c r="S1591" s="16">
        <v>588</v>
      </c>
    </row>
    <row r="1592" spans="18:19" x14ac:dyDescent="0.25">
      <c r="R1592" s="57">
        <v>36422</v>
      </c>
      <c r="S1592" s="16">
        <v>657</v>
      </c>
    </row>
    <row r="1593" spans="18:19" x14ac:dyDescent="0.25">
      <c r="R1593" s="57">
        <v>36429</v>
      </c>
      <c r="S1593" s="16">
        <v>673</v>
      </c>
    </row>
    <row r="1594" spans="18:19" x14ac:dyDescent="0.25">
      <c r="R1594" s="57">
        <v>36436</v>
      </c>
      <c r="S1594" s="16">
        <v>599</v>
      </c>
    </row>
    <row r="1595" spans="18:19" x14ac:dyDescent="0.25">
      <c r="R1595" s="57">
        <v>36443</v>
      </c>
      <c r="S1595" s="16">
        <v>934</v>
      </c>
    </row>
    <row r="1596" spans="18:19" x14ac:dyDescent="0.25">
      <c r="R1596" s="57">
        <v>36450</v>
      </c>
      <c r="S1596" s="16">
        <v>1190</v>
      </c>
    </row>
    <row r="1597" spans="18:19" x14ac:dyDescent="0.25">
      <c r="R1597" s="57">
        <v>36457</v>
      </c>
      <c r="S1597" s="16">
        <v>685</v>
      </c>
    </row>
    <row r="1598" spans="18:19" x14ac:dyDescent="0.25">
      <c r="R1598" s="57">
        <v>36464</v>
      </c>
      <c r="S1598" s="16">
        <v>817</v>
      </c>
    </row>
    <row r="1599" spans="18:19" x14ac:dyDescent="0.25">
      <c r="R1599" s="57">
        <v>36465</v>
      </c>
      <c r="S1599" s="16">
        <v>961</v>
      </c>
    </row>
    <row r="1600" spans="18:19" x14ac:dyDescent="0.25">
      <c r="R1600" s="57">
        <v>36471</v>
      </c>
      <c r="S1600" s="16">
        <v>1446</v>
      </c>
    </row>
    <row r="1601" spans="18:19" x14ac:dyDescent="0.25">
      <c r="R1601" s="57">
        <v>36478</v>
      </c>
      <c r="S1601" s="16">
        <v>566</v>
      </c>
    </row>
    <row r="1602" spans="18:19" x14ac:dyDescent="0.25">
      <c r="R1602" s="57">
        <v>36485</v>
      </c>
      <c r="S1602" s="16">
        <v>642</v>
      </c>
    </row>
    <row r="1603" spans="18:19" x14ac:dyDescent="0.25">
      <c r="R1603" s="57">
        <v>36492</v>
      </c>
      <c r="S1603" s="16">
        <v>612</v>
      </c>
    </row>
    <row r="1604" spans="18:19" x14ac:dyDescent="0.25">
      <c r="R1604" s="57">
        <v>36499</v>
      </c>
      <c r="S1604" s="16">
        <v>807</v>
      </c>
    </row>
    <row r="1605" spans="18:19" x14ac:dyDescent="0.25">
      <c r="R1605" s="57">
        <v>36506</v>
      </c>
      <c r="S1605" s="16">
        <v>861</v>
      </c>
    </row>
    <row r="1606" spans="18:19" x14ac:dyDescent="0.25">
      <c r="R1606" s="57">
        <v>36513</v>
      </c>
      <c r="S1606" s="16">
        <v>1017</v>
      </c>
    </row>
    <row r="1607" spans="18:19" x14ac:dyDescent="0.25">
      <c r="R1607" s="57">
        <v>36518</v>
      </c>
      <c r="S1607" s="16">
        <v>935</v>
      </c>
    </row>
    <row r="1608" spans="18:19" x14ac:dyDescent="0.25">
      <c r="R1608" s="57">
        <v>36519</v>
      </c>
      <c r="S1608" s="16">
        <v>1141</v>
      </c>
    </row>
    <row r="1609" spans="18:19" x14ac:dyDescent="0.25">
      <c r="R1609" s="57">
        <v>36520</v>
      </c>
      <c r="S1609" s="16">
        <v>819</v>
      </c>
    </row>
    <row r="1610" spans="18:19" x14ac:dyDescent="0.25">
      <c r="R1610" s="57">
        <v>36527</v>
      </c>
      <c r="S1610" s="16">
        <v>1122</v>
      </c>
    </row>
    <row r="1611" spans="18:19" x14ac:dyDescent="0.25">
      <c r="R1611" s="57">
        <v>36534</v>
      </c>
      <c r="S1611" s="16">
        <v>951</v>
      </c>
    </row>
    <row r="1612" spans="18:19" x14ac:dyDescent="0.25">
      <c r="R1612" s="57">
        <v>36541</v>
      </c>
      <c r="S1612" s="16">
        <v>928</v>
      </c>
    </row>
    <row r="1613" spans="18:19" x14ac:dyDescent="0.25">
      <c r="R1613" s="57">
        <v>36548</v>
      </c>
      <c r="S1613" s="16">
        <v>1188</v>
      </c>
    </row>
    <row r="1614" spans="18:19" x14ac:dyDescent="0.25">
      <c r="R1614" s="57">
        <v>36555</v>
      </c>
      <c r="S1614" s="16">
        <v>1047</v>
      </c>
    </row>
    <row r="1615" spans="18:19" x14ac:dyDescent="0.25">
      <c r="R1615" s="57">
        <v>36562</v>
      </c>
      <c r="S1615" s="16">
        <v>567</v>
      </c>
    </row>
    <row r="1616" spans="18:19" x14ac:dyDescent="0.25">
      <c r="R1616" s="57">
        <v>36569</v>
      </c>
      <c r="S1616" s="16">
        <v>696</v>
      </c>
    </row>
    <row r="1617" spans="18:19" x14ac:dyDescent="0.25">
      <c r="R1617" s="57">
        <v>36576</v>
      </c>
      <c r="S1617" s="16">
        <v>762</v>
      </c>
    </row>
    <row r="1618" spans="18:19" x14ac:dyDescent="0.25">
      <c r="R1618" s="57">
        <v>36583</v>
      </c>
      <c r="S1618" s="16">
        <v>949</v>
      </c>
    </row>
    <row r="1619" spans="18:19" x14ac:dyDescent="0.25">
      <c r="R1619" s="57">
        <v>36590</v>
      </c>
      <c r="S1619" s="16">
        <v>680</v>
      </c>
    </row>
    <row r="1620" spans="18:19" x14ac:dyDescent="0.25">
      <c r="R1620" s="57">
        <v>36597</v>
      </c>
      <c r="S1620" s="16">
        <v>880</v>
      </c>
    </row>
    <row r="1621" spans="18:19" x14ac:dyDescent="0.25">
      <c r="R1621" s="57">
        <v>36604</v>
      </c>
      <c r="S1621" s="16">
        <v>990</v>
      </c>
    </row>
    <row r="1622" spans="18:19" x14ac:dyDescent="0.25">
      <c r="R1622" s="57">
        <v>36611</v>
      </c>
      <c r="S1622" s="16">
        <v>1296</v>
      </c>
    </row>
    <row r="1623" spans="18:19" x14ac:dyDescent="0.25">
      <c r="R1623" s="57">
        <v>36618</v>
      </c>
      <c r="S1623" s="16">
        <v>1062</v>
      </c>
    </row>
    <row r="1624" spans="18:19" x14ac:dyDescent="0.25">
      <c r="R1624" s="57">
        <v>36625</v>
      </c>
      <c r="S1624" s="16">
        <v>738</v>
      </c>
    </row>
    <row r="1625" spans="18:19" x14ac:dyDescent="0.25">
      <c r="R1625" s="57">
        <v>36632</v>
      </c>
      <c r="S1625" s="16">
        <v>384</v>
      </c>
    </row>
    <row r="1626" spans="18:19" x14ac:dyDescent="0.25">
      <c r="R1626" s="57">
        <v>36639</v>
      </c>
      <c r="S1626" s="16">
        <v>702</v>
      </c>
    </row>
    <row r="1627" spans="18:19" x14ac:dyDescent="0.25">
      <c r="R1627" s="57">
        <v>36646</v>
      </c>
      <c r="S1627" s="16">
        <v>1033</v>
      </c>
    </row>
    <row r="1628" spans="18:19" x14ac:dyDescent="0.25">
      <c r="R1628" s="57">
        <v>36653</v>
      </c>
      <c r="S1628" s="16">
        <v>732</v>
      </c>
    </row>
    <row r="1629" spans="18:19" x14ac:dyDescent="0.25">
      <c r="R1629" s="57">
        <v>36660</v>
      </c>
      <c r="S1629" s="16">
        <v>949</v>
      </c>
    </row>
    <row r="1630" spans="18:19" x14ac:dyDescent="0.25">
      <c r="R1630" s="57">
        <v>36667</v>
      </c>
      <c r="S1630" s="16">
        <v>1044</v>
      </c>
    </row>
    <row r="1631" spans="18:19" x14ac:dyDescent="0.25">
      <c r="R1631" s="57">
        <v>36674</v>
      </c>
      <c r="S1631" s="16">
        <v>785</v>
      </c>
    </row>
    <row r="1632" spans="18:19" x14ac:dyDescent="0.25">
      <c r="R1632" s="57">
        <v>36678</v>
      </c>
      <c r="S1632" s="16">
        <v>965</v>
      </c>
    </row>
    <row r="1633" spans="18:19" x14ac:dyDescent="0.25">
      <c r="R1633" s="57">
        <v>36681</v>
      </c>
      <c r="S1633" s="16">
        <v>1056</v>
      </c>
    </row>
    <row r="1634" spans="18:19" x14ac:dyDescent="0.25">
      <c r="R1634" s="57">
        <v>36688</v>
      </c>
      <c r="S1634" s="16">
        <v>1047</v>
      </c>
    </row>
    <row r="1635" spans="18:19" x14ac:dyDescent="0.25">
      <c r="R1635" s="57">
        <v>36695</v>
      </c>
      <c r="S1635" s="16">
        <v>943</v>
      </c>
    </row>
    <row r="1636" spans="18:19" x14ac:dyDescent="0.25">
      <c r="R1636" s="57">
        <v>36702</v>
      </c>
      <c r="S1636" s="16">
        <v>903</v>
      </c>
    </row>
    <row r="1637" spans="18:19" x14ac:dyDescent="0.25">
      <c r="R1637" s="57">
        <v>36709</v>
      </c>
      <c r="S1637" s="16">
        <v>1091</v>
      </c>
    </row>
    <row r="1638" spans="18:19" x14ac:dyDescent="0.25">
      <c r="R1638" s="57">
        <v>36716</v>
      </c>
      <c r="S1638" s="16">
        <v>839</v>
      </c>
    </row>
    <row r="1639" spans="18:19" x14ac:dyDescent="0.25">
      <c r="R1639" s="57">
        <v>36723</v>
      </c>
      <c r="S1639" s="16">
        <v>725</v>
      </c>
    </row>
    <row r="1640" spans="18:19" x14ac:dyDescent="0.25">
      <c r="R1640" s="57">
        <v>36730</v>
      </c>
      <c r="S1640" s="16">
        <v>992</v>
      </c>
    </row>
    <row r="1641" spans="18:19" x14ac:dyDescent="0.25">
      <c r="R1641" s="57">
        <v>36737</v>
      </c>
      <c r="S1641" s="16">
        <v>601</v>
      </c>
    </row>
    <row r="1642" spans="18:19" x14ac:dyDescent="0.25">
      <c r="R1642" s="57">
        <v>36744</v>
      </c>
      <c r="S1642" s="16">
        <v>958</v>
      </c>
    </row>
    <row r="1643" spans="18:19" x14ac:dyDescent="0.25">
      <c r="R1643" s="57">
        <v>36751</v>
      </c>
      <c r="S1643" s="16">
        <v>1038</v>
      </c>
    </row>
    <row r="1644" spans="18:19" x14ac:dyDescent="0.25">
      <c r="R1644" s="57">
        <v>36753</v>
      </c>
      <c r="S1644" s="16">
        <v>841</v>
      </c>
    </row>
    <row r="1645" spans="18:19" x14ac:dyDescent="0.25">
      <c r="R1645" s="57">
        <v>36758</v>
      </c>
      <c r="S1645" s="16">
        <v>1962</v>
      </c>
    </row>
    <row r="1646" spans="18:19" x14ac:dyDescent="0.25">
      <c r="R1646" s="57">
        <v>36765</v>
      </c>
      <c r="S1646" s="16">
        <v>886</v>
      </c>
    </row>
    <row r="1647" spans="18:19" x14ac:dyDescent="0.25">
      <c r="R1647" s="57">
        <v>36772</v>
      </c>
      <c r="S1647" s="16">
        <v>1139</v>
      </c>
    </row>
    <row r="1648" spans="18:19" x14ac:dyDescent="0.25">
      <c r="R1648" s="57">
        <v>36779</v>
      </c>
      <c r="S1648" s="16">
        <v>852</v>
      </c>
    </row>
    <row r="1649" spans="18:19" x14ac:dyDescent="0.25">
      <c r="R1649" s="57">
        <v>36786</v>
      </c>
      <c r="S1649" s="16">
        <v>634</v>
      </c>
    </row>
    <row r="1650" spans="18:19" x14ac:dyDescent="0.25">
      <c r="R1650" s="57">
        <v>36793</v>
      </c>
      <c r="S1650" s="16">
        <v>1032</v>
      </c>
    </row>
    <row r="1651" spans="18:19" x14ac:dyDescent="0.25">
      <c r="R1651" s="57">
        <v>36800</v>
      </c>
      <c r="S1651" s="16">
        <v>750</v>
      </c>
    </row>
    <row r="1652" spans="18:19" x14ac:dyDescent="0.25">
      <c r="R1652" s="57">
        <v>36807</v>
      </c>
      <c r="S1652" s="16">
        <v>948</v>
      </c>
    </row>
    <row r="1653" spans="18:19" x14ac:dyDescent="0.25">
      <c r="R1653" s="57">
        <v>36814</v>
      </c>
      <c r="S1653" s="16">
        <v>1062</v>
      </c>
    </row>
    <row r="1654" spans="18:19" x14ac:dyDescent="0.25">
      <c r="R1654" s="57">
        <v>36821</v>
      </c>
      <c r="S1654" s="16">
        <v>501</v>
      </c>
    </row>
    <row r="1655" spans="18:19" x14ac:dyDescent="0.25">
      <c r="R1655" s="57">
        <v>36828</v>
      </c>
      <c r="S1655" s="16">
        <v>1148</v>
      </c>
    </row>
    <row r="1656" spans="18:19" x14ac:dyDescent="0.25">
      <c r="R1656" s="57">
        <v>36831</v>
      </c>
      <c r="S1656" s="16">
        <v>898</v>
      </c>
    </row>
    <row r="1657" spans="18:19" x14ac:dyDescent="0.25">
      <c r="R1657" s="57">
        <v>36835</v>
      </c>
      <c r="S1657" s="16">
        <v>613</v>
      </c>
    </row>
    <row r="1658" spans="18:19" x14ac:dyDescent="0.25">
      <c r="R1658" s="57">
        <v>36842</v>
      </c>
      <c r="S1658" s="16">
        <v>461</v>
      </c>
    </row>
    <row r="1659" spans="18:19" x14ac:dyDescent="0.25">
      <c r="R1659" s="57">
        <v>36849</v>
      </c>
      <c r="S1659" s="16">
        <v>1016</v>
      </c>
    </row>
    <row r="1660" spans="18:19" x14ac:dyDescent="0.25">
      <c r="R1660" s="57">
        <v>36856</v>
      </c>
      <c r="S1660" s="16">
        <v>869</v>
      </c>
    </row>
    <row r="1661" spans="18:19" x14ac:dyDescent="0.25">
      <c r="R1661" s="57">
        <v>36863</v>
      </c>
      <c r="S1661" s="16">
        <v>971</v>
      </c>
    </row>
    <row r="1662" spans="18:19" x14ac:dyDescent="0.25">
      <c r="R1662" s="57">
        <v>36870</v>
      </c>
      <c r="S1662" s="16">
        <v>742</v>
      </c>
    </row>
    <row r="1663" spans="18:19" x14ac:dyDescent="0.25">
      <c r="R1663" s="57">
        <v>36877</v>
      </c>
      <c r="S1663" s="16">
        <v>986</v>
      </c>
    </row>
    <row r="1664" spans="18:19" x14ac:dyDescent="0.25">
      <c r="R1664" s="57">
        <v>36884</v>
      </c>
      <c r="S1664" s="16">
        <v>1097</v>
      </c>
    </row>
    <row r="1665" spans="18:19" x14ac:dyDescent="0.25">
      <c r="R1665" s="57">
        <v>36884</v>
      </c>
      <c r="S1665" s="16">
        <v>808</v>
      </c>
    </row>
    <row r="1666" spans="18:19" x14ac:dyDescent="0.25">
      <c r="R1666" s="57">
        <v>36885</v>
      </c>
      <c r="S1666" s="16">
        <v>557</v>
      </c>
    </row>
    <row r="1667" spans="18:19" x14ac:dyDescent="0.25">
      <c r="R1667" s="57">
        <v>36891</v>
      </c>
      <c r="S1667" s="16">
        <v>250</v>
      </c>
    </row>
    <row r="1668" spans="18:19" x14ac:dyDescent="0.25">
      <c r="R1668" s="57">
        <v>36898</v>
      </c>
      <c r="S1668" s="16">
        <v>927</v>
      </c>
    </row>
    <row r="1669" spans="18:19" x14ac:dyDescent="0.25">
      <c r="R1669" s="57">
        <v>36905</v>
      </c>
      <c r="S1669" s="16">
        <v>1091</v>
      </c>
    </row>
    <row r="1670" spans="18:19" x14ac:dyDescent="0.25">
      <c r="R1670" s="57">
        <v>36912</v>
      </c>
      <c r="S1670" s="16">
        <v>1486</v>
      </c>
    </row>
    <row r="1671" spans="18:19" x14ac:dyDescent="0.25">
      <c r="R1671" s="57">
        <v>36919</v>
      </c>
      <c r="S1671" s="16">
        <v>569</v>
      </c>
    </row>
    <row r="1672" spans="18:19" x14ac:dyDescent="0.25">
      <c r="R1672" s="57">
        <v>36926</v>
      </c>
      <c r="S1672" s="16">
        <v>1061</v>
      </c>
    </row>
    <row r="1673" spans="18:19" x14ac:dyDescent="0.25">
      <c r="R1673" s="57">
        <v>36933</v>
      </c>
      <c r="S1673" s="16">
        <v>568</v>
      </c>
    </row>
    <row r="1674" spans="18:19" x14ac:dyDescent="0.25">
      <c r="R1674" s="57">
        <v>36940</v>
      </c>
      <c r="S1674" s="16">
        <v>1026</v>
      </c>
    </row>
    <row r="1675" spans="18:19" x14ac:dyDescent="0.25">
      <c r="R1675" s="57">
        <v>36947</v>
      </c>
      <c r="S1675" s="16">
        <v>942</v>
      </c>
    </row>
    <row r="1676" spans="18:19" x14ac:dyDescent="0.25">
      <c r="R1676" s="57">
        <v>36954</v>
      </c>
      <c r="S1676" s="16">
        <v>1245</v>
      </c>
    </row>
    <row r="1677" spans="18:19" x14ac:dyDescent="0.25">
      <c r="R1677" s="57">
        <v>36961</v>
      </c>
      <c r="S1677" s="16">
        <v>936</v>
      </c>
    </row>
    <row r="1678" spans="18:19" x14ac:dyDescent="0.25">
      <c r="R1678" s="57">
        <v>36968</v>
      </c>
      <c r="S1678" s="16">
        <v>759</v>
      </c>
    </row>
    <row r="1679" spans="18:19" x14ac:dyDescent="0.25">
      <c r="R1679" s="57">
        <v>36975</v>
      </c>
      <c r="S1679" s="16">
        <v>968</v>
      </c>
    </row>
    <row r="1680" spans="18:19" x14ac:dyDescent="0.25">
      <c r="R1680" s="57">
        <v>36982</v>
      </c>
      <c r="S1680" s="16">
        <v>1103</v>
      </c>
    </row>
    <row r="1681" spans="18:19" x14ac:dyDescent="0.25">
      <c r="R1681" s="57">
        <v>36989</v>
      </c>
      <c r="S1681" s="16">
        <v>739</v>
      </c>
    </row>
    <row r="1682" spans="18:19" x14ac:dyDescent="0.25">
      <c r="R1682" s="57">
        <v>36996</v>
      </c>
      <c r="S1682" s="16">
        <v>1167</v>
      </c>
    </row>
    <row r="1683" spans="18:19" x14ac:dyDescent="0.25">
      <c r="R1683" s="57">
        <v>37003</v>
      </c>
      <c r="S1683" s="16">
        <v>537</v>
      </c>
    </row>
    <row r="1684" spans="18:19" x14ac:dyDescent="0.25">
      <c r="R1684" s="57">
        <v>37010</v>
      </c>
      <c r="S1684" s="16">
        <v>670</v>
      </c>
    </row>
    <row r="1685" spans="18:19" x14ac:dyDescent="0.25">
      <c r="R1685" s="57">
        <v>37017</v>
      </c>
      <c r="S1685" s="16">
        <v>1012</v>
      </c>
    </row>
    <row r="1686" spans="18:19" x14ac:dyDescent="0.25">
      <c r="R1686" s="57">
        <v>37024</v>
      </c>
      <c r="S1686" s="16">
        <v>808</v>
      </c>
    </row>
    <row r="1687" spans="18:19" x14ac:dyDescent="0.25">
      <c r="R1687" s="57">
        <v>37031</v>
      </c>
      <c r="S1687" s="16">
        <v>618</v>
      </c>
    </row>
    <row r="1688" spans="18:19" x14ac:dyDescent="0.25">
      <c r="R1688" s="57">
        <v>37035</v>
      </c>
      <c r="S1688" s="16">
        <v>960</v>
      </c>
    </row>
    <row r="1689" spans="18:19" x14ac:dyDescent="0.25">
      <c r="R1689" s="57">
        <v>37038</v>
      </c>
      <c r="S1689" s="16">
        <v>885</v>
      </c>
    </row>
    <row r="1690" spans="18:19" x14ac:dyDescent="0.25">
      <c r="R1690" s="57">
        <v>37045</v>
      </c>
      <c r="S1690" s="16">
        <v>801</v>
      </c>
    </row>
    <row r="1691" spans="18:19" x14ac:dyDescent="0.25">
      <c r="R1691" s="57">
        <v>37052</v>
      </c>
      <c r="S1691" s="16">
        <v>873</v>
      </c>
    </row>
    <row r="1692" spans="18:19" x14ac:dyDescent="0.25">
      <c r="R1692" s="57">
        <v>37059</v>
      </c>
      <c r="S1692" s="16">
        <v>698</v>
      </c>
    </row>
    <row r="1693" spans="18:19" x14ac:dyDescent="0.25">
      <c r="R1693" s="57">
        <v>37066</v>
      </c>
      <c r="S1693" s="16">
        <v>1182</v>
      </c>
    </row>
    <row r="1694" spans="18:19" x14ac:dyDescent="0.25">
      <c r="R1694" s="57">
        <v>37073</v>
      </c>
      <c r="S1694" s="16">
        <v>1091</v>
      </c>
    </row>
    <row r="1695" spans="18:19" x14ac:dyDescent="0.25">
      <c r="R1695" s="57">
        <v>37080</v>
      </c>
      <c r="S1695" s="16">
        <v>990</v>
      </c>
    </row>
    <row r="1696" spans="18:19" x14ac:dyDescent="0.25">
      <c r="R1696" s="57">
        <v>37087</v>
      </c>
      <c r="S1696" s="16">
        <v>1389</v>
      </c>
    </row>
    <row r="1697" spans="18:19" x14ac:dyDescent="0.25">
      <c r="R1697" s="57">
        <v>37094</v>
      </c>
      <c r="S1697" s="16">
        <v>579</v>
      </c>
    </row>
    <row r="1698" spans="18:19" x14ac:dyDescent="0.25">
      <c r="R1698" s="57">
        <v>37101</v>
      </c>
      <c r="S1698" s="16">
        <v>1008</v>
      </c>
    </row>
    <row r="1699" spans="18:19" x14ac:dyDescent="0.25">
      <c r="R1699" s="57">
        <v>37108</v>
      </c>
      <c r="S1699" s="16">
        <v>1011</v>
      </c>
    </row>
    <row r="1700" spans="18:19" x14ac:dyDescent="0.25">
      <c r="R1700" s="57">
        <v>37115</v>
      </c>
      <c r="S1700" s="16">
        <v>599</v>
      </c>
    </row>
    <row r="1701" spans="18:19" x14ac:dyDescent="0.25">
      <c r="R1701" s="57">
        <v>37118</v>
      </c>
      <c r="S1701" s="16">
        <v>777</v>
      </c>
    </row>
    <row r="1702" spans="18:19" x14ac:dyDescent="0.25">
      <c r="R1702" s="57">
        <v>37122</v>
      </c>
      <c r="S1702" s="16">
        <v>807</v>
      </c>
    </row>
    <row r="1703" spans="18:19" x14ac:dyDescent="0.25">
      <c r="R1703" s="57">
        <v>37129</v>
      </c>
      <c r="S1703" s="16">
        <v>733</v>
      </c>
    </row>
    <row r="1704" spans="18:19" x14ac:dyDescent="0.25">
      <c r="R1704" s="57">
        <v>37136</v>
      </c>
      <c r="S1704" s="16">
        <v>685</v>
      </c>
    </row>
    <row r="1705" spans="18:19" x14ac:dyDescent="0.25">
      <c r="R1705" s="57">
        <v>37143</v>
      </c>
      <c r="S1705" s="16">
        <v>642</v>
      </c>
    </row>
    <row r="1706" spans="18:19" x14ac:dyDescent="0.25">
      <c r="R1706" s="57">
        <v>37150</v>
      </c>
      <c r="S1706" s="16">
        <v>1127</v>
      </c>
    </row>
    <row r="1707" spans="18:19" x14ac:dyDescent="0.25">
      <c r="R1707" s="57">
        <v>37157</v>
      </c>
      <c r="S1707" s="16">
        <v>864</v>
      </c>
    </row>
    <row r="1708" spans="18:19" x14ac:dyDescent="0.25">
      <c r="R1708" s="57">
        <v>37164</v>
      </c>
      <c r="S1708" s="16">
        <v>1137</v>
      </c>
    </row>
    <row r="1709" spans="18:19" x14ac:dyDescent="0.25">
      <c r="R1709" s="57">
        <v>37171</v>
      </c>
      <c r="S1709" s="16">
        <v>1002</v>
      </c>
    </row>
    <row r="1710" spans="18:19" x14ac:dyDescent="0.25">
      <c r="R1710" s="57">
        <v>37178</v>
      </c>
      <c r="S1710" s="16">
        <v>913</v>
      </c>
    </row>
    <row r="1711" spans="18:19" x14ac:dyDescent="0.25">
      <c r="R1711" s="57">
        <v>37185</v>
      </c>
      <c r="S1711" s="16">
        <v>863</v>
      </c>
    </row>
    <row r="1712" spans="18:19" x14ac:dyDescent="0.25">
      <c r="R1712" s="57">
        <v>37192</v>
      </c>
      <c r="S1712" s="16">
        <v>615</v>
      </c>
    </row>
    <row r="1713" spans="18:19" x14ac:dyDescent="0.25">
      <c r="R1713" s="57">
        <v>37196</v>
      </c>
      <c r="S1713" s="16">
        <v>807</v>
      </c>
    </row>
    <row r="1714" spans="18:19" x14ac:dyDescent="0.25">
      <c r="R1714" s="57">
        <v>37199</v>
      </c>
      <c r="S1714" s="16">
        <v>579</v>
      </c>
    </row>
    <row r="1715" spans="18:19" x14ac:dyDescent="0.25">
      <c r="R1715" s="57">
        <v>37206</v>
      </c>
      <c r="S1715" s="16">
        <v>1015</v>
      </c>
    </row>
    <row r="1716" spans="18:19" x14ac:dyDescent="0.25">
      <c r="R1716" s="57">
        <v>37213</v>
      </c>
      <c r="S1716" s="16">
        <v>612</v>
      </c>
    </row>
    <row r="1717" spans="18:19" x14ac:dyDescent="0.25">
      <c r="R1717" s="57">
        <v>37220</v>
      </c>
      <c r="S1717" s="16">
        <v>937</v>
      </c>
    </row>
    <row r="1718" spans="18:19" x14ac:dyDescent="0.25">
      <c r="R1718" s="57">
        <v>37227</v>
      </c>
      <c r="S1718" s="16">
        <v>533</v>
      </c>
    </row>
    <row r="1719" spans="18:19" x14ac:dyDescent="0.25">
      <c r="R1719" s="57">
        <v>37234</v>
      </c>
      <c r="S1719" s="16">
        <v>1238</v>
      </c>
    </row>
    <row r="1720" spans="18:19" x14ac:dyDescent="0.25">
      <c r="R1720" s="57">
        <v>37241</v>
      </c>
      <c r="S1720" s="16">
        <v>559</v>
      </c>
    </row>
    <row r="1721" spans="18:19" x14ac:dyDescent="0.25">
      <c r="R1721" s="57">
        <v>37248</v>
      </c>
      <c r="S1721" s="16">
        <v>592</v>
      </c>
    </row>
    <row r="1722" spans="18:19" x14ac:dyDescent="0.25">
      <c r="R1722" s="57">
        <v>37249</v>
      </c>
      <c r="S1722" s="16">
        <v>1072</v>
      </c>
    </row>
    <row r="1723" spans="18:19" x14ac:dyDescent="0.25">
      <c r="R1723" s="57">
        <v>37250</v>
      </c>
      <c r="S1723" s="16">
        <v>690</v>
      </c>
    </row>
    <row r="1724" spans="18:19" x14ac:dyDescent="0.25">
      <c r="R1724" s="57">
        <v>37255</v>
      </c>
      <c r="S1724" s="16">
        <v>299</v>
      </c>
    </row>
    <row r="1725" spans="18:19" x14ac:dyDescent="0.25">
      <c r="R1725" s="57">
        <v>37262</v>
      </c>
      <c r="S1725" s="16">
        <v>1302</v>
      </c>
    </row>
    <row r="1726" spans="18:19" x14ac:dyDescent="0.25">
      <c r="R1726" s="57">
        <v>37269</v>
      </c>
      <c r="S1726" s="16">
        <v>832</v>
      </c>
    </row>
    <row r="1727" spans="18:19" x14ac:dyDescent="0.25">
      <c r="R1727" s="57">
        <v>37276</v>
      </c>
      <c r="S1727" s="16">
        <v>534</v>
      </c>
    </row>
    <row r="1728" spans="18:19" x14ac:dyDescent="0.25">
      <c r="R1728" s="57">
        <v>37283</v>
      </c>
      <c r="S1728" s="16">
        <v>709</v>
      </c>
    </row>
    <row r="1729" spans="18:19" x14ac:dyDescent="0.25">
      <c r="R1729" s="57">
        <v>37290</v>
      </c>
      <c r="S1729" s="16">
        <v>783</v>
      </c>
    </row>
    <row r="1730" spans="18:19" x14ac:dyDescent="0.25">
      <c r="R1730" s="57">
        <v>37297</v>
      </c>
      <c r="S1730" s="16">
        <v>780</v>
      </c>
    </row>
    <row r="1731" spans="18:19" x14ac:dyDescent="0.25">
      <c r="R1731" s="57">
        <v>37304</v>
      </c>
      <c r="S1731" s="16">
        <v>897</v>
      </c>
    </row>
    <row r="1732" spans="18:19" x14ac:dyDescent="0.25">
      <c r="R1732" s="57">
        <v>37311</v>
      </c>
      <c r="S1732" s="16">
        <v>1022</v>
      </c>
    </row>
    <row r="1733" spans="18:19" x14ac:dyDescent="0.25">
      <c r="R1733" s="57">
        <v>37318</v>
      </c>
      <c r="S1733" s="16">
        <v>1091</v>
      </c>
    </row>
    <row r="1734" spans="18:19" x14ac:dyDescent="0.25">
      <c r="R1734" s="57">
        <v>37325</v>
      </c>
      <c r="S1734" s="16">
        <v>1273</v>
      </c>
    </row>
    <row r="1735" spans="18:19" x14ac:dyDescent="0.25">
      <c r="R1735" s="57">
        <v>37332</v>
      </c>
      <c r="S1735" s="16">
        <v>1134</v>
      </c>
    </row>
    <row r="1736" spans="18:19" x14ac:dyDescent="0.25">
      <c r="R1736" s="57">
        <v>37339</v>
      </c>
      <c r="S1736" s="16">
        <v>312</v>
      </c>
    </row>
    <row r="1737" spans="18:19" x14ac:dyDescent="0.25">
      <c r="R1737" s="57">
        <v>37346</v>
      </c>
      <c r="S1737" s="16">
        <v>1102</v>
      </c>
    </row>
    <row r="1738" spans="18:19" x14ac:dyDescent="0.25">
      <c r="R1738" s="57">
        <v>37353</v>
      </c>
      <c r="S1738" s="16">
        <v>734</v>
      </c>
    </row>
    <row r="1739" spans="18:19" x14ac:dyDescent="0.25">
      <c r="R1739" s="57">
        <v>37360</v>
      </c>
      <c r="S1739" s="16">
        <v>516</v>
      </c>
    </row>
    <row r="1740" spans="18:19" x14ac:dyDescent="0.25">
      <c r="R1740" s="57">
        <v>37367</v>
      </c>
      <c r="S1740" s="16">
        <v>998</v>
      </c>
    </row>
    <row r="1741" spans="18:19" x14ac:dyDescent="0.25">
      <c r="R1741" s="57">
        <v>37374</v>
      </c>
      <c r="S1741" s="16">
        <v>1089</v>
      </c>
    </row>
    <row r="1742" spans="18:19" x14ac:dyDescent="0.25">
      <c r="R1742" s="57">
        <v>37381</v>
      </c>
      <c r="S1742" s="16">
        <v>1033</v>
      </c>
    </row>
    <row r="1743" spans="18:19" x14ac:dyDescent="0.25">
      <c r="R1743" s="57">
        <v>37385</v>
      </c>
      <c r="S1743" s="16">
        <v>1049</v>
      </c>
    </row>
    <row r="1744" spans="18:19" x14ac:dyDescent="0.25">
      <c r="R1744" s="57">
        <v>37388</v>
      </c>
      <c r="S1744" s="16">
        <v>815</v>
      </c>
    </row>
    <row r="1745" spans="18:19" x14ac:dyDescent="0.25">
      <c r="R1745" s="57">
        <v>37395</v>
      </c>
      <c r="S1745" s="16">
        <v>656</v>
      </c>
    </row>
    <row r="1746" spans="18:19" x14ac:dyDescent="0.25">
      <c r="R1746" s="57">
        <v>37402</v>
      </c>
      <c r="S1746" s="16">
        <v>821</v>
      </c>
    </row>
    <row r="1747" spans="18:19" x14ac:dyDescent="0.25">
      <c r="R1747" s="57">
        <v>37409</v>
      </c>
      <c r="S1747" s="16">
        <v>1019</v>
      </c>
    </row>
    <row r="1748" spans="18:19" x14ac:dyDescent="0.25">
      <c r="R1748" s="57">
        <v>37416</v>
      </c>
      <c r="S1748" s="16">
        <v>665</v>
      </c>
    </row>
    <row r="1749" spans="18:19" x14ac:dyDescent="0.25">
      <c r="R1749" s="57">
        <v>37423</v>
      </c>
      <c r="S1749" s="16">
        <v>942</v>
      </c>
    </row>
    <row r="1750" spans="18:19" x14ac:dyDescent="0.25">
      <c r="R1750" s="57">
        <v>37430</v>
      </c>
      <c r="S1750" s="16">
        <v>1358</v>
      </c>
    </row>
    <row r="1751" spans="18:19" x14ac:dyDescent="0.25">
      <c r="R1751" s="57">
        <v>37437</v>
      </c>
      <c r="S1751" s="16">
        <v>1072</v>
      </c>
    </row>
    <row r="1752" spans="18:19" x14ac:dyDescent="0.25">
      <c r="R1752" s="57">
        <v>37444</v>
      </c>
      <c r="S1752" s="16">
        <v>800</v>
      </c>
    </row>
    <row r="1753" spans="18:19" x14ac:dyDescent="0.25">
      <c r="R1753" s="57">
        <v>37451</v>
      </c>
      <c r="S1753" s="16">
        <v>1078</v>
      </c>
    </row>
    <row r="1754" spans="18:19" x14ac:dyDescent="0.25">
      <c r="R1754" s="57">
        <v>37458</v>
      </c>
      <c r="S1754" s="16">
        <v>844</v>
      </c>
    </row>
    <row r="1755" spans="18:19" x14ac:dyDescent="0.25">
      <c r="R1755" s="57">
        <v>37465</v>
      </c>
      <c r="S1755" s="16">
        <v>1091</v>
      </c>
    </row>
    <row r="1756" spans="18:19" x14ac:dyDescent="0.25">
      <c r="R1756" s="57">
        <v>37472</v>
      </c>
      <c r="S1756" s="16">
        <v>903</v>
      </c>
    </row>
    <row r="1757" spans="18:19" x14ac:dyDescent="0.25">
      <c r="R1757" s="57">
        <v>37479</v>
      </c>
      <c r="S1757" s="16">
        <v>764</v>
      </c>
    </row>
    <row r="1758" spans="18:19" x14ac:dyDescent="0.25">
      <c r="R1758" s="57">
        <v>37483</v>
      </c>
      <c r="S1758" s="16">
        <v>811</v>
      </c>
    </row>
    <row r="1759" spans="18:19" x14ac:dyDescent="0.25">
      <c r="R1759" s="57">
        <v>37486</v>
      </c>
      <c r="S1759" s="16">
        <v>1047</v>
      </c>
    </row>
    <row r="1760" spans="18:19" x14ac:dyDescent="0.25">
      <c r="R1760" s="57">
        <v>37493</v>
      </c>
      <c r="S1760" s="16">
        <v>683</v>
      </c>
    </row>
    <row r="1761" spans="18:19" x14ac:dyDescent="0.25">
      <c r="R1761" s="57">
        <v>37500</v>
      </c>
      <c r="S1761" s="16">
        <v>300</v>
      </c>
    </row>
    <row r="1762" spans="18:19" x14ac:dyDescent="0.25">
      <c r="R1762" s="57">
        <v>37507</v>
      </c>
      <c r="S1762" s="16">
        <v>851</v>
      </c>
    </row>
    <row r="1763" spans="18:19" x14ac:dyDescent="0.25">
      <c r="R1763" s="57">
        <v>37514</v>
      </c>
      <c r="S1763" s="16">
        <v>925</v>
      </c>
    </row>
    <row r="1764" spans="18:19" x14ac:dyDescent="0.25">
      <c r="R1764" s="57">
        <v>37521</v>
      </c>
      <c r="S1764" s="16">
        <v>1128</v>
      </c>
    </row>
    <row r="1765" spans="18:19" x14ac:dyDescent="0.25">
      <c r="R1765" s="57">
        <v>37528</v>
      </c>
      <c r="S1765" s="16">
        <v>1017</v>
      </c>
    </row>
    <row r="1766" spans="18:19" x14ac:dyDescent="0.25">
      <c r="R1766" s="57">
        <v>37535</v>
      </c>
      <c r="S1766" s="16">
        <v>851</v>
      </c>
    </row>
    <row r="1767" spans="18:19" x14ac:dyDescent="0.25">
      <c r="R1767" s="57">
        <v>37542</v>
      </c>
      <c r="S1767" s="16">
        <v>1209</v>
      </c>
    </row>
    <row r="1768" spans="18:19" x14ac:dyDescent="0.25">
      <c r="R1768" s="57">
        <v>37549</v>
      </c>
      <c r="S1768" s="16">
        <v>950</v>
      </c>
    </row>
    <row r="1769" spans="18:19" x14ac:dyDescent="0.25">
      <c r="R1769" s="57">
        <v>37556</v>
      </c>
      <c r="S1769" s="16">
        <v>688</v>
      </c>
    </row>
    <row r="1770" spans="18:19" x14ac:dyDescent="0.25">
      <c r="R1770" s="57">
        <v>37561</v>
      </c>
      <c r="S1770" s="16">
        <v>839</v>
      </c>
    </row>
    <row r="1771" spans="18:19" x14ac:dyDescent="0.25">
      <c r="R1771" s="57">
        <v>37563</v>
      </c>
      <c r="S1771" s="16">
        <v>935</v>
      </c>
    </row>
    <row r="1772" spans="18:19" x14ac:dyDescent="0.25">
      <c r="R1772" s="57">
        <v>37570</v>
      </c>
      <c r="S1772" s="16">
        <v>948</v>
      </c>
    </row>
    <row r="1773" spans="18:19" x14ac:dyDescent="0.25">
      <c r="R1773" s="57">
        <v>37577</v>
      </c>
      <c r="S1773" s="16">
        <v>586</v>
      </c>
    </row>
    <row r="1774" spans="18:19" x14ac:dyDescent="0.25">
      <c r="R1774" s="57">
        <v>37584</v>
      </c>
      <c r="S1774" s="16">
        <v>917</v>
      </c>
    </row>
    <row r="1775" spans="18:19" x14ac:dyDescent="0.25">
      <c r="R1775" s="57">
        <v>37591</v>
      </c>
      <c r="S1775" s="16">
        <v>629</v>
      </c>
    </row>
    <row r="1776" spans="18:19" x14ac:dyDescent="0.25">
      <c r="R1776" s="57">
        <v>37598</v>
      </c>
      <c r="S1776" s="16">
        <v>611</v>
      </c>
    </row>
    <row r="1777" spans="18:19" x14ac:dyDescent="0.25">
      <c r="R1777" s="57">
        <v>37605</v>
      </c>
      <c r="S1777" s="16">
        <v>708</v>
      </c>
    </row>
    <row r="1778" spans="18:19" x14ac:dyDescent="0.25">
      <c r="R1778" s="57">
        <v>37612</v>
      </c>
      <c r="S1778" s="16">
        <v>542</v>
      </c>
    </row>
    <row r="1779" spans="18:19" x14ac:dyDescent="0.25">
      <c r="R1779" s="57">
        <v>37614</v>
      </c>
      <c r="S1779" s="16">
        <v>712</v>
      </c>
    </row>
    <row r="1780" spans="18:19" x14ac:dyDescent="0.25">
      <c r="R1780" s="57">
        <v>37615</v>
      </c>
      <c r="S1780" s="16">
        <v>928</v>
      </c>
    </row>
    <row r="1781" spans="18:19" x14ac:dyDescent="0.25">
      <c r="R1781" s="57">
        <v>37619</v>
      </c>
      <c r="S1781" s="16">
        <v>954</v>
      </c>
    </row>
    <row r="1782" spans="18:19" x14ac:dyDescent="0.25">
      <c r="R1782" s="57">
        <v>37626</v>
      </c>
      <c r="S1782" s="16">
        <v>807</v>
      </c>
    </row>
    <row r="1783" spans="18:19" x14ac:dyDescent="0.25">
      <c r="R1783" s="57">
        <v>37633</v>
      </c>
      <c r="S1783" s="16">
        <v>734</v>
      </c>
    </row>
    <row r="1784" spans="18:19" x14ac:dyDescent="0.25">
      <c r="R1784" s="57">
        <v>37640</v>
      </c>
      <c r="S1784" s="16">
        <v>1360</v>
      </c>
    </row>
    <row r="1785" spans="18:19" x14ac:dyDescent="0.25">
      <c r="R1785" s="57">
        <v>37647</v>
      </c>
      <c r="S1785" s="16">
        <v>695</v>
      </c>
    </row>
    <row r="1786" spans="18:19" x14ac:dyDescent="0.25">
      <c r="R1786" s="57">
        <v>37654</v>
      </c>
      <c r="S1786" s="16">
        <v>1021</v>
      </c>
    </row>
    <row r="1787" spans="18:19" x14ac:dyDescent="0.25">
      <c r="R1787" s="57">
        <v>37661</v>
      </c>
      <c r="S1787" s="16">
        <v>801</v>
      </c>
    </row>
    <row r="1788" spans="18:19" x14ac:dyDescent="0.25">
      <c r="R1788" s="57">
        <v>37668</v>
      </c>
      <c r="S1788" s="16">
        <v>1045</v>
      </c>
    </row>
    <row r="1789" spans="18:19" x14ac:dyDescent="0.25">
      <c r="R1789" s="57">
        <v>37675</v>
      </c>
      <c r="S1789" s="16">
        <v>1056</v>
      </c>
    </row>
    <row r="1790" spans="18:19" x14ac:dyDescent="0.25">
      <c r="R1790" s="57">
        <v>37682</v>
      </c>
      <c r="S1790" s="16">
        <v>1030</v>
      </c>
    </row>
    <row r="1791" spans="18:19" x14ac:dyDescent="0.25">
      <c r="R1791" s="57">
        <v>37689</v>
      </c>
      <c r="S1791" s="16">
        <v>656</v>
      </c>
    </row>
    <row r="1792" spans="18:19" x14ac:dyDescent="0.25">
      <c r="R1792" s="57">
        <v>37696</v>
      </c>
      <c r="S1792" s="16">
        <v>570</v>
      </c>
    </row>
    <row r="1793" spans="18:19" x14ac:dyDescent="0.25">
      <c r="R1793" s="57">
        <v>37703</v>
      </c>
      <c r="S1793" s="16">
        <v>1052</v>
      </c>
    </row>
    <row r="1794" spans="18:19" x14ac:dyDescent="0.25">
      <c r="R1794" s="57">
        <v>37710</v>
      </c>
      <c r="S1794" s="16">
        <v>880</v>
      </c>
    </row>
    <row r="1795" spans="18:19" x14ac:dyDescent="0.25">
      <c r="R1795" s="57">
        <v>37717</v>
      </c>
      <c r="S1795" s="16">
        <v>578</v>
      </c>
    </row>
    <row r="1796" spans="18:19" x14ac:dyDescent="0.25">
      <c r="R1796" s="57">
        <v>37724</v>
      </c>
      <c r="S1796" s="16">
        <v>756</v>
      </c>
    </row>
    <row r="1797" spans="18:19" x14ac:dyDescent="0.25">
      <c r="R1797" s="57">
        <v>37731</v>
      </c>
      <c r="S1797" s="16">
        <v>641</v>
      </c>
    </row>
    <row r="1798" spans="18:19" x14ac:dyDescent="0.25">
      <c r="R1798" s="57">
        <v>37738</v>
      </c>
      <c r="S1798" s="16">
        <v>1156</v>
      </c>
    </row>
    <row r="1799" spans="18:19" x14ac:dyDescent="0.25">
      <c r="R1799" s="57">
        <v>37745</v>
      </c>
      <c r="S1799" s="16">
        <v>727</v>
      </c>
    </row>
    <row r="1800" spans="18:19" x14ac:dyDescent="0.25">
      <c r="R1800" s="57">
        <v>37752</v>
      </c>
      <c r="S1800" s="16">
        <v>1186</v>
      </c>
    </row>
    <row r="1801" spans="18:19" x14ac:dyDescent="0.25">
      <c r="R1801" s="57">
        <v>37759</v>
      </c>
      <c r="S1801" s="16">
        <v>744</v>
      </c>
    </row>
    <row r="1802" spans="18:19" x14ac:dyDescent="0.25">
      <c r="R1802" s="57">
        <v>37766</v>
      </c>
      <c r="S1802" s="16">
        <v>629</v>
      </c>
    </row>
    <row r="1803" spans="18:19" x14ac:dyDescent="0.25">
      <c r="R1803" s="57">
        <v>37770</v>
      </c>
      <c r="S1803" s="16">
        <v>1087</v>
      </c>
    </row>
    <row r="1804" spans="18:19" x14ac:dyDescent="0.25">
      <c r="R1804" s="57">
        <v>37773</v>
      </c>
      <c r="S1804" s="16">
        <v>912</v>
      </c>
    </row>
    <row r="1805" spans="18:19" x14ac:dyDescent="0.25">
      <c r="R1805" s="57">
        <v>37780</v>
      </c>
      <c r="S1805" s="16">
        <v>1171</v>
      </c>
    </row>
    <row r="1806" spans="18:19" x14ac:dyDescent="0.25">
      <c r="R1806" s="57">
        <v>37787</v>
      </c>
      <c r="S1806" s="16">
        <v>719</v>
      </c>
    </row>
    <row r="1807" spans="18:19" x14ac:dyDescent="0.25">
      <c r="R1807" s="57">
        <v>37794</v>
      </c>
      <c r="S1807" s="16">
        <v>945</v>
      </c>
    </row>
    <row r="1808" spans="18:19" x14ac:dyDescent="0.25">
      <c r="R1808" s="57">
        <v>37801</v>
      </c>
      <c r="S1808" s="16">
        <v>881</v>
      </c>
    </row>
    <row r="1809" spans="18:19" x14ac:dyDescent="0.25">
      <c r="R1809" s="57">
        <v>37808</v>
      </c>
      <c r="S1809" s="16">
        <v>792</v>
      </c>
    </row>
    <row r="1810" spans="18:19" x14ac:dyDescent="0.25">
      <c r="R1810" s="57">
        <v>37815</v>
      </c>
      <c r="S1810" s="16">
        <v>863</v>
      </c>
    </row>
    <row r="1811" spans="18:19" x14ac:dyDescent="0.25">
      <c r="R1811" s="57">
        <v>37822</v>
      </c>
      <c r="S1811" s="16">
        <v>578</v>
      </c>
    </row>
    <row r="1812" spans="18:19" x14ac:dyDescent="0.25">
      <c r="R1812" s="57">
        <v>37829</v>
      </c>
      <c r="S1812" s="16">
        <v>663</v>
      </c>
    </row>
    <row r="1813" spans="18:19" x14ac:dyDescent="0.25">
      <c r="R1813" s="57">
        <v>37836</v>
      </c>
      <c r="S1813" s="16">
        <v>778</v>
      </c>
    </row>
    <row r="1814" spans="18:19" x14ac:dyDescent="0.25">
      <c r="R1814" s="57">
        <v>37843</v>
      </c>
      <c r="S1814" s="16">
        <v>891</v>
      </c>
    </row>
    <row r="1815" spans="18:19" x14ac:dyDescent="0.25">
      <c r="R1815" s="57">
        <v>37848</v>
      </c>
      <c r="S1815" s="16">
        <v>1596</v>
      </c>
    </row>
    <row r="1816" spans="18:19" x14ac:dyDescent="0.25">
      <c r="R1816" s="57">
        <v>37850</v>
      </c>
      <c r="S1816" s="16">
        <v>1103</v>
      </c>
    </row>
    <row r="1817" spans="18:19" x14ac:dyDescent="0.25">
      <c r="R1817" s="57">
        <v>37857</v>
      </c>
      <c r="S1817" s="16">
        <v>1181</v>
      </c>
    </row>
    <row r="1818" spans="18:19" x14ac:dyDescent="0.25">
      <c r="R1818" s="57">
        <v>37864</v>
      </c>
      <c r="S1818" s="16">
        <v>490</v>
      </c>
    </row>
    <row r="1819" spans="18:19" x14ac:dyDescent="0.25">
      <c r="R1819" s="57">
        <v>37871</v>
      </c>
      <c r="S1819" s="16">
        <v>835</v>
      </c>
    </row>
    <row r="1820" spans="18:19" x14ac:dyDescent="0.25">
      <c r="R1820" s="57">
        <v>37878</v>
      </c>
      <c r="S1820" s="16">
        <v>797</v>
      </c>
    </row>
    <row r="1821" spans="18:19" x14ac:dyDescent="0.25">
      <c r="R1821" s="57">
        <v>37885</v>
      </c>
      <c r="S1821" s="16">
        <v>1198</v>
      </c>
    </row>
    <row r="1822" spans="18:19" x14ac:dyDescent="0.25">
      <c r="R1822" s="57">
        <v>37892</v>
      </c>
      <c r="S1822" s="16">
        <v>905</v>
      </c>
    </row>
    <row r="1823" spans="18:19" x14ac:dyDescent="0.25">
      <c r="R1823" s="57">
        <v>37899</v>
      </c>
      <c r="S1823" s="16">
        <v>1051</v>
      </c>
    </row>
    <row r="1824" spans="18:19" x14ac:dyDescent="0.25">
      <c r="R1824" s="57">
        <v>37906</v>
      </c>
      <c r="S1824" s="16">
        <v>775</v>
      </c>
    </row>
    <row r="1825" spans="18:19" x14ac:dyDescent="0.25">
      <c r="R1825" s="57">
        <v>37913</v>
      </c>
      <c r="S1825" s="16">
        <v>911</v>
      </c>
    </row>
    <row r="1826" spans="18:19" x14ac:dyDescent="0.25">
      <c r="R1826" s="57">
        <v>37920</v>
      </c>
      <c r="S1826" s="16">
        <v>789</v>
      </c>
    </row>
    <row r="1827" spans="18:19" x14ac:dyDescent="0.25">
      <c r="R1827" s="57">
        <v>37926</v>
      </c>
      <c r="S1827" s="16">
        <v>803</v>
      </c>
    </row>
    <row r="1828" spans="18:19" x14ac:dyDescent="0.25">
      <c r="R1828" s="57">
        <v>37927</v>
      </c>
      <c r="S1828" s="16">
        <v>766</v>
      </c>
    </row>
    <row r="1829" spans="18:19" x14ac:dyDescent="0.25">
      <c r="R1829" s="57">
        <v>37934</v>
      </c>
      <c r="S1829" s="16">
        <v>1087</v>
      </c>
    </row>
    <row r="1830" spans="18:19" x14ac:dyDescent="0.25">
      <c r="R1830" s="57">
        <v>37941</v>
      </c>
      <c r="S1830" s="16">
        <v>885</v>
      </c>
    </row>
    <row r="1831" spans="18:19" x14ac:dyDescent="0.25">
      <c r="R1831" s="57">
        <v>37948</v>
      </c>
      <c r="S1831" s="16">
        <v>966</v>
      </c>
    </row>
    <row r="1832" spans="18:19" x14ac:dyDescent="0.25">
      <c r="R1832" s="57">
        <v>37955</v>
      </c>
      <c r="S1832" s="16">
        <v>570</v>
      </c>
    </row>
    <row r="1833" spans="18:19" x14ac:dyDescent="0.25">
      <c r="R1833" s="57">
        <v>37962</v>
      </c>
      <c r="S1833" s="16">
        <v>1215</v>
      </c>
    </row>
    <row r="1834" spans="18:19" x14ac:dyDescent="0.25">
      <c r="R1834" s="57">
        <v>37969</v>
      </c>
      <c r="S1834" s="16">
        <v>740</v>
      </c>
    </row>
    <row r="1835" spans="18:19" x14ac:dyDescent="0.25">
      <c r="R1835" s="57">
        <v>37976</v>
      </c>
      <c r="S1835" s="16">
        <v>1048</v>
      </c>
    </row>
    <row r="1836" spans="18:19" x14ac:dyDescent="0.25">
      <c r="R1836" s="57">
        <v>37979</v>
      </c>
      <c r="S1836" s="16">
        <v>1088</v>
      </c>
    </row>
    <row r="1837" spans="18:19" x14ac:dyDescent="0.25">
      <c r="R1837" s="57">
        <v>37980</v>
      </c>
      <c r="S1837" s="16">
        <v>1184</v>
      </c>
    </row>
    <row r="1838" spans="18:19" x14ac:dyDescent="0.25">
      <c r="R1838" s="57">
        <v>37983</v>
      </c>
      <c r="S1838" s="16">
        <v>919</v>
      </c>
    </row>
    <row r="1839" spans="18:19" x14ac:dyDescent="0.25">
      <c r="R1839" s="57">
        <v>37990</v>
      </c>
      <c r="S1839" s="16">
        <v>986</v>
      </c>
    </row>
    <row r="1840" spans="18:19" x14ac:dyDescent="0.25">
      <c r="R1840" s="57">
        <v>37997</v>
      </c>
      <c r="S1840" s="16">
        <v>570</v>
      </c>
    </row>
    <row r="1841" spans="18:19" x14ac:dyDescent="0.25">
      <c r="R1841" s="57">
        <v>38004</v>
      </c>
      <c r="S1841" s="16">
        <v>960</v>
      </c>
    </row>
    <row r="1842" spans="18:19" x14ac:dyDescent="0.25">
      <c r="R1842" s="57">
        <v>38011</v>
      </c>
      <c r="S1842" s="16">
        <v>962</v>
      </c>
    </row>
    <row r="1843" spans="18:19" x14ac:dyDescent="0.25">
      <c r="R1843" s="57">
        <v>38018</v>
      </c>
      <c r="S1843" s="16">
        <v>493</v>
      </c>
    </row>
    <row r="1844" spans="18:19" x14ac:dyDescent="0.25">
      <c r="R1844" s="57">
        <v>38025</v>
      </c>
      <c r="S1844" s="16">
        <v>787</v>
      </c>
    </row>
    <row r="1845" spans="18:19" x14ac:dyDescent="0.25">
      <c r="R1845" s="57">
        <v>38032</v>
      </c>
      <c r="S1845" s="16">
        <v>816</v>
      </c>
    </row>
    <row r="1846" spans="18:19" x14ac:dyDescent="0.25">
      <c r="R1846" s="57">
        <v>38039</v>
      </c>
      <c r="S1846" s="16">
        <v>866</v>
      </c>
    </row>
    <row r="1847" spans="18:19" x14ac:dyDescent="0.25">
      <c r="R1847" s="57">
        <v>38046</v>
      </c>
      <c r="S1847" s="16">
        <v>507</v>
      </c>
    </row>
    <row r="1848" spans="18:19" x14ac:dyDescent="0.25">
      <c r="R1848" s="57">
        <v>38053</v>
      </c>
      <c r="S1848" s="16">
        <v>579</v>
      </c>
    </row>
    <row r="1849" spans="18:19" x14ac:dyDescent="0.25">
      <c r="R1849" s="57">
        <v>38060</v>
      </c>
      <c r="S1849" s="16">
        <v>1062</v>
      </c>
    </row>
    <row r="1850" spans="18:19" x14ac:dyDescent="0.25">
      <c r="R1850" s="57">
        <v>38067</v>
      </c>
      <c r="S1850" s="16">
        <v>688</v>
      </c>
    </row>
    <row r="1851" spans="18:19" x14ac:dyDescent="0.25">
      <c r="R1851" s="57">
        <v>38074</v>
      </c>
      <c r="S1851" s="16">
        <v>812</v>
      </c>
    </row>
    <row r="1852" spans="18:19" x14ac:dyDescent="0.25">
      <c r="R1852" s="57">
        <v>38081</v>
      </c>
      <c r="S1852" s="16">
        <v>396</v>
      </c>
    </row>
    <row r="1853" spans="18:19" x14ac:dyDescent="0.25">
      <c r="R1853" s="57">
        <v>38088</v>
      </c>
      <c r="S1853" s="16">
        <v>853</v>
      </c>
    </row>
    <row r="1854" spans="18:19" x14ac:dyDescent="0.25">
      <c r="R1854" s="57">
        <v>38095</v>
      </c>
      <c r="S1854" s="16">
        <v>722</v>
      </c>
    </row>
    <row r="1855" spans="18:19" x14ac:dyDescent="0.25">
      <c r="R1855" s="57">
        <v>38102</v>
      </c>
      <c r="S1855" s="16">
        <v>925</v>
      </c>
    </row>
    <row r="1856" spans="18:19" x14ac:dyDescent="0.25">
      <c r="R1856" s="57">
        <v>38109</v>
      </c>
      <c r="S1856" s="16">
        <v>1066</v>
      </c>
    </row>
    <row r="1857" spans="18:19" x14ac:dyDescent="0.25">
      <c r="R1857" s="57">
        <v>38116</v>
      </c>
      <c r="S1857" s="16">
        <v>875</v>
      </c>
    </row>
    <row r="1858" spans="18:19" x14ac:dyDescent="0.25">
      <c r="R1858" s="57">
        <v>38123</v>
      </c>
      <c r="S1858" s="16">
        <v>793</v>
      </c>
    </row>
    <row r="1859" spans="18:19" x14ac:dyDescent="0.25">
      <c r="R1859" s="57">
        <v>38127</v>
      </c>
      <c r="S1859" s="16">
        <v>890</v>
      </c>
    </row>
    <row r="1860" spans="18:19" x14ac:dyDescent="0.25">
      <c r="R1860" s="57">
        <v>38130</v>
      </c>
      <c r="S1860" s="16">
        <v>839</v>
      </c>
    </row>
    <row r="1861" spans="18:19" x14ac:dyDescent="0.25">
      <c r="R1861" s="57">
        <v>38137</v>
      </c>
      <c r="S1861" s="16">
        <v>744</v>
      </c>
    </row>
    <row r="1862" spans="18:19" x14ac:dyDescent="0.25">
      <c r="R1862" s="57">
        <v>38144</v>
      </c>
      <c r="S1862" s="16">
        <v>1007</v>
      </c>
    </row>
    <row r="1863" spans="18:19" x14ac:dyDescent="0.25">
      <c r="R1863" s="57">
        <v>38151</v>
      </c>
      <c r="S1863" s="16">
        <v>1181</v>
      </c>
    </row>
    <row r="1864" spans="18:19" x14ac:dyDescent="0.25">
      <c r="R1864" s="57">
        <v>38158</v>
      </c>
      <c r="S1864" s="16">
        <v>965</v>
      </c>
    </row>
    <row r="1865" spans="18:19" x14ac:dyDescent="0.25">
      <c r="R1865" s="57">
        <v>38165</v>
      </c>
      <c r="S1865" s="16">
        <v>637</v>
      </c>
    </row>
    <row r="1866" spans="18:19" x14ac:dyDescent="0.25">
      <c r="R1866" s="57">
        <v>38172</v>
      </c>
      <c r="S1866" s="16">
        <v>1464</v>
      </c>
    </row>
    <row r="1867" spans="18:19" x14ac:dyDescent="0.25">
      <c r="R1867" s="57">
        <v>38179</v>
      </c>
      <c r="S1867" s="16">
        <v>503</v>
      </c>
    </row>
    <row r="1868" spans="18:19" x14ac:dyDescent="0.25">
      <c r="R1868" s="57">
        <v>38186</v>
      </c>
      <c r="S1868" s="16">
        <v>830</v>
      </c>
    </row>
    <row r="1869" spans="18:19" x14ac:dyDescent="0.25">
      <c r="R1869" s="57">
        <v>38193</v>
      </c>
      <c r="S1869" s="16">
        <v>1168</v>
      </c>
    </row>
    <row r="1870" spans="18:19" x14ac:dyDescent="0.25">
      <c r="R1870" s="57">
        <v>38200</v>
      </c>
      <c r="S1870" s="16">
        <v>886</v>
      </c>
    </row>
    <row r="1871" spans="18:19" x14ac:dyDescent="0.25">
      <c r="R1871" s="57">
        <v>38207</v>
      </c>
      <c r="S1871" s="16">
        <v>1346</v>
      </c>
    </row>
    <row r="1872" spans="18:19" x14ac:dyDescent="0.25">
      <c r="R1872" s="57">
        <v>38214</v>
      </c>
      <c r="S1872" s="16">
        <v>770</v>
      </c>
    </row>
    <row r="1873" spans="18:19" x14ac:dyDescent="0.25">
      <c r="R1873" s="57">
        <v>38221</v>
      </c>
      <c r="S1873" s="16">
        <v>1080</v>
      </c>
    </row>
    <row r="1874" spans="18:19" x14ac:dyDescent="0.25">
      <c r="R1874" s="57">
        <v>38228</v>
      </c>
      <c r="S1874" s="16">
        <v>885</v>
      </c>
    </row>
    <row r="1875" spans="18:19" x14ac:dyDescent="0.25">
      <c r="R1875" s="57">
        <v>38235</v>
      </c>
      <c r="S1875" s="16">
        <v>309</v>
      </c>
    </row>
    <row r="1876" spans="18:19" x14ac:dyDescent="0.25">
      <c r="R1876" s="57">
        <v>38242</v>
      </c>
      <c r="S1876" s="16">
        <v>1056</v>
      </c>
    </row>
    <row r="1877" spans="18:19" x14ac:dyDescent="0.25">
      <c r="R1877" s="57">
        <v>38249</v>
      </c>
      <c r="S1877" s="16">
        <v>844</v>
      </c>
    </row>
    <row r="1878" spans="18:19" x14ac:dyDescent="0.25">
      <c r="R1878" s="57">
        <v>38256</v>
      </c>
      <c r="S1878" s="16">
        <v>1138</v>
      </c>
    </row>
    <row r="1879" spans="18:19" x14ac:dyDescent="0.25">
      <c r="R1879" s="57">
        <v>38263</v>
      </c>
      <c r="S1879" s="16">
        <v>648</v>
      </c>
    </row>
    <row r="1880" spans="18:19" x14ac:dyDescent="0.25">
      <c r="R1880" s="57">
        <v>38270</v>
      </c>
      <c r="S1880" s="16">
        <v>994</v>
      </c>
    </row>
    <row r="1881" spans="18:19" x14ac:dyDescent="0.25">
      <c r="R1881" s="57">
        <v>38277</v>
      </c>
      <c r="S1881" s="16">
        <v>696</v>
      </c>
    </row>
    <row r="1882" spans="18:19" x14ac:dyDescent="0.25">
      <c r="R1882" s="57">
        <v>38284</v>
      </c>
      <c r="S1882" s="16">
        <v>1231</v>
      </c>
    </row>
    <row r="1883" spans="18:19" x14ac:dyDescent="0.25">
      <c r="R1883" s="57">
        <v>38291</v>
      </c>
      <c r="S1883" s="16">
        <v>918</v>
      </c>
    </row>
    <row r="1884" spans="18:19" x14ac:dyDescent="0.25">
      <c r="R1884" s="57">
        <v>38292</v>
      </c>
      <c r="S1884" s="16">
        <v>661</v>
      </c>
    </row>
    <row r="1885" spans="18:19" x14ac:dyDescent="0.25">
      <c r="R1885" s="57">
        <v>38298</v>
      </c>
      <c r="S1885" s="16">
        <v>775</v>
      </c>
    </row>
    <row r="1886" spans="18:19" x14ac:dyDescent="0.25">
      <c r="R1886" s="57">
        <v>38305</v>
      </c>
      <c r="S1886" s="16">
        <v>671</v>
      </c>
    </row>
    <row r="1887" spans="18:19" x14ac:dyDescent="0.25">
      <c r="R1887" s="57">
        <v>38312</v>
      </c>
      <c r="S1887" s="16">
        <v>641</v>
      </c>
    </row>
    <row r="1888" spans="18:19" x14ac:dyDescent="0.25">
      <c r="R1888" s="57">
        <v>38319</v>
      </c>
      <c r="S1888" s="16">
        <v>1083</v>
      </c>
    </row>
    <row r="1889" spans="18:19" x14ac:dyDescent="0.25">
      <c r="R1889" s="57">
        <v>38326</v>
      </c>
      <c r="S1889" s="16">
        <v>960</v>
      </c>
    </row>
    <row r="1890" spans="18:19" x14ac:dyDescent="0.25">
      <c r="R1890" s="57">
        <v>38333</v>
      </c>
      <c r="S1890" s="16">
        <v>972</v>
      </c>
    </row>
    <row r="1891" spans="18:19" x14ac:dyDescent="0.25">
      <c r="R1891" s="57">
        <v>38340</v>
      </c>
      <c r="S1891" s="16">
        <v>1083</v>
      </c>
    </row>
    <row r="1892" spans="18:19" x14ac:dyDescent="0.25">
      <c r="R1892" s="57">
        <v>38345</v>
      </c>
      <c r="S1892" s="16">
        <v>832</v>
      </c>
    </row>
    <row r="1893" spans="18:19" x14ac:dyDescent="0.25">
      <c r="R1893" s="57">
        <v>38346</v>
      </c>
      <c r="S1893" s="16">
        <v>678</v>
      </c>
    </row>
    <row r="1894" spans="18:19" x14ac:dyDescent="0.25">
      <c r="R1894" s="57">
        <v>38347</v>
      </c>
      <c r="S1894" s="16">
        <v>1112</v>
      </c>
    </row>
    <row r="1895" spans="18:19" x14ac:dyDescent="0.25">
      <c r="R1895" s="57">
        <v>38354</v>
      </c>
      <c r="S1895" s="16">
        <v>935</v>
      </c>
    </row>
    <row r="1896" spans="18:19" x14ac:dyDescent="0.25">
      <c r="R1896" s="57">
        <v>38361</v>
      </c>
      <c r="S1896" s="16">
        <v>622</v>
      </c>
    </row>
    <row r="1897" spans="18:19" x14ac:dyDescent="0.25">
      <c r="R1897" s="57">
        <v>38368</v>
      </c>
      <c r="S1897" s="16">
        <v>792</v>
      </c>
    </row>
    <row r="1898" spans="18:19" x14ac:dyDescent="0.25">
      <c r="R1898" s="57">
        <v>38375</v>
      </c>
      <c r="S1898" s="16">
        <v>938</v>
      </c>
    </row>
    <row r="1899" spans="18:19" x14ac:dyDescent="0.25">
      <c r="R1899" s="57">
        <v>38382</v>
      </c>
      <c r="S1899" s="16">
        <v>808</v>
      </c>
    </row>
    <row r="1900" spans="18:19" x14ac:dyDescent="0.25">
      <c r="R1900" s="57">
        <v>38389</v>
      </c>
      <c r="S1900" s="16">
        <v>574</v>
      </c>
    </row>
    <row r="1901" spans="18:19" x14ac:dyDescent="0.25">
      <c r="R1901" s="57">
        <v>38396</v>
      </c>
      <c r="S1901" s="16">
        <v>603</v>
      </c>
    </row>
    <row r="1902" spans="18:19" x14ac:dyDescent="0.25">
      <c r="R1902" s="57">
        <v>38403</v>
      </c>
      <c r="S1902" s="16">
        <v>789</v>
      </c>
    </row>
    <row r="1903" spans="18:19" x14ac:dyDescent="0.25">
      <c r="R1903" s="57">
        <v>38410</v>
      </c>
      <c r="S1903" s="16">
        <v>818</v>
      </c>
    </row>
    <row r="1904" spans="18:19" x14ac:dyDescent="0.25">
      <c r="R1904" s="57">
        <v>38417</v>
      </c>
      <c r="S1904" s="16">
        <v>950</v>
      </c>
    </row>
    <row r="1905" spans="18:19" x14ac:dyDescent="0.25">
      <c r="R1905" s="57">
        <v>38424</v>
      </c>
      <c r="S1905" s="16">
        <v>585</v>
      </c>
    </row>
    <row r="1906" spans="18:19" x14ac:dyDescent="0.25">
      <c r="R1906" s="57">
        <v>38431</v>
      </c>
      <c r="S1906" s="16">
        <v>684</v>
      </c>
    </row>
    <row r="1907" spans="18:19" x14ac:dyDescent="0.25">
      <c r="R1907" s="57">
        <v>38431</v>
      </c>
      <c r="S1907" s="16">
        <v>641</v>
      </c>
    </row>
    <row r="1908" spans="18:19" x14ac:dyDescent="0.25">
      <c r="R1908" s="57">
        <v>38438</v>
      </c>
      <c r="S1908" s="16">
        <v>1127</v>
      </c>
    </row>
    <row r="1909" spans="18:19" x14ac:dyDescent="0.25">
      <c r="R1909" s="57">
        <v>38445</v>
      </c>
      <c r="S1909" s="16">
        <v>790</v>
      </c>
    </row>
    <row r="1910" spans="18:19" x14ac:dyDescent="0.25">
      <c r="R1910" s="57">
        <v>38450</v>
      </c>
      <c r="S1910" s="16">
        <v>790</v>
      </c>
    </row>
    <row r="1911" spans="18:19" x14ac:dyDescent="0.25">
      <c r="R1911" s="57">
        <v>38452</v>
      </c>
      <c r="S1911" s="16">
        <v>666</v>
      </c>
    </row>
    <row r="1912" spans="18:19" x14ac:dyDescent="0.25">
      <c r="R1912" s="57">
        <v>38459</v>
      </c>
      <c r="S1912" s="16">
        <v>2944</v>
      </c>
    </row>
    <row r="1913" spans="18:19" x14ac:dyDescent="0.25">
      <c r="R1913" s="57">
        <v>38466</v>
      </c>
      <c r="S1913" s="16">
        <v>1000</v>
      </c>
    </row>
    <row r="1914" spans="18:19" x14ac:dyDescent="0.25">
      <c r="R1914" s="57">
        <v>38473</v>
      </c>
      <c r="S1914" s="16">
        <v>699</v>
      </c>
    </row>
    <row r="1915" spans="18:19" x14ac:dyDescent="0.25">
      <c r="R1915" s="57">
        <v>38477</v>
      </c>
      <c r="S1915" s="16">
        <v>1165</v>
      </c>
    </row>
    <row r="1916" spans="18:19" x14ac:dyDescent="0.25">
      <c r="R1916" s="57">
        <v>38480</v>
      </c>
      <c r="S1916" s="16">
        <v>963</v>
      </c>
    </row>
    <row r="1917" spans="18:19" x14ac:dyDescent="0.25">
      <c r="R1917" s="57">
        <v>38487</v>
      </c>
      <c r="S1917" s="16">
        <v>327</v>
      </c>
    </row>
    <row r="1918" spans="18:19" x14ac:dyDescent="0.25">
      <c r="R1918" s="57">
        <v>38494</v>
      </c>
      <c r="S1918" s="16">
        <v>473</v>
      </c>
    </row>
    <row r="1919" spans="18:19" x14ac:dyDescent="0.25">
      <c r="R1919" s="57">
        <v>38501</v>
      </c>
      <c r="S1919" s="16">
        <v>858</v>
      </c>
    </row>
    <row r="1920" spans="18:19" x14ac:dyDescent="0.25">
      <c r="R1920" s="57">
        <v>38508</v>
      </c>
      <c r="S1920" s="16">
        <v>1052</v>
      </c>
    </row>
    <row r="1921" spans="18:19" x14ac:dyDescent="0.25">
      <c r="R1921" s="57">
        <v>38515</v>
      </c>
      <c r="S1921" s="16">
        <v>1042</v>
      </c>
    </row>
    <row r="1922" spans="18:19" x14ac:dyDescent="0.25">
      <c r="R1922" s="57">
        <v>38522</v>
      </c>
      <c r="S1922" s="16">
        <v>905</v>
      </c>
    </row>
    <row r="1923" spans="18:19" x14ac:dyDescent="0.25">
      <c r="R1923" s="57">
        <v>38529</v>
      </c>
      <c r="S1923" s="16">
        <v>617</v>
      </c>
    </row>
    <row r="1924" spans="18:19" x14ac:dyDescent="0.25">
      <c r="R1924" s="57">
        <v>38536</v>
      </c>
      <c r="S1924" s="16">
        <v>938</v>
      </c>
    </row>
    <row r="1925" spans="18:19" x14ac:dyDescent="0.25">
      <c r="R1925" s="57">
        <v>38543</v>
      </c>
      <c r="S1925" s="16">
        <v>1012</v>
      </c>
    </row>
    <row r="1926" spans="18:19" x14ac:dyDescent="0.25">
      <c r="R1926" s="57">
        <v>38550</v>
      </c>
      <c r="S1926" s="16">
        <v>633</v>
      </c>
    </row>
    <row r="1927" spans="18:19" x14ac:dyDescent="0.25">
      <c r="R1927" s="57">
        <v>38557</v>
      </c>
      <c r="S1927" s="16">
        <v>780</v>
      </c>
    </row>
    <row r="1928" spans="18:19" x14ac:dyDescent="0.25">
      <c r="R1928" s="57">
        <v>38564</v>
      </c>
      <c r="S1928" s="16">
        <v>773</v>
      </c>
    </row>
    <row r="1929" spans="18:19" x14ac:dyDescent="0.25">
      <c r="R1929" s="57">
        <v>38571</v>
      </c>
      <c r="S1929" s="16">
        <v>607</v>
      </c>
    </row>
    <row r="1930" spans="18:19" x14ac:dyDescent="0.25">
      <c r="R1930" s="57">
        <v>38578</v>
      </c>
      <c r="S1930" s="16">
        <v>1134</v>
      </c>
    </row>
    <row r="1931" spans="18:19" x14ac:dyDescent="0.25">
      <c r="R1931" s="57">
        <v>38579</v>
      </c>
      <c r="S1931" s="16">
        <v>606</v>
      </c>
    </row>
    <row r="1932" spans="18:19" x14ac:dyDescent="0.25">
      <c r="R1932" s="57">
        <v>38585</v>
      </c>
      <c r="S1932" s="16">
        <v>75</v>
      </c>
    </row>
    <row r="1933" spans="18:19" x14ac:dyDescent="0.25">
      <c r="R1933" s="57">
        <v>38592</v>
      </c>
      <c r="S1933" s="16">
        <v>885</v>
      </c>
    </row>
    <row r="1934" spans="18:19" x14ac:dyDescent="0.25">
      <c r="R1934" s="57">
        <v>38599</v>
      </c>
      <c r="S1934" s="16">
        <v>723</v>
      </c>
    </row>
    <row r="1935" spans="18:19" x14ac:dyDescent="0.25">
      <c r="R1935" s="57">
        <v>38606</v>
      </c>
      <c r="S1935" s="16">
        <v>785</v>
      </c>
    </row>
    <row r="1936" spans="18:19" x14ac:dyDescent="0.25">
      <c r="R1936" s="57">
        <v>38613</v>
      </c>
      <c r="S1936" s="16">
        <v>638</v>
      </c>
    </row>
    <row r="1937" spans="18:19" x14ac:dyDescent="0.25">
      <c r="R1937" s="57">
        <v>38620</v>
      </c>
      <c r="S1937" s="16">
        <v>798</v>
      </c>
    </row>
    <row r="1938" spans="18:19" x14ac:dyDescent="0.25">
      <c r="R1938" s="57">
        <v>38627</v>
      </c>
      <c r="S1938" s="16">
        <v>954</v>
      </c>
    </row>
    <row r="1939" spans="18:19" x14ac:dyDescent="0.25">
      <c r="R1939" s="57">
        <v>38634</v>
      </c>
      <c r="S1939" s="16">
        <v>723</v>
      </c>
    </row>
    <row r="1940" spans="18:19" x14ac:dyDescent="0.25">
      <c r="R1940" s="57">
        <v>38641</v>
      </c>
      <c r="S1940" s="16">
        <v>855</v>
      </c>
    </row>
    <row r="1941" spans="18:19" x14ac:dyDescent="0.25">
      <c r="R1941" s="57">
        <v>38648</v>
      </c>
      <c r="S1941" s="16">
        <v>478</v>
      </c>
    </row>
    <row r="1942" spans="18:19" x14ac:dyDescent="0.25">
      <c r="R1942" s="57">
        <v>38655</v>
      </c>
      <c r="S1942" s="16">
        <v>963</v>
      </c>
    </row>
    <row r="1943" spans="18:19" x14ac:dyDescent="0.25">
      <c r="R1943" s="57">
        <v>38657</v>
      </c>
      <c r="S1943" s="16">
        <v>860</v>
      </c>
    </row>
    <row r="1944" spans="18:19" x14ac:dyDescent="0.25">
      <c r="R1944" s="57">
        <v>38662</v>
      </c>
      <c r="S1944" s="16">
        <v>934</v>
      </c>
    </row>
    <row r="1945" spans="18:19" x14ac:dyDescent="0.25">
      <c r="R1945" s="57">
        <v>38669</v>
      </c>
      <c r="S1945" s="16">
        <v>729</v>
      </c>
    </row>
    <row r="1946" spans="18:19" x14ac:dyDescent="0.25">
      <c r="R1946" s="57">
        <v>38676</v>
      </c>
      <c r="S1946" s="16">
        <v>1105</v>
      </c>
    </row>
    <row r="1947" spans="18:19" x14ac:dyDescent="0.25">
      <c r="R1947" s="57">
        <v>38683</v>
      </c>
      <c r="S1947" s="16">
        <v>1040</v>
      </c>
    </row>
    <row r="1948" spans="18:19" x14ac:dyDescent="0.25">
      <c r="R1948" s="57">
        <v>38690</v>
      </c>
      <c r="S1948" s="16">
        <v>1136</v>
      </c>
    </row>
    <row r="1949" spans="18:19" x14ac:dyDescent="0.25">
      <c r="R1949" s="57">
        <v>38697</v>
      </c>
      <c r="S1949" s="16">
        <v>1176</v>
      </c>
    </row>
    <row r="1950" spans="18:19" x14ac:dyDescent="0.25">
      <c r="R1950" s="57">
        <v>38704</v>
      </c>
      <c r="S1950" s="16">
        <v>1591</v>
      </c>
    </row>
    <row r="1951" spans="18:19" x14ac:dyDescent="0.25">
      <c r="R1951" s="57">
        <v>38710</v>
      </c>
      <c r="S1951" s="16">
        <v>791</v>
      </c>
    </row>
    <row r="1952" spans="18:19" x14ac:dyDescent="0.25">
      <c r="R1952" s="57">
        <v>38711</v>
      </c>
      <c r="S1952" s="16">
        <v>801</v>
      </c>
    </row>
    <row r="1953" spans="18:19" x14ac:dyDescent="0.25">
      <c r="R1953" s="57">
        <v>38718</v>
      </c>
      <c r="S1953" s="16">
        <v>819</v>
      </c>
    </row>
    <row r="1954" spans="18:19" x14ac:dyDescent="0.25">
      <c r="R1954" s="57">
        <v>38725</v>
      </c>
      <c r="S1954" s="16">
        <v>807</v>
      </c>
    </row>
    <row r="1955" spans="18:19" x14ac:dyDescent="0.25">
      <c r="R1955" s="57">
        <v>38732</v>
      </c>
      <c r="S1955" s="16">
        <v>1052</v>
      </c>
    </row>
    <row r="1956" spans="18:19" x14ac:dyDescent="0.25">
      <c r="R1956" s="57">
        <v>38739</v>
      </c>
      <c r="S1956" s="16">
        <v>598</v>
      </c>
    </row>
    <row r="1957" spans="18:19" x14ac:dyDescent="0.25">
      <c r="R1957" s="57">
        <v>38746</v>
      </c>
      <c r="S1957" s="16">
        <v>704</v>
      </c>
    </row>
    <row r="1958" spans="18:19" x14ac:dyDescent="0.25">
      <c r="R1958" s="57">
        <v>38753</v>
      </c>
      <c r="S1958" s="16">
        <v>900</v>
      </c>
    </row>
    <row r="1959" spans="18:19" x14ac:dyDescent="0.25">
      <c r="R1959" s="57">
        <v>38760</v>
      </c>
      <c r="S1959" s="16">
        <v>1046</v>
      </c>
    </row>
    <row r="1960" spans="18:19" x14ac:dyDescent="0.25">
      <c r="R1960" s="57">
        <v>38767</v>
      </c>
      <c r="S1960" s="16">
        <v>774</v>
      </c>
    </row>
    <row r="1961" spans="18:19" x14ac:dyDescent="0.25">
      <c r="R1961" s="57">
        <v>38774</v>
      </c>
      <c r="S1961" s="16">
        <v>699</v>
      </c>
    </row>
    <row r="1962" spans="18:19" x14ac:dyDescent="0.25">
      <c r="R1962" s="57">
        <v>38781</v>
      </c>
      <c r="S1962" s="16">
        <v>1069</v>
      </c>
    </row>
    <row r="1963" spans="18:19" x14ac:dyDescent="0.25">
      <c r="R1963" s="57">
        <v>38788</v>
      </c>
      <c r="S1963" s="16">
        <v>1032</v>
      </c>
    </row>
    <row r="1964" spans="18:19" x14ac:dyDescent="0.25">
      <c r="R1964" s="57">
        <v>38795</v>
      </c>
      <c r="S1964" s="16">
        <v>837</v>
      </c>
    </row>
    <row r="1965" spans="18:19" x14ac:dyDescent="0.25">
      <c r="R1965" s="57">
        <v>38802</v>
      </c>
      <c r="S1965" s="16">
        <v>889</v>
      </c>
    </row>
    <row r="1966" spans="18:19" x14ac:dyDescent="0.25">
      <c r="R1966" s="57">
        <v>38809</v>
      </c>
      <c r="S1966" s="16">
        <v>864</v>
      </c>
    </row>
    <row r="1967" spans="18:19" x14ac:dyDescent="0.25">
      <c r="R1967" s="57">
        <v>38816</v>
      </c>
      <c r="S1967" s="16">
        <v>769</v>
      </c>
    </row>
    <row r="1968" spans="18:19" x14ac:dyDescent="0.25">
      <c r="R1968" s="57">
        <v>38823</v>
      </c>
      <c r="S1968" s="16">
        <v>531</v>
      </c>
    </row>
    <row r="1969" spans="18:19" x14ac:dyDescent="0.25">
      <c r="R1969" s="57">
        <v>38830</v>
      </c>
      <c r="S1969" s="16">
        <v>914</v>
      </c>
    </row>
    <row r="1970" spans="18:19" x14ac:dyDescent="0.25">
      <c r="R1970" s="57">
        <v>38837</v>
      </c>
      <c r="S1970" s="16">
        <v>654</v>
      </c>
    </row>
    <row r="1971" spans="18:19" x14ac:dyDescent="0.25">
      <c r="R1971" s="57">
        <v>38844</v>
      </c>
      <c r="S1971" s="16">
        <v>546</v>
      </c>
    </row>
    <row r="1972" spans="18:19" x14ac:dyDescent="0.25">
      <c r="R1972" s="57">
        <v>38851</v>
      </c>
      <c r="S1972" s="16">
        <v>749</v>
      </c>
    </row>
    <row r="1973" spans="18:19" x14ac:dyDescent="0.25">
      <c r="R1973" s="57">
        <v>38858</v>
      </c>
      <c r="S1973" s="16">
        <v>408</v>
      </c>
    </row>
    <row r="1974" spans="18:19" x14ac:dyDescent="0.25">
      <c r="R1974" s="57">
        <v>38862</v>
      </c>
      <c r="S1974" s="16">
        <v>1035</v>
      </c>
    </row>
    <row r="1975" spans="18:19" x14ac:dyDescent="0.25">
      <c r="R1975" s="57">
        <v>38865</v>
      </c>
      <c r="S1975" s="16">
        <v>994</v>
      </c>
    </row>
    <row r="1976" spans="18:19" x14ac:dyDescent="0.25">
      <c r="R1976" s="57">
        <v>38872</v>
      </c>
      <c r="S1976" s="16">
        <v>1111</v>
      </c>
    </row>
    <row r="1977" spans="18:19" x14ac:dyDescent="0.25">
      <c r="R1977" s="57">
        <v>38879</v>
      </c>
      <c r="S1977" s="16">
        <v>1135</v>
      </c>
    </row>
    <row r="1978" spans="18:19" x14ac:dyDescent="0.25">
      <c r="R1978" s="57">
        <v>38886</v>
      </c>
      <c r="S1978" s="16">
        <v>672</v>
      </c>
    </row>
    <row r="1979" spans="18:19" x14ac:dyDescent="0.25">
      <c r="R1979" s="57">
        <v>38893</v>
      </c>
      <c r="S1979" s="16">
        <v>826</v>
      </c>
    </row>
    <row r="1980" spans="18:19" x14ac:dyDescent="0.25">
      <c r="R1980" s="57">
        <v>38900</v>
      </c>
      <c r="S1980" s="16">
        <v>954</v>
      </c>
    </row>
    <row r="1981" spans="18:19" x14ac:dyDescent="0.25">
      <c r="R1981" s="57">
        <v>38907</v>
      </c>
      <c r="S1981" s="16">
        <v>650</v>
      </c>
    </row>
    <row r="1982" spans="18:19" x14ac:dyDescent="0.25">
      <c r="R1982" s="57">
        <v>38914</v>
      </c>
      <c r="S1982" s="16">
        <v>907</v>
      </c>
    </row>
    <row r="1983" spans="18:19" x14ac:dyDescent="0.25">
      <c r="R1983" s="57">
        <v>38921</v>
      </c>
      <c r="S1983" s="16">
        <v>969</v>
      </c>
    </row>
    <row r="1984" spans="18:19" x14ac:dyDescent="0.25">
      <c r="R1984" s="57">
        <v>38928</v>
      </c>
      <c r="S1984" s="16">
        <v>666</v>
      </c>
    </row>
    <row r="1985" spans="18:19" x14ac:dyDescent="0.25">
      <c r="R1985" s="57">
        <v>38935</v>
      </c>
      <c r="S1985" s="16">
        <v>939</v>
      </c>
    </row>
    <row r="1986" spans="18:19" x14ac:dyDescent="0.25">
      <c r="R1986" s="57">
        <v>38942</v>
      </c>
      <c r="S1986" s="16">
        <v>962</v>
      </c>
    </row>
    <row r="1987" spans="18:19" x14ac:dyDescent="0.25">
      <c r="R1987" s="57">
        <v>38944</v>
      </c>
      <c r="S1987" s="16">
        <v>595</v>
      </c>
    </row>
    <row r="1988" spans="18:19" x14ac:dyDescent="0.25">
      <c r="R1988" s="57">
        <v>38949</v>
      </c>
      <c r="S1988" s="16">
        <v>1059</v>
      </c>
    </row>
    <row r="1989" spans="18:19" x14ac:dyDescent="0.25">
      <c r="R1989" s="57">
        <v>38956</v>
      </c>
      <c r="S1989" s="16">
        <v>598</v>
      </c>
    </row>
    <row r="1990" spans="18:19" x14ac:dyDescent="0.25">
      <c r="R1990" s="57">
        <v>38963</v>
      </c>
      <c r="S1990" s="16">
        <v>598</v>
      </c>
    </row>
    <row r="1991" spans="18:19" x14ac:dyDescent="0.25">
      <c r="R1991" s="57">
        <v>38970</v>
      </c>
      <c r="S1991" s="16">
        <v>1089</v>
      </c>
    </row>
    <row r="1992" spans="18:19" x14ac:dyDescent="0.25">
      <c r="R1992" s="57">
        <v>38977</v>
      </c>
      <c r="S1992" s="16">
        <v>1025</v>
      </c>
    </row>
    <row r="1993" spans="18:19" x14ac:dyDescent="0.25">
      <c r="R1993" s="57">
        <v>38984</v>
      </c>
      <c r="S1993" s="16">
        <v>938</v>
      </c>
    </row>
    <row r="1994" spans="18:19" x14ac:dyDescent="0.25">
      <c r="R1994" s="57">
        <v>38991</v>
      </c>
      <c r="S1994" s="16">
        <v>591</v>
      </c>
    </row>
    <row r="1995" spans="18:19" x14ac:dyDescent="0.25">
      <c r="R1995" s="57">
        <v>38998</v>
      </c>
      <c r="S1995" s="16">
        <v>629</v>
      </c>
    </row>
    <row r="1996" spans="18:19" x14ac:dyDescent="0.25">
      <c r="R1996" s="57">
        <v>39005</v>
      </c>
      <c r="S1996" s="16">
        <v>871</v>
      </c>
    </row>
    <row r="1997" spans="18:19" x14ac:dyDescent="0.25">
      <c r="R1997" s="57">
        <v>39012</v>
      </c>
      <c r="S1997" s="16">
        <v>958</v>
      </c>
    </row>
    <row r="1998" spans="18:19" x14ac:dyDescent="0.25">
      <c r="R1998" s="57">
        <v>39019</v>
      </c>
      <c r="S1998" s="16">
        <v>1064</v>
      </c>
    </row>
    <row r="1999" spans="18:19" x14ac:dyDescent="0.25">
      <c r="R1999" s="57">
        <v>39022</v>
      </c>
      <c r="S1999" s="16">
        <v>972</v>
      </c>
    </row>
    <row r="2000" spans="18:19" x14ac:dyDescent="0.25">
      <c r="R2000" s="57">
        <v>39026</v>
      </c>
      <c r="S2000" s="16">
        <v>798</v>
      </c>
    </row>
    <row r="2001" spans="18:19" x14ac:dyDescent="0.25">
      <c r="R2001" s="57">
        <v>39033</v>
      </c>
      <c r="S2001" s="16">
        <v>771</v>
      </c>
    </row>
    <row r="2002" spans="18:19" x14ac:dyDescent="0.25">
      <c r="R2002" s="57">
        <v>39040</v>
      </c>
      <c r="S2002" s="16">
        <v>918</v>
      </c>
    </row>
    <row r="2003" spans="18:19" x14ac:dyDescent="0.25">
      <c r="R2003" s="57">
        <v>39047</v>
      </c>
      <c r="S2003" s="16">
        <v>955</v>
      </c>
    </row>
    <row r="2004" spans="18:19" x14ac:dyDescent="0.25">
      <c r="R2004" s="57">
        <v>39054</v>
      </c>
      <c r="S2004" s="16">
        <v>848</v>
      </c>
    </row>
    <row r="2005" spans="18:19" x14ac:dyDescent="0.25">
      <c r="R2005" s="57">
        <v>39061</v>
      </c>
      <c r="S2005" s="16">
        <v>830</v>
      </c>
    </row>
    <row r="2006" spans="18:19" x14ac:dyDescent="0.25">
      <c r="R2006" s="57">
        <v>39068</v>
      </c>
      <c r="S2006" s="16">
        <v>830</v>
      </c>
    </row>
    <row r="2007" spans="18:19" x14ac:dyDescent="0.25">
      <c r="R2007" s="57">
        <v>39075</v>
      </c>
      <c r="S2007" s="16">
        <v>771</v>
      </c>
    </row>
    <row r="2008" spans="18:19" x14ac:dyDescent="0.25">
      <c r="R2008" s="57">
        <v>39075</v>
      </c>
      <c r="S2008" s="16">
        <v>713</v>
      </c>
    </row>
    <row r="2009" spans="18:19" x14ac:dyDescent="0.25">
      <c r="R2009" s="57">
        <v>39076</v>
      </c>
      <c r="S2009" s="16">
        <v>744</v>
      </c>
    </row>
    <row r="2010" spans="18:19" x14ac:dyDescent="0.25">
      <c r="R2010" s="57">
        <v>39082</v>
      </c>
      <c r="S2010" s="16">
        <v>675</v>
      </c>
    </row>
    <row r="2011" spans="18:19" x14ac:dyDescent="0.25">
      <c r="R2011" s="57">
        <v>39089</v>
      </c>
      <c r="S2011" s="16">
        <v>878</v>
      </c>
    </row>
    <row r="2012" spans="18:19" x14ac:dyDescent="0.25">
      <c r="R2012" s="57">
        <v>39096</v>
      </c>
      <c r="S2012" s="16">
        <v>940</v>
      </c>
    </row>
    <row r="2013" spans="18:19" x14ac:dyDescent="0.25">
      <c r="R2013" s="57">
        <v>39103</v>
      </c>
      <c r="S2013" s="16">
        <v>890</v>
      </c>
    </row>
    <row r="2014" spans="18:19" x14ac:dyDescent="0.25">
      <c r="R2014" s="57">
        <v>39110</v>
      </c>
      <c r="S2014" s="16">
        <v>905</v>
      </c>
    </row>
    <row r="2015" spans="18:19" x14ac:dyDescent="0.25">
      <c r="R2015" s="57">
        <v>39117</v>
      </c>
      <c r="S2015" s="16">
        <v>833</v>
      </c>
    </row>
    <row r="2016" spans="18:19" x14ac:dyDescent="0.25">
      <c r="R2016" s="57">
        <v>39124</v>
      </c>
      <c r="S2016" s="16">
        <v>820</v>
      </c>
    </row>
    <row r="2017" spans="18:19" x14ac:dyDescent="0.25">
      <c r="R2017" s="57">
        <v>39131</v>
      </c>
      <c r="S2017" s="16">
        <v>662</v>
      </c>
    </row>
    <row r="2018" spans="18:19" x14ac:dyDescent="0.25">
      <c r="R2018" s="57">
        <v>39138</v>
      </c>
      <c r="S2018" s="16">
        <v>940</v>
      </c>
    </row>
    <row r="2019" spans="18:19" x14ac:dyDescent="0.25">
      <c r="R2019" s="57">
        <v>39145</v>
      </c>
      <c r="S2019" s="16">
        <v>969</v>
      </c>
    </row>
    <row r="2020" spans="18:19" x14ac:dyDescent="0.25">
      <c r="R2020" s="57">
        <v>39152</v>
      </c>
      <c r="S2020" s="16">
        <v>921</v>
      </c>
    </row>
    <row r="2021" spans="18:19" x14ac:dyDescent="0.25">
      <c r="R2021" s="57">
        <v>39159</v>
      </c>
      <c r="S2021" s="16">
        <v>1093</v>
      </c>
    </row>
    <row r="2022" spans="18:19" x14ac:dyDescent="0.25">
      <c r="R2022" s="57">
        <v>39166</v>
      </c>
      <c r="S2022" s="16">
        <v>654</v>
      </c>
    </row>
    <row r="2023" spans="18:19" x14ac:dyDescent="0.25">
      <c r="R2023" s="57">
        <v>39173</v>
      </c>
      <c r="S2023" s="16">
        <v>399</v>
      </c>
    </row>
    <row r="2024" spans="18:19" x14ac:dyDescent="0.25">
      <c r="R2024" s="57">
        <v>39180</v>
      </c>
      <c r="S2024" s="16">
        <v>849</v>
      </c>
    </row>
    <row r="2025" spans="18:19" x14ac:dyDescent="0.25">
      <c r="R2025" s="57">
        <v>39187</v>
      </c>
      <c r="S2025" s="16">
        <v>551</v>
      </c>
    </row>
    <row r="2026" spans="18:19" x14ac:dyDescent="0.25">
      <c r="R2026" s="57">
        <v>39194</v>
      </c>
      <c r="S2026" s="16">
        <v>975</v>
      </c>
    </row>
    <row r="2027" spans="18:19" x14ac:dyDescent="0.25">
      <c r="R2027" s="57">
        <v>39201</v>
      </c>
      <c r="S2027" s="16">
        <v>871</v>
      </c>
    </row>
    <row r="2028" spans="18:19" x14ac:dyDescent="0.25">
      <c r="R2028" s="57">
        <v>39208</v>
      </c>
      <c r="S2028" s="16">
        <v>969</v>
      </c>
    </row>
    <row r="2029" spans="18:19" x14ac:dyDescent="0.25">
      <c r="R2029" s="57">
        <v>39215</v>
      </c>
      <c r="S2029" s="16">
        <v>891</v>
      </c>
    </row>
    <row r="2030" spans="18:19" x14ac:dyDescent="0.25">
      <c r="R2030" s="57">
        <v>39219</v>
      </c>
      <c r="S2030" s="16">
        <v>1099</v>
      </c>
    </row>
    <row r="2031" spans="18:19" x14ac:dyDescent="0.25">
      <c r="R2031" s="57">
        <v>39222</v>
      </c>
      <c r="S2031" s="16">
        <v>997</v>
      </c>
    </row>
    <row r="2032" spans="18:19" x14ac:dyDescent="0.25">
      <c r="R2032" s="57">
        <v>39229</v>
      </c>
      <c r="S2032" s="16">
        <v>548</v>
      </c>
    </row>
    <row r="2033" spans="18:19" x14ac:dyDescent="0.25">
      <c r="R2033" s="57">
        <v>39236</v>
      </c>
      <c r="S2033" s="16">
        <v>867</v>
      </c>
    </row>
    <row r="2034" spans="18:19" x14ac:dyDescent="0.25">
      <c r="R2034" s="57">
        <v>39243</v>
      </c>
      <c r="S2034" s="16">
        <v>887</v>
      </c>
    </row>
    <row r="2035" spans="18:19" x14ac:dyDescent="0.25">
      <c r="R2035" s="57">
        <v>39250</v>
      </c>
      <c r="S2035" s="16">
        <v>597</v>
      </c>
    </row>
    <row r="2036" spans="18:19" x14ac:dyDescent="0.25">
      <c r="R2036" s="57">
        <v>39257</v>
      </c>
      <c r="S2036" s="16">
        <v>638</v>
      </c>
    </row>
    <row r="2037" spans="18:19" x14ac:dyDescent="0.25">
      <c r="R2037" s="57">
        <v>39264</v>
      </c>
      <c r="S2037" s="16">
        <v>867</v>
      </c>
    </row>
    <row r="2038" spans="18:19" x14ac:dyDescent="0.25">
      <c r="R2038" s="57">
        <v>39271</v>
      </c>
      <c r="S2038" s="16">
        <v>738</v>
      </c>
    </row>
    <row r="2039" spans="18:19" x14ac:dyDescent="0.25">
      <c r="R2039" s="57">
        <v>39278</v>
      </c>
      <c r="S2039" s="16">
        <v>929</v>
      </c>
    </row>
    <row r="2040" spans="18:19" x14ac:dyDescent="0.25">
      <c r="R2040" s="57">
        <v>39285</v>
      </c>
      <c r="S2040" s="16">
        <v>888</v>
      </c>
    </row>
    <row r="2041" spans="18:19" x14ac:dyDescent="0.25">
      <c r="R2041" s="57">
        <v>39292</v>
      </c>
      <c r="S2041" s="16">
        <v>867</v>
      </c>
    </row>
    <row r="2042" spans="18:19" x14ac:dyDescent="0.25">
      <c r="R2042" s="57">
        <v>39299</v>
      </c>
      <c r="S2042" s="16">
        <v>688</v>
      </c>
    </row>
    <row r="2043" spans="18:19" x14ac:dyDescent="0.25">
      <c r="R2043" s="57">
        <v>39306</v>
      </c>
      <c r="S2043" s="16">
        <v>895</v>
      </c>
    </row>
    <row r="2044" spans="18:19" x14ac:dyDescent="0.25">
      <c r="R2044" s="57">
        <v>39309</v>
      </c>
      <c r="S2044" s="16">
        <v>876</v>
      </c>
    </row>
    <row r="2045" spans="18:19" x14ac:dyDescent="0.25">
      <c r="R2045" s="57">
        <v>39313</v>
      </c>
      <c r="S2045" s="16">
        <v>737</v>
      </c>
    </row>
    <row r="2046" spans="18:19" x14ac:dyDescent="0.25">
      <c r="R2046" s="57">
        <v>39320</v>
      </c>
      <c r="S2046" s="16">
        <v>916</v>
      </c>
    </row>
    <row r="2047" spans="18:19" x14ac:dyDescent="0.25">
      <c r="R2047" s="57">
        <v>39327</v>
      </c>
      <c r="S2047" s="16">
        <v>769</v>
      </c>
    </row>
    <row r="2048" spans="18:19" x14ac:dyDescent="0.25">
      <c r="R2048" s="57">
        <v>39334</v>
      </c>
      <c r="S2048" s="16">
        <v>1229</v>
      </c>
    </row>
    <row r="2049" spans="18:19" x14ac:dyDescent="0.25">
      <c r="R2049" s="57">
        <v>39341</v>
      </c>
      <c r="S2049" s="16">
        <v>905</v>
      </c>
    </row>
    <row r="2050" spans="18:19" x14ac:dyDescent="0.25">
      <c r="R2050" s="57">
        <v>39348</v>
      </c>
      <c r="S2050" s="16">
        <v>1112</v>
      </c>
    </row>
    <row r="2051" spans="18:19" x14ac:dyDescent="0.25">
      <c r="R2051" s="57">
        <v>39355</v>
      </c>
      <c r="S2051" s="16">
        <v>893</v>
      </c>
    </row>
    <row r="2052" spans="18:19" x14ac:dyDescent="0.25">
      <c r="R2052" s="57">
        <v>39362</v>
      </c>
      <c r="S2052" s="16">
        <v>693</v>
      </c>
    </row>
    <row r="2053" spans="18:19" x14ac:dyDescent="0.25">
      <c r="R2053" s="57">
        <v>39369</v>
      </c>
      <c r="S2053" s="16">
        <v>1084</v>
      </c>
    </row>
    <row r="2054" spans="18:19" x14ac:dyDescent="0.25">
      <c r="R2054" s="57">
        <v>39376</v>
      </c>
      <c r="S2054" s="16">
        <v>900</v>
      </c>
    </row>
    <row r="2055" spans="18:19" x14ac:dyDescent="0.25">
      <c r="R2055" s="57">
        <v>39383</v>
      </c>
      <c r="S2055" s="16">
        <v>1013</v>
      </c>
    </row>
    <row r="2056" spans="18:19" x14ac:dyDescent="0.25">
      <c r="R2056" s="57">
        <v>39387</v>
      </c>
      <c r="S2056" s="16">
        <v>701</v>
      </c>
    </row>
    <row r="2057" spans="18:19" x14ac:dyDescent="0.25">
      <c r="R2057" s="57">
        <v>39390</v>
      </c>
      <c r="S2057" s="16">
        <v>996</v>
      </c>
    </row>
    <row r="2058" spans="18:19" x14ac:dyDescent="0.25">
      <c r="R2058" s="57">
        <v>39397</v>
      </c>
      <c r="S2058" s="16">
        <v>929</v>
      </c>
    </row>
    <row r="2059" spans="18:19" x14ac:dyDescent="0.25">
      <c r="R2059" s="57">
        <v>39404</v>
      </c>
      <c r="S2059" s="16">
        <v>1098</v>
      </c>
    </row>
    <row r="2060" spans="18:19" x14ac:dyDescent="0.25">
      <c r="R2060" s="57">
        <v>39411</v>
      </c>
      <c r="S2060" s="16">
        <v>826</v>
      </c>
    </row>
    <row r="2061" spans="18:19" x14ac:dyDescent="0.25">
      <c r="R2061" s="57">
        <v>39418</v>
      </c>
      <c r="S2061" s="16">
        <v>830</v>
      </c>
    </row>
    <row r="2062" spans="18:19" x14ac:dyDescent="0.25">
      <c r="R2062" s="57">
        <v>39425</v>
      </c>
      <c r="S2062" s="16">
        <v>775</v>
      </c>
    </row>
    <row r="2063" spans="18:19" x14ac:dyDescent="0.25">
      <c r="R2063" s="57">
        <v>39432</v>
      </c>
      <c r="S2063" s="16">
        <v>509</v>
      </c>
    </row>
    <row r="2064" spans="18:19" x14ac:dyDescent="0.25">
      <c r="R2064" s="57">
        <v>39439</v>
      </c>
      <c r="S2064" s="16">
        <v>669</v>
      </c>
    </row>
    <row r="2065" spans="18:19" x14ac:dyDescent="0.25">
      <c r="R2065" s="57">
        <v>39440</v>
      </c>
      <c r="S2065" s="16">
        <v>1085</v>
      </c>
    </row>
    <row r="2066" spans="18:19" x14ac:dyDescent="0.25">
      <c r="R2066" s="57">
        <v>39441</v>
      </c>
      <c r="S2066" s="16">
        <v>781</v>
      </c>
    </row>
    <row r="2067" spans="18:19" x14ac:dyDescent="0.25">
      <c r="R2067" s="57">
        <v>39446</v>
      </c>
      <c r="S2067" s="16">
        <v>693</v>
      </c>
    </row>
    <row r="2068" spans="18:19" x14ac:dyDescent="0.25">
      <c r="R2068" s="57">
        <v>39453</v>
      </c>
      <c r="S2068" s="16">
        <v>943</v>
      </c>
    </row>
    <row r="2069" spans="18:19" x14ac:dyDescent="0.25">
      <c r="R2069" s="57">
        <v>39460</v>
      </c>
      <c r="S2069" s="16">
        <v>908</v>
      </c>
    </row>
    <row r="2070" spans="18:19" x14ac:dyDescent="0.25">
      <c r="R2070" s="57">
        <v>39467</v>
      </c>
      <c r="S2070" s="16">
        <v>1041</v>
      </c>
    </row>
    <row r="2071" spans="18:19" x14ac:dyDescent="0.25">
      <c r="R2071" s="57">
        <v>39474</v>
      </c>
      <c r="S2071" s="16">
        <v>756</v>
      </c>
    </row>
    <row r="2072" spans="18:19" x14ac:dyDescent="0.25">
      <c r="R2072" s="57">
        <v>39481</v>
      </c>
      <c r="S2072" s="16">
        <v>922</v>
      </c>
    </row>
    <row r="2073" spans="18:19" x14ac:dyDescent="0.25">
      <c r="R2073" s="57">
        <v>39488</v>
      </c>
      <c r="S2073" s="16">
        <v>752</v>
      </c>
    </row>
    <row r="2074" spans="18:19" x14ac:dyDescent="0.25">
      <c r="R2074" s="57">
        <v>39495</v>
      </c>
      <c r="S2074" s="16">
        <v>912</v>
      </c>
    </row>
    <row r="2075" spans="18:19" x14ac:dyDescent="0.25">
      <c r="R2075" s="57">
        <v>39502</v>
      </c>
      <c r="S2075" s="16">
        <v>974</v>
      </c>
    </row>
    <row r="2076" spans="18:19" x14ac:dyDescent="0.25">
      <c r="R2076" s="57">
        <v>39509</v>
      </c>
      <c r="S2076" s="16">
        <v>1106</v>
      </c>
    </row>
    <row r="2077" spans="18:19" x14ac:dyDescent="0.25">
      <c r="R2077" s="57">
        <v>39516</v>
      </c>
      <c r="S2077" s="16">
        <v>1089</v>
      </c>
    </row>
    <row r="2078" spans="18:19" x14ac:dyDescent="0.25">
      <c r="R2078" s="57">
        <v>39523</v>
      </c>
      <c r="S2078" s="16">
        <v>657</v>
      </c>
    </row>
    <row r="2079" spans="18:19" x14ac:dyDescent="0.25">
      <c r="R2079" s="57">
        <v>39530</v>
      </c>
      <c r="S2079" s="16">
        <v>646</v>
      </c>
    </row>
    <row r="2080" spans="18:19" x14ac:dyDescent="0.25">
      <c r="R2080" s="57">
        <v>39537</v>
      </c>
      <c r="S2080" s="16">
        <v>769</v>
      </c>
    </row>
    <row r="2081" spans="18:19" x14ac:dyDescent="0.25">
      <c r="R2081" s="57">
        <v>39544</v>
      </c>
      <c r="S2081" s="16">
        <v>545</v>
      </c>
    </row>
    <row r="2082" spans="18:19" x14ac:dyDescent="0.25">
      <c r="R2082" s="57">
        <v>39551</v>
      </c>
      <c r="S2082" s="16">
        <v>846</v>
      </c>
    </row>
    <row r="2083" spans="18:19" x14ac:dyDescent="0.25">
      <c r="R2083" s="57">
        <v>39558</v>
      </c>
      <c r="S2083" s="16">
        <v>883</v>
      </c>
    </row>
    <row r="2084" spans="18:19" x14ac:dyDescent="0.25">
      <c r="R2084" s="57">
        <v>39565</v>
      </c>
      <c r="S2084" s="16">
        <v>728</v>
      </c>
    </row>
    <row r="2085" spans="18:19" x14ac:dyDescent="0.25">
      <c r="R2085" s="57">
        <v>39569</v>
      </c>
      <c r="S2085" s="16">
        <v>215</v>
      </c>
    </row>
    <row r="2086" spans="18:19" x14ac:dyDescent="0.25">
      <c r="R2086" s="57">
        <v>39572</v>
      </c>
      <c r="S2086" s="16">
        <v>543</v>
      </c>
    </row>
    <row r="2087" spans="18:19" x14ac:dyDescent="0.25">
      <c r="R2087" s="57">
        <v>39579</v>
      </c>
      <c r="S2087" s="16">
        <v>703</v>
      </c>
    </row>
    <row r="2088" spans="18:19" x14ac:dyDescent="0.25">
      <c r="R2088" s="57">
        <v>39586</v>
      </c>
      <c r="S2088" s="16">
        <v>820</v>
      </c>
    </row>
    <row r="2089" spans="18:19" x14ac:dyDescent="0.25">
      <c r="R2089" s="57">
        <v>39593</v>
      </c>
      <c r="S2089" s="16">
        <v>696</v>
      </c>
    </row>
    <row r="2090" spans="18:19" x14ac:dyDescent="0.25">
      <c r="R2090" s="57">
        <v>39600</v>
      </c>
      <c r="S2090" s="16">
        <v>1001</v>
      </c>
    </row>
    <row r="2091" spans="18:19" x14ac:dyDescent="0.25">
      <c r="R2091" s="57">
        <v>39607</v>
      </c>
      <c r="S2091" s="16">
        <v>788</v>
      </c>
    </row>
    <row r="2092" spans="18:19" x14ac:dyDescent="0.25">
      <c r="R2092" s="57">
        <v>39614</v>
      </c>
      <c r="S2092" s="16">
        <v>847</v>
      </c>
    </row>
    <row r="2093" spans="18:19" x14ac:dyDescent="0.25">
      <c r="R2093" s="57">
        <v>39621</v>
      </c>
      <c r="S2093" s="16">
        <v>614</v>
      </c>
    </row>
    <row r="2094" spans="18:19" x14ac:dyDescent="0.25">
      <c r="R2094" s="57">
        <v>39628</v>
      </c>
      <c r="S2094" s="16">
        <v>913</v>
      </c>
    </row>
    <row r="2095" spans="18:19" x14ac:dyDescent="0.25">
      <c r="R2095" s="57">
        <v>39635</v>
      </c>
      <c r="S2095" s="16">
        <v>790</v>
      </c>
    </row>
    <row r="2096" spans="18:19" x14ac:dyDescent="0.25">
      <c r="R2096" s="57">
        <v>39642</v>
      </c>
      <c r="S2096" s="16">
        <v>949</v>
      </c>
    </row>
    <row r="2097" spans="18:19" x14ac:dyDescent="0.25">
      <c r="R2097" s="57">
        <v>39649</v>
      </c>
      <c r="S2097" s="16">
        <v>1999</v>
      </c>
    </row>
    <row r="2098" spans="18:19" x14ac:dyDescent="0.25">
      <c r="R2098" s="57">
        <v>39656</v>
      </c>
      <c r="S2098" s="16">
        <v>620</v>
      </c>
    </row>
    <row r="2099" spans="18:19" x14ac:dyDescent="0.25">
      <c r="R2099" s="57">
        <v>39663</v>
      </c>
      <c r="S2099" s="16">
        <v>751</v>
      </c>
    </row>
    <row r="2100" spans="18:19" x14ac:dyDescent="0.25">
      <c r="R2100" s="57">
        <v>39670</v>
      </c>
      <c r="S2100" s="16">
        <v>972</v>
      </c>
    </row>
    <row r="2101" spans="18:19" x14ac:dyDescent="0.25">
      <c r="R2101" s="57">
        <v>39675</v>
      </c>
      <c r="S2101" s="16">
        <v>761</v>
      </c>
    </row>
    <row r="2102" spans="18:19" x14ac:dyDescent="0.25">
      <c r="R2102" s="57">
        <v>39677</v>
      </c>
      <c r="S2102" s="16">
        <v>721</v>
      </c>
    </row>
    <row r="2103" spans="18:19" x14ac:dyDescent="0.25">
      <c r="R2103" s="57">
        <v>39684</v>
      </c>
      <c r="S2103" s="16">
        <v>952</v>
      </c>
    </row>
    <row r="2104" spans="18:19" x14ac:dyDescent="0.25">
      <c r="R2104" s="57">
        <v>39691</v>
      </c>
      <c r="S2104" s="16">
        <v>740</v>
      </c>
    </row>
    <row r="2105" spans="18:19" x14ac:dyDescent="0.25">
      <c r="R2105" s="57">
        <v>39698</v>
      </c>
      <c r="S2105" s="16">
        <v>580</v>
      </c>
    </row>
    <row r="2106" spans="18:19" x14ac:dyDescent="0.25">
      <c r="R2106" s="57">
        <v>39704</v>
      </c>
      <c r="S2106" s="16">
        <v>2163</v>
      </c>
    </row>
    <row r="2107" spans="18:19" x14ac:dyDescent="0.25">
      <c r="R2107" s="57">
        <v>39705</v>
      </c>
      <c r="S2107" s="16">
        <v>2064</v>
      </c>
    </row>
    <row r="2108" spans="18:19" x14ac:dyDescent="0.25">
      <c r="R2108" s="57">
        <v>39712</v>
      </c>
      <c r="S2108" s="16">
        <v>933</v>
      </c>
    </row>
    <row r="2109" spans="18:19" x14ac:dyDescent="0.25">
      <c r="R2109" s="57">
        <v>39719</v>
      </c>
      <c r="S2109" s="16">
        <v>682</v>
      </c>
    </row>
    <row r="2110" spans="18:19" x14ac:dyDescent="0.25">
      <c r="R2110" s="57">
        <v>39726</v>
      </c>
      <c r="S2110" s="16">
        <v>834</v>
      </c>
    </row>
    <row r="2111" spans="18:19" x14ac:dyDescent="0.25">
      <c r="R2111" s="57">
        <v>39733</v>
      </c>
      <c r="S2111" s="16">
        <v>830</v>
      </c>
    </row>
    <row r="2112" spans="18:19" x14ac:dyDescent="0.25">
      <c r="R2112" s="57">
        <v>39740</v>
      </c>
      <c r="S2112" s="16">
        <v>739</v>
      </c>
    </row>
    <row r="2113" spans="18:19" x14ac:dyDescent="0.25">
      <c r="R2113" s="57">
        <v>39747</v>
      </c>
      <c r="S2113" s="16">
        <v>944</v>
      </c>
    </row>
    <row r="2114" spans="18:19" x14ac:dyDescent="0.25">
      <c r="R2114" s="57">
        <v>39753</v>
      </c>
      <c r="S2114" s="16">
        <v>1043</v>
      </c>
    </row>
    <row r="2115" spans="18:19" x14ac:dyDescent="0.25">
      <c r="R2115" s="57">
        <v>39754</v>
      </c>
      <c r="S2115" s="16">
        <v>798</v>
      </c>
    </row>
    <row r="2116" spans="18:19" x14ac:dyDescent="0.25">
      <c r="R2116" s="57">
        <v>39761</v>
      </c>
      <c r="S2116" s="16">
        <v>1058</v>
      </c>
    </row>
    <row r="2117" spans="18:19" x14ac:dyDescent="0.25">
      <c r="R2117" s="57">
        <v>39768</v>
      </c>
      <c r="S2117" s="16">
        <v>710</v>
      </c>
    </row>
    <row r="2118" spans="18:19" x14ac:dyDescent="0.25">
      <c r="R2118" s="57">
        <v>39775</v>
      </c>
      <c r="S2118" s="16">
        <v>1026</v>
      </c>
    </row>
    <row r="2119" spans="18:19" x14ac:dyDescent="0.25">
      <c r="R2119" s="57">
        <v>39782</v>
      </c>
      <c r="S2119" s="16">
        <v>908</v>
      </c>
    </row>
    <row r="2120" spans="18:19" x14ac:dyDescent="0.25">
      <c r="R2120" s="57">
        <v>39789</v>
      </c>
      <c r="S2120" s="16">
        <v>985</v>
      </c>
    </row>
    <row r="2121" spans="18:19" x14ac:dyDescent="0.25">
      <c r="R2121" s="57">
        <v>39796</v>
      </c>
      <c r="S2121" s="16">
        <v>855</v>
      </c>
    </row>
    <row r="2122" spans="18:19" x14ac:dyDescent="0.25">
      <c r="R2122" s="57">
        <v>39803</v>
      </c>
      <c r="S2122" s="16">
        <v>712</v>
      </c>
    </row>
    <row r="2123" spans="18:19" x14ac:dyDescent="0.25">
      <c r="R2123" s="57">
        <v>39806</v>
      </c>
      <c r="S2123" s="16">
        <v>827</v>
      </c>
    </row>
    <row r="2124" spans="18:19" x14ac:dyDescent="0.25">
      <c r="R2124" s="57">
        <v>39807</v>
      </c>
      <c r="S2124" s="16">
        <v>845</v>
      </c>
    </row>
    <row r="2125" spans="18:19" x14ac:dyDescent="0.25">
      <c r="R2125" s="57">
        <v>39810</v>
      </c>
      <c r="S2125" s="16">
        <v>512</v>
      </c>
    </row>
    <row r="2126" spans="18:19" x14ac:dyDescent="0.25">
      <c r="R2126" s="57">
        <v>39817</v>
      </c>
      <c r="S2126" s="16">
        <v>839</v>
      </c>
    </row>
    <row r="2127" spans="18:19" x14ac:dyDescent="0.25">
      <c r="R2127" s="57">
        <v>39824</v>
      </c>
      <c r="S2127" s="16">
        <v>755</v>
      </c>
    </row>
    <row r="2128" spans="18:19" x14ac:dyDescent="0.25">
      <c r="R2128" s="57">
        <v>39831</v>
      </c>
      <c r="S2128" s="16">
        <v>600</v>
      </c>
    </row>
    <row r="2129" spans="18:19" x14ac:dyDescent="0.25">
      <c r="R2129" s="57">
        <v>39838</v>
      </c>
      <c r="S2129" s="16">
        <v>815</v>
      </c>
    </row>
    <row r="2130" spans="18:19" x14ac:dyDescent="0.25">
      <c r="R2130" s="57">
        <v>39845</v>
      </c>
      <c r="S2130" s="16">
        <v>924</v>
      </c>
    </row>
    <row r="2131" spans="18:19" x14ac:dyDescent="0.25">
      <c r="R2131" s="57">
        <v>39852</v>
      </c>
      <c r="S2131" s="16">
        <v>777</v>
      </c>
    </row>
    <row r="2132" spans="18:19" x14ac:dyDescent="0.25">
      <c r="R2132" s="57">
        <v>39859</v>
      </c>
      <c r="S2132" s="16">
        <v>915</v>
      </c>
    </row>
    <row r="2133" spans="18:19" x14ac:dyDescent="0.25">
      <c r="R2133" s="57">
        <v>39866</v>
      </c>
      <c r="S2133" s="16">
        <v>673</v>
      </c>
    </row>
    <row r="2134" spans="18:19" x14ac:dyDescent="0.25">
      <c r="R2134" s="57">
        <v>39873</v>
      </c>
      <c r="S2134" s="16">
        <v>816</v>
      </c>
    </row>
    <row r="2135" spans="18:19" x14ac:dyDescent="0.25">
      <c r="R2135" s="57">
        <v>39880</v>
      </c>
      <c r="S2135" s="16">
        <v>764</v>
      </c>
    </row>
    <row r="2136" spans="18:19" x14ac:dyDescent="0.25">
      <c r="R2136" s="57">
        <v>39887</v>
      </c>
      <c r="S2136" s="16">
        <v>849</v>
      </c>
    </row>
    <row r="2137" spans="18:19" x14ac:dyDescent="0.25">
      <c r="R2137" s="57">
        <v>39894</v>
      </c>
      <c r="S2137" s="16">
        <v>1092</v>
      </c>
    </row>
    <row r="2138" spans="18:19" x14ac:dyDescent="0.25">
      <c r="R2138" s="57">
        <v>39901</v>
      </c>
      <c r="S2138" s="16">
        <v>826</v>
      </c>
    </row>
    <row r="2139" spans="18:19" x14ac:dyDescent="0.25">
      <c r="R2139" s="57">
        <v>39908</v>
      </c>
      <c r="S2139" s="16">
        <v>417</v>
      </c>
    </row>
    <row r="2140" spans="18:19" x14ac:dyDescent="0.25">
      <c r="R2140" s="57">
        <v>39915</v>
      </c>
      <c r="S2140" s="16">
        <v>1021</v>
      </c>
    </row>
    <row r="2141" spans="18:19" x14ac:dyDescent="0.25">
      <c r="R2141" s="57">
        <v>39922</v>
      </c>
      <c r="S2141" s="16">
        <v>705</v>
      </c>
    </row>
    <row r="2142" spans="18:19" x14ac:dyDescent="0.25">
      <c r="R2142" s="57">
        <v>39929</v>
      </c>
      <c r="S2142" s="16">
        <v>784</v>
      </c>
    </row>
    <row r="2143" spans="18:19" x14ac:dyDescent="0.25">
      <c r="R2143" s="57">
        <v>39936</v>
      </c>
      <c r="S2143" s="16">
        <v>1060</v>
      </c>
    </row>
    <row r="2144" spans="18:19" x14ac:dyDescent="0.25">
      <c r="R2144" s="57">
        <v>39943</v>
      </c>
      <c r="S2144" s="16">
        <v>902</v>
      </c>
    </row>
    <row r="2145" spans="18:19" x14ac:dyDescent="0.25">
      <c r="R2145" s="57">
        <v>39950</v>
      </c>
      <c r="S2145" s="16">
        <v>663</v>
      </c>
    </row>
    <row r="2146" spans="18:19" x14ac:dyDescent="0.25">
      <c r="R2146" s="57">
        <v>39954</v>
      </c>
      <c r="S2146" s="16">
        <v>733</v>
      </c>
    </row>
    <row r="2147" spans="18:19" x14ac:dyDescent="0.25">
      <c r="R2147" s="57">
        <v>39957</v>
      </c>
      <c r="S2147" s="16">
        <v>946</v>
      </c>
    </row>
    <row r="2148" spans="18:19" x14ac:dyDescent="0.25">
      <c r="R2148" s="57">
        <v>39964</v>
      </c>
      <c r="S2148" s="16">
        <v>1036</v>
      </c>
    </row>
    <row r="2149" spans="18:19" x14ac:dyDescent="0.25">
      <c r="R2149" s="57">
        <v>39971</v>
      </c>
      <c r="S2149" s="16">
        <v>886</v>
      </c>
    </row>
    <row r="2150" spans="18:19" x14ac:dyDescent="0.25">
      <c r="R2150" s="57">
        <v>39978</v>
      </c>
      <c r="S2150" s="16">
        <v>612</v>
      </c>
    </row>
    <row r="2151" spans="18:19" x14ac:dyDescent="0.25">
      <c r="R2151" s="57">
        <v>39985</v>
      </c>
      <c r="S2151" s="16">
        <v>924</v>
      </c>
    </row>
    <row r="2152" spans="18:19" x14ac:dyDescent="0.25">
      <c r="R2152" s="57">
        <v>39992</v>
      </c>
      <c r="S2152" s="16">
        <v>691</v>
      </c>
    </row>
    <row r="2153" spans="18:19" x14ac:dyDescent="0.25">
      <c r="R2153" s="57">
        <v>40003</v>
      </c>
      <c r="S2153" s="16">
        <v>949</v>
      </c>
    </row>
    <row r="2154" spans="18:19" x14ac:dyDescent="0.25">
      <c r="R2154" s="57">
        <v>40006</v>
      </c>
      <c r="S2154" s="16">
        <v>1033</v>
      </c>
    </row>
    <row r="2155" spans="18:19" x14ac:dyDescent="0.25">
      <c r="R2155" s="57">
        <v>40013</v>
      </c>
      <c r="S2155" s="16">
        <v>912</v>
      </c>
    </row>
    <row r="2156" spans="18:19" x14ac:dyDescent="0.25">
      <c r="R2156" s="57">
        <v>40020</v>
      </c>
      <c r="S2156" s="16">
        <v>757</v>
      </c>
    </row>
    <row r="2157" spans="18:19" x14ac:dyDescent="0.25">
      <c r="R2157" s="57">
        <v>40027</v>
      </c>
      <c r="S2157" s="16">
        <v>738</v>
      </c>
    </row>
    <row r="2158" spans="18:19" x14ac:dyDescent="0.25">
      <c r="R2158" s="57">
        <v>40034</v>
      </c>
      <c r="S2158" s="16">
        <v>778</v>
      </c>
    </row>
    <row r="2159" spans="18:19" x14ac:dyDescent="0.25">
      <c r="R2159" s="57">
        <v>40040</v>
      </c>
      <c r="S2159" s="16">
        <v>635</v>
      </c>
    </row>
    <row r="2160" spans="18:19" x14ac:dyDescent="0.25">
      <c r="R2160" s="57">
        <v>40041</v>
      </c>
      <c r="S2160" s="16">
        <v>789</v>
      </c>
    </row>
    <row r="2161" spans="18:19" x14ac:dyDescent="0.25">
      <c r="R2161" s="57">
        <v>40048</v>
      </c>
      <c r="S2161" s="16">
        <v>996</v>
      </c>
    </row>
    <row r="2162" spans="18:19" x14ac:dyDescent="0.25">
      <c r="R2162" s="57">
        <v>40055</v>
      </c>
      <c r="S2162" s="16">
        <v>803</v>
      </c>
    </row>
    <row r="2163" spans="18:19" x14ac:dyDescent="0.25">
      <c r="R2163" s="57">
        <v>40062</v>
      </c>
      <c r="S2163" s="16">
        <v>863</v>
      </c>
    </row>
    <row r="2164" spans="18:19" x14ac:dyDescent="0.25">
      <c r="R2164" s="57">
        <v>40069</v>
      </c>
      <c r="S2164" s="16">
        <v>863</v>
      </c>
    </row>
    <row r="2165" spans="18:19" x14ac:dyDescent="0.25">
      <c r="R2165" s="57">
        <v>40076</v>
      </c>
      <c r="S2165" s="16">
        <v>993</v>
      </c>
    </row>
    <row r="2166" spans="18:19" x14ac:dyDescent="0.25">
      <c r="R2166" s="57">
        <v>40083</v>
      </c>
      <c r="S2166" s="16">
        <v>1095</v>
      </c>
    </row>
    <row r="2167" spans="18:19" x14ac:dyDescent="0.25">
      <c r="R2167" s="57">
        <v>40090</v>
      </c>
      <c r="S2167" s="16">
        <v>752</v>
      </c>
    </row>
    <row r="2168" spans="18:19" x14ac:dyDescent="0.25">
      <c r="R2168" s="57">
        <v>40097</v>
      </c>
      <c r="S2168" s="16">
        <v>817</v>
      </c>
    </row>
    <row r="2169" spans="18:19" x14ac:dyDescent="0.25">
      <c r="R2169" s="57">
        <v>40104</v>
      </c>
      <c r="S2169" s="16">
        <v>1062</v>
      </c>
    </row>
    <row r="2170" spans="18:19" x14ac:dyDescent="0.25">
      <c r="R2170" s="57">
        <v>40111</v>
      </c>
      <c r="S2170" s="16">
        <v>880</v>
      </c>
    </row>
    <row r="2171" spans="18:19" x14ac:dyDescent="0.25">
      <c r="R2171" s="57">
        <v>40118</v>
      </c>
      <c r="S2171" s="16">
        <v>822</v>
      </c>
    </row>
    <row r="2172" spans="18:19" x14ac:dyDescent="0.25">
      <c r="R2172" s="57">
        <v>40125</v>
      </c>
      <c r="S2172" s="16">
        <v>1133</v>
      </c>
    </row>
    <row r="2173" spans="18:19" x14ac:dyDescent="0.25">
      <c r="R2173" s="57">
        <v>40132</v>
      </c>
      <c r="S2173" s="16">
        <v>740</v>
      </c>
    </row>
    <row r="2174" spans="18:19" x14ac:dyDescent="0.25">
      <c r="R2174" s="57">
        <v>40139</v>
      </c>
      <c r="S2174" s="16">
        <v>629</v>
      </c>
    </row>
    <row r="2175" spans="18:19" x14ac:dyDescent="0.25">
      <c r="R2175" s="57">
        <v>40146</v>
      </c>
      <c r="S2175" s="16">
        <v>847</v>
      </c>
    </row>
    <row r="2176" spans="18:19" x14ac:dyDescent="0.25">
      <c r="R2176" s="57">
        <v>40153</v>
      </c>
      <c r="S2176" s="16">
        <v>967</v>
      </c>
    </row>
    <row r="2177" spans="18:19" x14ac:dyDescent="0.25">
      <c r="R2177" s="57">
        <v>40160</v>
      </c>
      <c r="S2177" s="16">
        <v>655</v>
      </c>
    </row>
    <row r="2178" spans="18:19" x14ac:dyDescent="0.25">
      <c r="R2178" s="57">
        <v>40167</v>
      </c>
      <c r="S2178" s="16">
        <v>633</v>
      </c>
    </row>
    <row r="2179" spans="18:19" x14ac:dyDescent="0.25">
      <c r="R2179" s="57">
        <v>40171</v>
      </c>
      <c r="S2179" s="16">
        <v>1934</v>
      </c>
    </row>
    <row r="2180" spans="18:19" x14ac:dyDescent="0.25">
      <c r="R2180" s="57">
        <v>40172</v>
      </c>
      <c r="S2180" s="16">
        <v>768</v>
      </c>
    </row>
    <row r="2181" spans="18:19" x14ac:dyDescent="0.25">
      <c r="R2181" s="57">
        <v>40174</v>
      </c>
      <c r="S2181" s="16">
        <v>745</v>
      </c>
    </row>
    <row r="2182" spans="18:19" x14ac:dyDescent="0.25">
      <c r="R2182" s="57">
        <v>40181</v>
      </c>
      <c r="S2182" s="16">
        <v>626</v>
      </c>
    </row>
    <row r="2183" spans="18:19" x14ac:dyDescent="0.25">
      <c r="R2183" s="57">
        <v>40188</v>
      </c>
      <c r="S2183" s="16">
        <v>771</v>
      </c>
    </row>
    <row r="2184" spans="18:19" x14ac:dyDescent="0.25">
      <c r="R2184" s="57">
        <v>40195</v>
      </c>
      <c r="S2184" s="16">
        <v>1105</v>
      </c>
    </row>
    <row r="2185" spans="18:19" x14ac:dyDescent="0.25">
      <c r="R2185" s="57">
        <v>40202</v>
      </c>
      <c r="S2185" s="16">
        <v>1681</v>
      </c>
    </row>
    <row r="2186" spans="18:19" x14ac:dyDescent="0.25">
      <c r="R2186" s="57">
        <v>40209</v>
      </c>
      <c r="S2186" s="16">
        <v>875</v>
      </c>
    </row>
    <row r="2187" spans="18:19" x14ac:dyDescent="0.25">
      <c r="R2187" s="57">
        <v>40216</v>
      </c>
      <c r="S2187" s="16">
        <v>943</v>
      </c>
    </row>
    <row r="2188" spans="18:19" x14ac:dyDescent="0.25">
      <c r="R2188" s="57">
        <v>40223</v>
      </c>
      <c r="S2188" s="16">
        <v>843</v>
      </c>
    </row>
    <row r="2189" spans="18:19" x14ac:dyDescent="0.25">
      <c r="R2189" s="57">
        <v>40230</v>
      </c>
      <c r="S2189" s="16">
        <v>534</v>
      </c>
    </row>
    <row r="2190" spans="18:19" x14ac:dyDescent="0.25">
      <c r="R2190" s="57">
        <v>40237</v>
      </c>
      <c r="S2190" s="16">
        <v>594</v>
      </c>
    </row>
    <row r="2191" spans="18:19" x14ac:dyDescent="0.25">
      <c r="R2191" s="57">
        <v>40244</v>
      </c>
      <c r="S2191" s="16">
        <v>616</v>
      </c>
    </row>
    <row r="2192" spans="18:19" x14ac:dyDescent="0.25">
      <c r="R2192" s="57">
        <v>40251</v>
      </c>
      <c r="S2192" s="16">
        <v>785</v>
      </c>
    </row>
    <row r="2193" spans="18:19" x14ac:dyDescent="0.25">
      <c r="R2193" s="57">
        <v>40258</v>
      </c>
      <c r="S2193" s="16">
        <v>604</v>
      </c>
    </row>
    <row r="2194" spans="18:19" x14ac:dyDescent="0.25">
      <c r="R2194" s="57">
        <v>40265</v>
      </c>
      <c r="S2194" s="16">
        <v>529</v>
      </c>
    </row>
    <row r="2195" spans="18:19" x14ac:dyDescent="0.25">
      <c r="R2195" s="57">
        <v>40272</v>
      </c>
      <c r="S2195" s="16">
        <v>863</v>
      </c>
    </row>
    <row r="2196" spans="18:19" x14ac:dyDescent="0.25">
      <c r="R2196" s="57">
        <v>40279</v>
      </c>
      <c r="S2196" s="16">
        <v>699</v>
      </c>
    </row>
    <row r="2197" spans="18:19" x14ac:dyDescent="0.25">
      <c r="R2197" s="57">
        <v>40286</v>
      </c>
      <c r="S2197" s="16">
        <v>495</v>
      </c>
    </row>
    <row r="2198" spans="18:19" x14ac:dyDescent="0.25">
      <c r="R2198" s="57">
        <v>40293</v>
      </c>
      <c r="S2198" s="16">
        <v>787</v>
      </c>
    </row>
    <row r="2199" spans="18:19" x14ac:dyDescent="0.25">
      <c r="R2199" s="57">
        <v>40300</v>
      </c>
      <c r="S2199" s="16">
        <v>782</v>
      </c>
    </row>
    <row r="2200" spans="18:19" x14ac:dyDescent="0.25">
      <c r="R2200" s="57">
        <v>40307</v>
      </c>
      <c r="S2200" s="16">
        <v>738</v>
      </c>
    </row>
    <row r="2201" spans="18:19" x14ac:dyDescent="0.25">
      <c r="R2201" s="57">
        <v>40311</v>
      </c>
      <c r="S2201" s="16">
        <v>1127</v>
      </c>
    </row>
    <row r="2202" spans="18:19" x14ac:dyDescent="0.25">
      <c r="R2202" s="57">
        <v>40314</v>
      </c>
      <c r="S2202" s="16">
        <v>723</v>
      </c>
    </row>
    <row r="2203" spans="18:19" x14ac:dyDescent="0.25">
      <c r="R2203" s="57">
        <v>40321</v>
      </c>
      <c r="S2203" s="16">
        <v>923</v>
      </c>
    </row>
    <row r="2204" spans="18:19" x14ac:dyDescent="0.25">
      <c r="R2204" s="57">
        <v>40328</v>
      </c>
      <c r="S2204" s="16">
        <v>645</v>
      </c>
    </row>
    <row r="2205" spans="18:19" x14ac:dyDescent="0.25">
      <c r="R2205" s="57">
        <v>40335</v>
      </c>
      <c r="S2205" s="16">
        <v>592</v>
      </c>
    </row>
    <row r="2206" spans="18:19" x14ac:dyDescent="0.25">
      <c r="R2206" s="57">
        <v>40342</v>
      </c>
      <c r="S2206" s="16">
        <v>508</v>
      </c>
    </row>
    <row r="2207" spans="18:19" x14ac:dyDescent="0.25">
      <c r="R2207" s="57">
        <v>40349</v>
      </c>
      <c r="S2207" s="16">
        <v>652</v>
      </c>
    </row>
    <row r="2208" spans="18:19" x14ac:dyDescent="0.25">
      <c r="R2208" s="57">
        <v>40356</v>
      </c>
      <c r="S2208" s="16">
        <v>558</v>
      </c>
    </row>
    <row r="2209" spans="18:19" x14ac:dyDescent="0.25">
      <c r="R2209" s="57">
        <v>40363</v>
      </c>
      <c r="S2209" s="16">
        <v>474</v>
      </c>
    </row>
    <row r="2210" spans="18:19" x14ac:dyDescent="0.25">
      <c r="R2210" s="57">
        <v>40370</v>
      </c>
      <c r="S2210" s="16">
        <v>572</v>
      </c>
    </row>
    <row r="2211" spans="18:19" x14ac:dyDescent="0.25">
      <c r="R2211" s="57">
        <v>40377</v>
      </c>
      <c r="S2211" s="16">
        <v>765</v>
      </c>
    </row>
    <row r="2212" spans="18:19" x14ac:dyDescent="0.25">
      <c r="R2212" s="57">
        <v>40384</v>
      </c>
      <c r="S2212" s="16">
        <v>555</v>
      </c>
    </row>
    <row r="2213" spans="18:19" x14ac:dyDescent="0.25">
      <c r="R2213" s="57">
        <v>40391</v>
      </c>
      <c r="S2213" s="16">
        <v>555</v>
      </c>
    </row>
    <row r="2214" spans="18:19" x14ac:dyDescent="0.25">
      <c r="R2214" s="57">
        <v>40398</v>
      </c>
      <c r="S2214" s="16">
        <v>627</v>
      </c>
    </row>
    <row r="2215" spans="18:19" x14ac:dyDescent="0.25">
      <c r="R2215" s="57">
        <v>40405</v>
      </c>
      <c r="S2215" s="16">
        <v>569</v>
      </c>
    </row>
    <row r="2216" spans="18:19" x14ac:dyDescent="0.25">
      <c r="R2216" s="57">
        <v>40412</v>
      </c>
      <c r="S2216" s="16">
        <v>603</v>
      </c>
    </row>
    <row r="2217" spans="18:19" x14ac:dyDescent="0.25">
      <c r="R2217" s="57">
        <v>40419</v>
      </c>
      <c r="S2217" s="16">
        <v>504</v>
      </c>
    </row>
    <row r="2218" spans="18:19" x14ac:dyDescent="0.25">
      <c r="R2218" s="57">
        <v>40426</v>
      </c>
      <c r="S2218" s="16">
        <v>687</v>
      </c>
    </row>
    <row r="2219" spans="18:19" x14ac:dyDescent="0.25">
      <c r="R2219" s="57">
        <v>40433</v>
      </c>
      <c r="S2219" s="16">
        <v>568</v>
      </c>
    </row>
    <row r="2220" spans="18:19" x14ac:dyDescent="0.25">
      <c r="R2220" s="57">
        <v>40440</v>
      </c>
      <c r="S2220" s="16">
        <v>525</v>
      </c>
    </row>
    <row r="2221" spans="18:19" x14ac:dyDescent="0.25">
      <c r="R2221" s="57">
        <v>40447</v>
      </c>
      <c r="S2221" s="16">
        <v>556</v>
      </c>
    </row>
    <row r="2222" spans="18:19" x14ac:dyDescent="0.25">
      <c r="R2222" s="57">
        <v>40454</v>
      </c>
      <c r="S2222" s="16">
        <v>624</v>
      </c>
    </row>
    <row r="2223" spans="18:19" x14ac:dyDescent="0.25">
      <c r="R2223" s="57">
        <v>40461</v>
      </c>
      <c r="S2223" s="16">
        <v>828</v>
      </c>
    </row>
    <row r="2224" spans="18:19" x14ac:dyDescent="0.25">
      <c r="R2224" s="57">
        <v>40468</v>
      </c>
      <c r="S2224" s="16">
        <v>661</v>
      </c>
    </row>
    <row r="2225" spans="18:19" x14ac:dyDescent="0.25">
      <c r="R2225" s="57">
        <v>40475</v>
      </c>
      <c r="S2225" s="16">
        <v>297</v>
      </c>
    </row>
    <row r="2226" spans="18:19" x14ac:dyDescent="0.25">
      <c r="R2226" s="57">
        <v>40482</v>
      </c>
      <c r="S2226" s="16">
        <v>536</v>
      </c>
    </row>
    <row r="2227" spans="18:19" x14ac:dyDescent="0.25">
      <c r="R2227" s="57">
        <v>40483</v>
      </c>
      <c r="S2227" s="16">
        <v>784</v>
      </c>
    </row>
    <row r="2228" spans="18:19" x14ac:dyDescent="0.25">
      <c r="R2228" s="57">
        <v>40489</v>
      </c>
      <c r="S2228" s="16">
        <v>1134</v>
      </c>
    </row>
    <row r="2229" spans="18:19" x14ac:dyDescent="0.25">
      <c r="R2229" s="57">
        <v>40496</v>
      </c>
      <c r="S2229" s="16">
        <v>621</v>
      </c>
    </row>
    <row r="2230" spans="18:19" x14ac:dyDescent="0.25">
      <c r="R2230" s="57">
        <v>40503</v>
      </c>
      <c r="S2230" s="16">
        <v>678</v>
      </c>
    </row>
    <row r="2231" spans="18:19" x14ac:dyDescent="0.25">
      <c r="R2231" s="57">
        <v>40510</v>
      </c>
      <c r="S2231" s="16">
        <v>700</v>
      </c>
    </row>
    <row r="2232" spans="18:19" x14ac:dyDescent="0.25">
      <c r="R2232" s="57">
        <v>40517</v>
      </c>
      <c r="S2232" s="16">
        <v>859</v>
      </c>
    </row>
    <row r="2233" spans="18:19" x14ac:dyDescent="0.25">
      <c r="R2233" s="57">
        <v>40524</v>
      </c>
      <c r="S2233" s="16">
        <v>647</v>
      </c>
    </row>
    <row r="2234" spans="18:19" x14ac:dyDescent="0.25">
      <c r="R2234" s="57">
        <v>40531</v>
      </c>
      <c r="S2234" s="16">
        <v>719</v>
      </c>
    </row>
    <row r="2235" spans="18:19" x14ac:dyDescent="0.25">
      <c r="R2235" s="57">
        <v>40536</v>
      </c>
      <c r="S2235" s="16">
        <v>1982</v>
      </c>
    </row>
    <row r="2236" spans="18:19" x14ac:dyDescent="0.25">
      <c r="R2236" s="57">
        <v>40537</v>
      </c>
      <c r="S2236" s="16">
        <v>594</v>
      </c>
    </row>
    <row r="2237" spans="18:19" x14ac:dyDescent="0.25">
      <c r="R2237" s="57">
        <v>40538</v>
      </c>
      <c r="S2237" s="16">
        <v>533</v>
      </c>
    </row>
    <row r="2238" spans="18:19" x14ac:dyDescent="0.25">
      <c r="R2238" s="57">
        <v>40545</v>
      </c>
      <c r="S2238" s="16">
        <v>572</v>
      </c>
    </row>
    <row r="2239" spans="18:19" x14ac:dyDescent="0.25">
      <c r="R2239" s="57">
        <v>40552</v>
      </c>
      <c r="S2239" s="16">
        <v>578</v>
      </c>
    </row>
    <row r="2240" spans="18:19" x14ac:dyDescent="0.25">
      <c r="R2240" s="57">
        <v>40559</v>
      </c>
      <c r="S2240" s="16">
        <v>729</v>
      </c>
    </row>
    <row r="2241" spans="18:19" x14ac:dyDescent="0.25">
      <c r="R2241" s="57">
        <v>40566</v>
      </c>
      <c r="S2241" s="16">
        <v>602</v>
      </c>
    </row>
    <row r="2242" spans="18:19" x14ac:dyDescent="0.25">
      <c r="R2242" s="57">
        <v>40573</v>
      </c>
      <c r="S2242" s="16">
        <v>581</v>
      </c>
    </row>
    <row r="2243" spans="18:19" x14ac:dyDescent="0.25">
      <c r="R2243" s="57">
        <v>40580</v>
      </c>
      <c r="S2243" s="16">
        <v>493</v>
      </c>
    </row>
    <row r="2244" spans="18:19" x14ac:dyDescent="0.25">
      <c r="R2244" s="57">
        <v>40587</v>
      </c>
      <c r="S2244" s="16">
        <v>541</v>
      </c>
    </row>
    <row r="2245" spans="18:19" x14ac:dyDescent="0.25">
      <c r="R2245" s="57">
        <v>40594</v>
      </c>
      <c r="S2245" s="16">
        <v>642</v>
      </c>
    </row>
    <row r="2246" spans="18:19" x14ac:dyDescent="0.25">
      <c r="R2246" s="57">
        <v>40601</v>
      </c>
      <c r="S2246" s="16">
        <v>545</v>
      </c>
    </row>
    <row r="2247" spans="18:19" x14ac:dyDescent="0.25">
      <c r="R2247" s="57">
        <v>40608</v>
      </c>
      <c r="S2247" s="16">
        <v>984</v>
      </c>
    </row>
    <row r="2248" spans="18:19" x14ac:dyDescent="0.25">
      <c r="R2248" s="57">
        <v>40615</v>
      </c>
      <c r="S2248" s="16">
        <v>568</v>
      </c>
    </row>
    <row r="2249" spans="18:19" x14ac:dyDescent="0.25">
      <c r="R2249" s="57">
        <v>40622</v>
      </c>
      <c r="S2249" s="16">
        <v>528</v>
      </c>
    </row>
    <row r="2250" spans="18:19" x14ac:dyDescent="0.25">
      <c r="R2250" s="57">
        <v>40629</v>
      </c>
      <c r="S2250" s="16">
        <v>841</v>
      </c>
    </row>
    <row r="2251" spans="18:19" x14ac:dyDescent="0.25">
      <c r="R2251" s="57">
        <v>40636</v>
      </c>
      <c r="S2251" s="16">
        <v>560</v>
      </c>
    </row>
    <row r="2252" spans="18:19" x14ac:dyDescent="0.25">
      <c r="R2252" s="57">
        <v>40643</v>
      </c>
      <c r="S2252" s="16">
        <v>640</v>
      </c>
    </row>
    <row r="2253" spans="18:19" x14ac:dyDescent="0.25">
      <c r="R2253" s="57">
        <v>40650</v>
      </c>
      <c r="S2253" s="16">
        <v>410</v>
      </c>
    </row>
    <row r="2254" spans="18:19" x14ac:dyDescent="0.25">
      <c r="R2254" s="57">
        <v>40657</v>
      </c>
      <c r="S2254" s="16">
        <v>918</v>
      </c>
    </row>
    <row r="2255" spans="18:19" x14ac:dyDescent="0.25">
      <c r="R2255" s="57">
        <v>40664</v>
      </c>
      <c r="S2255" s="16">
        <v>2011</v>
      </c>
    </row>
    <row r="2256" spans="18:19" x14ac:dyDescent="0.25">
      <c r="R2256" s="57">
        <v>40671</v>
      </c>
      <c r="S2256" s="16">
        <v>573</v>
      </c>
    </row>
    <row r="2257" spans="18:19" x14ac:dyDescent="0.25">
      <c r="R2257" s="57">
        <v>40678</v>
      </c>
      <c r="S2257" s="16">
        <v>766</v>
      </c>
    </row>
    <row r="2258" spans="18:19" x14ac:dyDescent="0.25">
      <c r="R2258" s="57">
        <v>40685</v>
      </c>
      <c r="S2258" s="16">
        <v>756</v>
      </c>
    </row>
    <row r="2259" spans="18:19" x14ac:dyDescent="0.25">
      <c r="R2259" s="57">
        <v>40692</v>
      </c>
      <c r="S2259" s="16">
        <v>575</v>
      </c>
    </row>
    <row r="2260" spans="18:19" x14ac:dyDescent="0.25">
      <c r="R2260" s="57">
        <v>40696</v>
      </c>
      <c r="S2260" s="16">
        <v>742</v>
      </c>
    </row>
    <row r="2261" spans="18:19" x14ac:dyDescent="0.25">
      <c r="R2261" s="57">
        <v>40699</v>
      </c>
      <c r="S2261" s="16">
        <v>537</v>
      </c>
    </row>
    <row r="2262" spans="18:19" x14ac:dyDescent="0.25">
      <c r="R2262" s="57">
        <v>40706</v>
      </c>
      <c r="S2262" s="16">
        <v>558</v>
      </c>
    </row>
    <row r="2263" spans="18:19" x14ac:dyDescent="0.25">
      <c r="R2263" s="57">
        <v>40713</v>
      </c>
      <c r="S2263" s="16">
        <v>664</v>
      </c>
    </row>
    <row r="2264" spans="18:19" x14ac:dyDescent="0.25">
      <c r="R2264" s="57">
        <v>40720</v>
      </c>
      <c r="S2264" s="16">
        <v>759</v>
      </c>
    </row>
    <row r="2265" spans="18:19" x14ac:dyDescent="0.25">
      <c r="R2265" s="57">
        <v>40727</v>
      </c>
      <c r="S2265" s="16">
        <v>610</v>
      </c>
    </row>
    <row r="2266" spans="18:19" x14ac:dyDescent="0.25">
      <c r="R2266" s="57">
        <v>40734</v>
      </c>
      <c r="S2266" s="16">
        <v>503</v>
      </c>
    </row>
    <row r="2267" spans="18:19" x14ac:dyDescent="0.25">
      <c r="R2267" s="57">
        <v>40741</v>
      </c>
      <c r="S2267" s="16">
        <v>411</v>
      </c>
    </row>
    <row r="2268" spans="18:19" x14ac:dyDescent="0.25">
      <c r="R2268" s="57">
        <v>40748</v>
      </c>
      <c r="S2268" s="16">
        <v>612</v>
      </c>
    </row>
    <row r="2269" spans="18:19" x14ac:dyDescent="0.25">
      <c r="R2269" s="57">
        <v>40755</v>
      </c>
      <c r="S2269" s="16">
        <v>599</v>
      </c>
    </row>
    <row r="2270" spans="18:19" x14ac:dyDescent="0.25">
      <c r="R2270" s="57">
        <v>40762</v>
      </c>
      <c r="S2270" s="16">
        <v>544</v>
      </c>
    </row>
    <row r="2271" spans="18:19" x14ac:dyDescent="0.25">
      <c r="R2271" s="57">
        <v>40769</v>
      </c>
      <c r="S2271" s="16">
        <v>664</v>
      </c>
    </row>
    <row r="2272" spans="18:19" x14ac:dyDescent="0.25">
      <c r="R2272" s="57">
        <v>40770</v>
      </c>
      <c r="S2272" s="16">
        <v>884</v>
      </c>
    </row>
    <row r="2273" spans="18:19" x14ac:dyDescent="0.25">
      <c r="R2273" s="57">
        <v>40776</v>
      </c>
      <c r="S2273" s="16">
        <v>1288</v>
      </c>
    </row>
    <row r="2274" spans="18:19" x14ac:dyDescent="0.25">
      <c r="R2274" s="57">
        <v>40783</v>
      </c>
      <c r="S2274" s="16">
        <v>615</v>
      </c>
    </row>
    <row r="2275" spans="18:19" x14ac:dyDescent="0.25">
      <c r="R2275" s="57">
        <v>40790</v>
      </c>
      <c r="S2275" s="16">
        <v>666</v>
      </c>
    </row>
    <row r="2276" spans="18:19" x14ac:dyDescent="0.25">
      <c r="R2276" s="57">
        <v>40797</v>
      </c>
      <c r="S2276" s="16">
        <v>640</v>
      </c>
    </row>
    <row r="2277" spans="18:19" x14ac:dyDescent="0.25">
      <c r="R2277" s="57">
        <v>40804</v>
      </c>
      <c r="S2277" s="16">
        <v>581</v>
      </c>
    </row>
    <row r="2278" spans="18:19" x14ac:dyDescent="0.25">
      <c r="R2278" s="57">
        <v>40811</v>
      </c>
      <c r="S2278" s="16">
        <v>607</v>
      </c>
    </row>
    <row r="2279" spans="18:19" x14ac:dyDescent="0.25">
      <c r="R2279" s="57">
        <v>40818</v>
      </c>
      <c r="S2279" s="16">
        <v>710</v>
      </c>
    </row>
    <row r="2280" spans="18:19" x14ac:dyDescent="0.25">
      <c r="R2280" s="57">
        <v>40825</v>
      </c>
      <c r="S2280" s="16">
        <v>813</v>
      </c>
    </row>
    <row r="2281" spans="18:19" x14ac:dyDescent="0.25">
      <c r="R2281" s="57">
        <v>40832</v>
      </c>
      <c r="S2281" s="16">
        <v>1137</v>
      </c>
    </row>
    <row r="2282" spans="18:19" x14ac:dyDescent="0.25">
      <c r="R2282" s="57">
        <v>40839</v>
      </c>
      <c r="S2282" s="16">
        <v>734</v>
      </c>
    </row>
    <row r="2283" spans="18:19" x14ac:dyDescent="0.25">
      <c r="R2283" s="57">
        <v>40846</v>
      </c>
      <c r="S2283" s="16">
        <v>635</v>
      </c>
    </row>
    <row r="2284" spans="18:19" x14ac:dyDescent="0.25">
      <c r="R2284" s="57">
        <v>40848</v>
      </c>
      <c r="S2284" s="16">
        <v>654</v>
      </c>
    </row>
    <row r="2285" spans="18:19" x14ac:dyDescent="0.25">
      <c r="R2285" s="57">
        <v>40853</v>
      </c>
      <c r="S2285" s="16">
        <v>1096</v>
      </c>
    </row>
    <row r="2286" spans="18:19" x14ac:dyDescent="0.25">
      <c r="R2286" s="57">
        <v>40860</v>
      </c>
      <c r="S2286" s="16">
        <v>981</v>
      </c>
    </row>
    <row r="2287" spans="18:19" x14ac:dyDescent="0.25">
      <c r="R2287" s="57">
        <v>40867</v>
      </c>
      <c r="S2287" s="16">
        <v>670</v>
      </c>
    </row>
    <row r="2288" spans="18:19" x14ac:dyDescent="0.25">
      <c r="R2288" s="57">
        <v>40874</v>
      </c>
      <c r="S2288" s="16">
        <v>662</v>
      </c>
    </row>
    <row r="2289" spans="18:19" x14ac:dyDescent="0.25">
      <c r="R2289" s="57">
        <v>40881</v>
      </c>
      <c r="S2289" s="16">
        <v>566</v>
      </c>
    </row>
    <row r="2290" spans="18:19" x14ac:dyDescent="0.25">
      <c r="R2290" s="57">
        <v>40888</v>
      </c>
      <c r="S2290" s="16">
        <v>733</v>
      </c>
    </row>
    <row r="2291" spans="18:19" x14ac:dyDescent="0.25">
      <c r="R2291" s="57">
        <v>40895</v>
      </c>
      <c r="S2291" s="16">
        <v>618</v>
      </c>
    </row>
    <row r="2292" spans="18:19" x14ac:dyDescent="0.25">
      <c r="R2292" s="57">
        <v>40901</v>
      </c>
      <c r="S2292" s="16">
        <v>1584</v>
      </c>
    </row>
    <row r="2293" spans="18:19" x14ac:dyDescent="0.25">
      <c r="R2293" s="57">
        <v>40902</v>
      </c>
      <c r="S2293" s="16">
        <v>947</v>
      </c>
    </row>
    <row r="2294" spans="18:19" x14ac:dyDescent="0.25">
      <c r="R2294" s="57">
        <v>40909</v>
      </c>
      <c r="S2294" s="16">
        <v>946</v>
      </c>
    </row>
    <row r="2295" spans="18:19" x14ac:dyDescent="0.25">
      <c r="R2295" s="57">
        <v>40916</v>
      </c>
      <c r="S2295" s="16">
        <v>556</v>
      </c>
    </row>
    <row r="2296" spans="18:19" x14ac:dyDescent="0.25">
      <c r="R2296" s="57">
        <v>40923</v>
      </c>
      <c r="S2296" s="16">
        <v>964</v>
      </c>
    </row>
    <row r="2297" spans="18:19" x14ac:dyDescent="0.25">
      <c r="R2297" s="57">
        <v>40930</v>
      </c>
      <c r="S2297" s="16">
        <v>858</v>
      </c>
    </row>
    <row r="2298" spans="18:19" x14ac:dyDescent="0.25">
      <c r="R2298" s="57">
        <v>40937</v>
      </c>
      <c r="S2298" s="16">
        <v>351</v>
      </c>
    </row>
    <row r="2299" spans="18:19" x14ac:dyDescent="0.25">
      <c r="R2299" s="57">
        <v>40944</v>
      </c>
      <c r="S2299" s="16">
        <v>671</v>
      </c>
    </row>
    <row r="2300" spans="18:19" x14ac:dyDescent="0.25">
      <c r="R2300" s="57">
        <v>40951</v>
      </c>
      <c r="S2300" s="16">
        <v>926</v>
      </c>
    </row>
    <row r="2301" spans="18:19" x14ac:dyDescent="0.25">
      <c r="R2301" s="57">
        <v>40958</v>
      </c>
      <c r="S2301" s="16">
        <v>677</v>
      </c>
    </row>
    <row r="2302" spans="18:19" x14ac:dyDescent="0.25">
      <c r="R2302" s="57">
        <v>40965</v>
      </c>
      <c r="S2302" s="16">
        <v>629</v>
      </c>
    </row>
    <row r="2303" spans="18:19" x14ac:dyDescent="0.25">
      <c r="R2303" s="57">
        <v>40972</v>
      </c>
      <c r="S2303" s="16">
        <v>612</v>
      </c>
    </row>
    <row r="2304" spans="18:19" x14ac:dyDescent="0.25">
      <c r="R2304" s="57">
        <v>40979</v>
      </c>
      <c r="S2304" s="16">
        <v>633</v>
      </c>
    </row>
    <row r="2305" spans="18:19" x14ac:dyDescent="0.25">
      <c r="R2305" s="57">
        <v>40986</v>
      </c>
      <c r="S2305" s="16">
        <v>630</v>
      </c>
    </row>
    <row r="2306" spans="18:19" x14ac:dyDescent="0.25">
      <c r="R2306" s="57">
        <v>40993</v>
      </c>
      <c r="S2306" s="16">
        <v>646</v>
      </c>
    </row>
    <row r="2307" spans="18:19" x14ac:dyDescent="0.25">
      <c r="R2307" s="57">
        <v>41000</v>
      </c>
      <c r="S2307" s="16">
        <v>482</v>
      </c>
    </row>
    <row r="2308" spans="18:19" x14ac:dyDescent="0.25">
      <c r="R2308" s="57">
        <v>41007</v>
      </c>
      <c r="S2308" s="16">
        <v>455</v>
      </c>
    </row>
    <row r="2309" spans="18:19" x14ac:dyDescent="0.25">
      <c r="R2309" s="57">
        <v>41014</v>
      </c>
      <c r="S2309" s="16">
        <v>674</v>
      </c>
    </row>
    <row r="2310" spans="18:19" x14ac:dyDescent="0.25">
      <c r="R2310" s="57">
        <v>41021</v>
      </c>
      <c r="S2310" s="16">
        <v>827</v>
      </c>
    </row>
    <row r="2311" spans="18:19" x14ac:dyDescent="0.25">
      <c r="R2311" s="57">
        <v>41028</v>
      </c>
      <c r="S2311" s="16">
        <v>483</v>
      </c>
    </row>
    <row r="2312" spans="18:19" x14ac:dyDescent="0.25">
      <c r="R2312" s="57">
        <v>41035</v>
      </c>
      <c r="S2312" s="16">
        <v>581</v>
      </c>
    </row>
    <row r="2313" spans="18:19" x14ac:dyDescent="0.25">
      <c r="R2313" s="57">
        <v>41042</v>
      </c>
      <c r="S2313" s="16">
        <v>1040</v>
      </c>
    </row>
    <row r="2314" spans="18:19" x14ac:dyDescent="0.25">
      <c r="R2314" s="57">
        <v>41046</v>
      </c>
      <c r="S2314" s="16">
        <v>617</v>
      </c>
    </row>
    <row r="2315" spans="18:19" x14ac:dyDescent="0.25">
      <c r="R2315" s="57">
        <v>41049</v>
      </c>
      <c r="S2315" s="16">
        <v>568</v>
      </c>
    </row>
    <row r="2316" spans="18:19" x14ac:dyDescent="0.25">
      <c r="R2316" s="57">
        <v>41056</v>
      </c>
      <c r="S2316" s="16">
        <v>867</v>
      </c>
    </row>
    <row r="2317" spans="18:19" x14ac:dyDescent="0.25">
      <c r="R2317" s="57">
        <v>41063</v>
      </c>
      <c r="S2317" s="16">
        <v>594</v>
      </c>
    </row>
    <row r="2318" spans="18:19" x14ac:dyDescent="0.25">
      <c r="R2318" s="57">
        <v>41070</v>
      </c>
      <c r="S2318" s="16">
        <v>719</v>
      </c>
    </row>
    <row r="2319" spans="18:19" x14ac:dyDescent="0.25">
      <c r="R2319" s="57">
        <v>41077</v>
      </c>
      <c r="S2319" s="16">
        <v>655</v>
      </c>
    </row>
    <row r="2320" spans="18:19" x14ac:dyDescent="0.25">
      <c r="R2320" s="57">
        <v>41084</v>
      </c>
      <c r="S2320" s="16">
        <v>449</v>
      </c>
    </row>
    <row r="2321" spans="18:19" x14ac:dyDescent="0.25">
      <c r="R2321" s="57">
        <v>41091</v>
      </c>
      <c r="S2321" s="16">
        <v>611</v>
      </c>
    </row>
    <row r="2322" spans="18:19" x14ac:dyDescent="0.25">
      <c r="R2322" s="57">
        <v>41098</v>
      </c>
      <c r="S2322" s="16">
        <v>656</v>
      </c>
    </row>
    <row r="2323" spans="18:19" x14ac:dyDescent="0.25">
      <c r="R2323" s="57">
        <v>41105</v>
      </c>
      <c r="S2323" s="16">
        <v>597</v>
      </c>
    </row>
    <row r="2324" spans="18:19" x14ac:dyDescent="0.25">
      <c r="R2324" s="57">
        <v>41112</v>
      </c>
      <c r="S2324" s="16">
        <v>587</v>
      </c>
    </row>
    <row r="2325" spans="18:19" x14ac:dyDescent="0.25">
      <c r="R2325" s="57">
        <v>41119</v>
      </c>
      <c r="S2325" s="16">
        <v>552</v>
      </c>
    </row>
    <row r="2326" spans="18:19" x14ac:dyDescent="0.25">
      <c r="R2326" s="57">
        <v>41126</v>
      </c>
      <c r="S2326" s="16">
        <v>607</v>
      </c>
    </row>
    <row r="2327" spans="18:19" x14ac:dyDescent="0.25">
      <c r="R2327" s="57">
        <v>41133</v>
      </c>
      <c r="S2327" s="16">
        <v>615</v>
      </c>
    </row>
    <row r="2328" spans="18:19" x14ac:dyDescent="0.25">
      <c r="R2328" s="57">
        <v>41136</v>
      </c>
      <c r="S2328" s="16">
        <v>1149</v>
      </c>
    </row>
    <row r="2329" spans="18:19" x14ac:dyDescent="0.25">
      <c r="R2329" s="57">
        <v>41140</v>
      </c>
      <c r="S2329" s="16">
        <v>633</v>
      </c>
    </row>
    <row r="2330" spans="18:19" x14ac:dyDescent="0.25">
      <c r="R2330" s="57">
        <v>41147</v>
      </c>
      <c r="S2330" s="16">
        <v>634</v>
      </c>
    </row>
    <row r="2331" spans="18:19" x14ac:dyDescent="0.25">
      <c r="R2331" s="57">
        <v>41154</v>
      </c>
      <c r="S2331" s="16">
        <v>661</v>
      </c>
    </row>
    <row r="2332" spans="18:19" x14ac:dyDescent="0.25">
      <c r="R2332" s="57">
        <v>41161</v>
      </c>
      <c r="S2332" s="16">
        <v>464</v>
      </c>
    </row>
    <row r="2333" spans="18:19" x14ac:dyDescent="0.25">
      <c r="R2333" s="57">
        <v>41168</v>
      </c>
      <c r="S2333" s="16">
        <v>594</v>
      </c>
    </row>
    <row r="2334" spans="18:19" x14ac:dyDescent="0.25">
      <c r="R2334" s="57">
        <v>41175</v>
      </c>
      <c r="S2334" s="16">
        <v>624</v>
      </c>
    </row>
    <row r="2335" spans="18:19" x14ac:dyDescent="0.25">
      <c r="R2335" s="57">
        <v>41182</v>
      </c>
      <c r="S2335" s="16">
        <v>603</v>
      </c>
    </row>
    <row r="2336" spans="18:19" x14ac:dyDescent="0.25">
      <c r="R2336" s="57">
        <v>41189</v>
      </c>
      <c r="S2336" s="16">
        <v>763</v>
      </c>
    </row>
    <row r="2337" spans="18:19" x14ac:dyDescent="0.25">
      <c r="R2337" s="57">
        <v>41196</v>
      </c>
      <c r="S2337" s="16">
        <v>648</v>
      </c>
    </row>
    <row r="2338" spans="18:19" x14ac:dyDescent="0.25">
      <c r="R2338" s="57">
        <v>41203</v>
      </c>
      <c r="S2338" s="16">
        <v>686</v>
      </c>
    </row>
    <row r="2339" spans="18:19" x14ac:dyDescent="0.25">
      <c r="R2339" s="57">
        <v>41210</v>
      </c>
      <c r="S2339" s="16">
        <v>625</v>
      </c>
    </row>
    <row r="2340" spans="18:19" x14ac:dyDescent="0.25">
      <c r="R2340" s="57">
        <v>41214</v>
      </c>
      <c r="S2340" s="16">
        <v>767</v>
      </c>
    </row>
    <row r="2341" spans="18:19" x14ac:dyDescent="0.25">
      <c r="R2341" s="57">
        <v>41217</v>
      </c>
      <c r="S2341" s="16">
        <v>984</v>
      </c>
    </row>
    <row r="2342" spans="18:19" x14ac:dyDescent="0.25">
      <c r="R2342" s="57">
        <v>41224</v>
      </c>
      <c r="S2342" s="16">
        <v>557</v>
      </c>
    </row>
    <row r="2343" spans="18:19" x14ac:dyDescent="0.25">
      <c r="R2343" s="57">
        <v>41231</v>
      </c>
      <c r="S2343" s="16">
        <v>529</v>
      </c>
    </row>
    <row r="2344" spans="18:19" x14ac:dyDescent="0.25">
      <c r="R2344" s="57">
        <v>41238</v>
      </c>
      <c r="S2344" s="16">
        <v>625</v>
      </c>
    </row>
    <row r="2345" spans="18:19" x14ac:dyDescent="0.25">
      <c r="R2345" s="57">
        <v>41245</v>
      </c>
      <c r="S2345" s="16">
        <v>746</v>
      </c>
    </row>
    <row r="2346" spans="18:19" x14ac:dyDescent="0.25">
      <c r="R2346" s="57">
        <v>41252</v>
      </c>
      <c r="S2346" s="16">
        <v>522</v>
      </c>
    </row>
    <row r="2347" spans="18:19" x14ac:dyDescent="0.25">
      <c r="R2347" s="57">
        <v>41259</v>
      </c>
      <c r="S2347" s="16">
        <v>652</v>
      </c>
    </row>
    <row r="2348" spans="18:19" x14ac:dyDescent="0.25">
      <c r="R2348" s="57">
        <v>41266</v>
      </c>
      <c r="S2348" s="16">
        <v>547</v>
      </c>
    </row>
    <row r="2349" spans="18:19" x14ac:dyDescent="0.25">
      <c r="R2349" s="57">
        <v>41267</v>
      </c>
      <c r="S2349" s="16">
        <v>1178</v>
      </c>
    </row>
    <row r="2350" spans="18:19" x14ac:dyDescent="0.25">
      <c r="R2350" s="57">
        <v>41268</v>
      </c>
      <c r="S2350" s="16">
        <v>890</v>
      </c>
    </row>
    <row r="2351" spans="18:19" x14ac:dyDescent="0.25">
      <c r="R2351" s="57">
        <v>41273</v>
      </c>
      <c r="S2351" s="16">
        <v>646</v>
      </c>
    </row>
    <row r="2352" spans="18:19" x14ac:dyDescent="0.25">
      <c r="R2352" s="57">
        <v>41280</v>
      </c>
      <c r="S2352" s="16">
        <v>616</v>
      </c>
    </row>
    <row r="2353" spans="18:19" x14ac:dyDescent="0.25">
      <c r="R2353" s="57">
        <v>41287</v>
      </c>
      <c r="S2353" s="16">
        <v>809</v>
      </c>
    </row>
    <row r="2354" spans="18:19" x14ac:dyDescent="0.25">
      <c r="R2354" s="57">
        <v>41294</v>
      </c>
      <c r="S2354" s="16">
        <v>499</v>
      </c>
    </row>
    <row r="2355" spans="18:19" x14ac:dyDescent="0.25">
      <c r="R2355" s="57">
        <v>41301</v>
      </c>
      <c r="S2355" s="16">
        <v>913</v>
      </c>
    </row>
    <row r="2356" spans="18:19" x14ac:dyDescent="0.25">
      <c r="R2356" s="57">
        <v>41308</v>
      </c>
      <c r="S2356" s="16">
        <v>566</v>
      </c>
    </row>
    <row r="2357" spans="18:19" x14ac:dyDescent="0.25">
      <c r="R2357" s="57">
        <v>41315</v>
      </c>
      <c r="S2357" s="16">
        <v>722</v>
      </c>
    </row>
    <row r="2358" spans="18:19" x14ac:dyDescent="0.25">
      <c r="R2358" s="57">
        <v>41322</v>
      </c>
      <c r="S2358" s="16">
        <v>592</v>
      </c>
    </row>
    <row r="2359" spans="18:19" x14ac:dyDescent="0.25">
      <c r="R2359" s="57">
        <v>41329</v>
      </c>
      <c r="S2359" s="16">
        <v>978</v>
      </c>
    </row>
    <row r="2360" spans="18:19" x14ac:dyDescent="0.25">
      <c r="R2360" s="57">
        <v>41336</v>
      </c>
      <c r="S2360" s="16">
        <v>652</v>
      </c>
    </row>
    <row r="2361" spans="18:19" x14ac:dyDescent="0.25">
      <c r="R2361" s="57">
        <v>41343</v>
      </c>
      <c r="S2361" s="16">
        <v>798</v>
      </c>
    </row>
    <row r="2362" spans="18:19" x14ac:dyDescent="0.25">
      <c r="R2362" s="57">
        <v>41350</v>
      </c>
      <c r="S2362" s="16">
        <v>515</v>
      </c>
    </row>
    <row r="2363" spans="18:19" x14ac:dyDescent="0.25">
      <c r="R2363" s="57">
        <v>41357</v>
      </c>
      <c r="S2363" s="16">
        <v>693</v>
      </c>
    </row>
    <row r="2364" spans="18:19" x14ac:dyDescent="0.25">
      <c r="R2364" s="57">
        <v>41364</v>
      </c>
      <c r="S2364" s="16">
        <v>666</v>
      </c>
    </row>
    <row r="2365" spans="18:19" x14ac:dyDescent="0.25">
      <c r="R2365" s="57">
        <v>41371</v>
      </c>
      <c r="S2365" s="16">
        <v>615</v>
      </c>
    </row>
    <row r="2366" spans="18:19" x14ac:dyDescent="0.25">
      <c r="R2366" s="57">
        <v>41378</v>
      </c>
      <c r="S2366" s="16">
        <v>618</v>
      </c>
    </row>
    <row r="2367" spans="18:19" x14ac:dyDescent="0.25">
      <c r="R2367" s="57">
        <v>41385</v>
      </c>
      <c r="S2367" s="16">
        <v>675</v>
      </c>
    </row>
    <row r="2368" spans="18:19" x14ac:dyDescent="0.25">
      <c r="R2368" s="57">
        <v>41392</v>
      </c>
      <c r="S2368" s="16">
        <v>674</v>
      </c>
    </row>
    <row r="2369" spans="18:19" x14ac:dyDescent="0.25">
      <c r="R2369" s="57">
        <v>41399</v>
      </c>
      <c r="S2369" s="16">
        <v>843</v>
      </c>
    </row>
    <row r="2370" spans="18:19" x14ac:dyDescent="0.25">
      <c r="R2370" s="57">
        <v>41403</v>
      </c>
      <c r="S2370" s="16">
        <v>499</v>
      </c>
    </row>
    <row r="2371" spans="18:19" x14ac:dyDescent="0.25">
      <c r="R2371" s="57">
        <v>41406</v>
      </c>
      <c r="S2371" s="16">
        <v>586</v>
      </c>
    </row>
    <row r="2372" spans="18:19" x14ac:dyDescent="0.25">
      <c r="R2372" s="57">
        <v>41413</v>
      </c>
      <c r="S2372" s="16">
        <v>397</v>
      </c>
    </row>
    <row r="2373" spans="18:19" x14ac:dyDescent="0.25">
      <c r="R2373" s="57">
        <v>41420</v>
      </c>
      <c r="S2373" s="16">
        <v>761</v>
      </c>
    </row>
    <row r="2374" spans="18:19" x14ac:dyDescent="0.25">
      <c r="R2374" s="57">
        <v>41427</v>
      </c>
      <c r="S2374" s="16">
        <v>589</v>
      </c>
    </row>
    <row r="2375" spans="18:19" x14ac:dyDescent="0.25">
      <c r="R2375" s="57">
        <v>41434</v>
      </c>
      <c r="S2375" s="16">
        <v>548</v>
      </c>
    </row>
    <row r="2376" spans="18:19" x14ac:dyDescent="0.25">
      <c r="R2376" s="57">
        <v>41441</v>
      </c>
      <c r="S2376" s="16">
        <v>684</v>
      </c>
    </row>
    <row r="2377" spans="18:19" x14ac:dyDescent="0.25">
      <c r="R2377" s="57">
        <v>41448</v>
      </c>
      <c r="S2377" s="16">
        <v>611</v>
      </c>
    </row>
    <row r="2378" spans="18:19" x14ac:dyDescent="0.25">
      <c r="R2378" s="57">
        <v>41455</v>
      </c>
      <c r="S2378" s="16">
        <v>853</v>
      </c>
    </row>
    <row r="2379" spans="18:19" x14ac:dyDescent="0.25">
      <c r="R2379" s="57">
        <v>41462</v>
      </c>
      <c r="S2379" s="16">
        <v>729</v>
      </c>
    </row>
    <row r="2380" spans="18:19" x14ac:dyDescent="0.25">
      <c r="R2380" s="57">
        <v>41469</v>
      </c>
      <c r="S2380" s="16">
        <v>788</v>
      </c>
    </row>
    <row r="2381" spans="18:19" x14ac:dyDescent="0.25">
      <c r="R2381" s="57">
        <v>41476</v>
      </c>
      <c r="S2381" s="16">
        <v>618</v>
      </c>
    </row>
    <row r="2382" spans="18:19" x14ac:dyDescent="0.25">
      <c r="R2382" s="57">
        <v>41483</v>
      </c>
      <c r="S2382" s="16">
        <v>777</v>
      </c>
    </row>
    <row r="2383" spans="18:19" x14ac:dyDescent="0.25">
      <c r="R2383" s="57">
        <v>41490</v>
      </c>
      <c r="S2383" s="16">
        <v>614</v>
      </c>
    </row>
    <row r="2384" spans="18:19" x14ac:dyDescent="0.25">
      <c r="R2384" s="57">
        <v>41497</v>
      </c>
      <c r="S2384" s="16">
        <v>831</v>
      </c>
    </row>
    <row r="2385" spans="18:19" x14ac:dyDescent="0.25">
      <c r="R2385" s="57">
        <v>41501</v>
      </c>
      <c r="S2385" s="16">
        <v>1014</v>
      </c>
    </row>
    <row r="2386" spans="18:19" x14ac:dyDescent="0.25">
      <c r="R2386" s="57">
        <v>41504</v>
      </c>
      <c r="S2386" s="16">
        <v>577</v>
      </c>
    </row>
    <row r="2387" spans="18:19" x14ac:dyDescent="0.25">
      <c r="R2387" s="57">
        <v>41511</v>
      </c>
      <c r="S2387" s="16">
        <v>574</v>
      </c>
    </row>
    <row r="2388" spans="18:19" x14ac:dyDescent="0.25">
      <c r="R2388" s="57">
        <v>41518</v>
      </c>
      <c r="S2388" s="16">
        <v>890</v>
      </c>
    </row>
    <row r="2389" spans="18:19" x14ac:dyDescent="0.25">
      <c r="R2389" s="57">
        <v>41525</v>
      </c>
      <c r="S2389" s="16">
        <v>657</v>
      </c>
    </row>
    <row r="2390" spans="18:19" x14ac:dyDescent="0.25">
      <c r="R2390" s="57">
        <v>41532</v>
      </c>
      <c r="S2390" s="16">
        <v>578</v>
      </c>
    </row>
    <row r="2391" spans="18:19" x14ac:dyDescent="0.25">
      <c r="R2391" s="57">
        <v>41539</v>
      </c>
      <c r="S2391" s="16">
        <v>584</v>
      </c>
    </row>
    <row r="2392" spans="18:19" x14ac:dyDescent="0.25">
      <c r="R2392" s="57">
        <v>41546</v>
      </c>
      <c r="S2392" s="16">
        <v>1082</v>
      </c>
    </row>
    <row r="2393" spans="18:19" x14ac:dyDescent="0.25">
      <c r="R2393" s="57">
        <v>41553</v>
      </c>
      <c r="S2393" s="16">
        <v>584</v>
      </c>
    </row>
    <row r="2394" spans="18:19" x14ac:dyDescent="0.25">
      <c r="R2394" s="57">
        <v>41560</v>
      </c>
      <c r="S2394" s="16">
        <v>883</v>
      </c>
    </row>
    <row r="2395" spans="18:19" x14ac:dyDescent="0.25">
      <c r="R2395" s="57">
        <v>41567</v>
      </c>
      <c r="S2395" s="16">
        <v>726</v>
      </c>
    </row>
    <row r="2396" spans="18:19" x14ac:dyDescent="0.25">
      <c r="R2396" s="57">
        <v>41574</v>
      </c>
      <c r="S2396" s="16">
        <v>662</v>
      </c>
    </row>
    <row r="2397" spans="18:19" x14ac:dyDescent="0.25">
      <c r="R2397" s="57">
        <v>41579</v>
      </c>
      <c r="S2397" s="16">
        <v>1455</v>
      </c>
    </row>
    <row r="2398" spans="18:19" x14ac:dyDescent="0.25">
      <c r="R2398" s="57">
        <v>41581</v>
      </c>
      <c r="S2398" s="16">
        <v>559</v>
      </c>
    </row>
    <row r="2399" spans="18:19" x14ac:dyDescent="0.25">
      <c r="R2399" s="57">
        <v>41588</v>
      </c>
      <c r="S2399" s="16">
        <v>568</v>
      </c>
    </row>
    <row r="2400" spans="18:19" x14ac:dyDescent="0.25">
      <c r="R2400" s="57">
        <v>41595</v>
      </c>
      <c r="S2400" s="16">
        <v>781</v>
      </c>
    </row>
    <row r="2401" spans="18:19" x14ac:dyDescent="0.25">
      <c r="R2401" s="57">
        <v>41602</v>
      </c>
      <c r="S2401" s="16">
        <v>651</v>
      </c>
    </row>
    <row r="2402" spans="18:19" x14ac:dyDescent="0.25">
      <c r="R2402" s="57">
        <v>41609</v>
      </c>
      <c r="S2402" s="16">
        <v>588</v>
      </c>
    </row>
    <row r="2403" spans="18:19" x14ac:dyDescent="0.25">
      <c r="R2403" s="57">
        <v>41616</v>
      </c>
      <c r="S2403" s="16">
        <v>748</v>
      </c>
    </row>
    <row r="2404" spans="18:19" x14ac:dyDescent="0.25">
      <c r="R2404" s="57">
        <v>41623</v>
      </c>
      <c r="S2404" s="16">
        <v>750</v>
      </c>
    </row>
    <row r="2405" spans="18:19" x14ac:dyDescent="0.25">
      <c r="R2405" s="57">
        <v>41630</v>
      </c>
      <c r="S2405" s="16">
        <v>619</v>
      </c>
    </row>
    <row r="2406" spans="18:19" x14ac:dyDescent="0.25">
      <c r="R2406" s="57">
        <v>41632</v>
      </c>
      <c r="S2406" s="16">
        <v>664</v>
      </c>
    </row>
    <row r="2407" spans="18:19" x14ac:dyDescent="0.25">
      <c r="R2407" s="57">
        <v>41633</v>
      </c>
      <c r="S2407" s="16">
        <v>605</v>
      </c>
    </row>
    <row r="2408" spans="18:19" x14ac:dyDescent="0.25">
      <c r="R2408" s="57">
        <v>41637</v>
      </c>
      <c r="S2408" s="16">
        <v>611</v>
      </c>
    </row>
    <row r="2409" spans="18:19" x14ac:dyDescent="0.25">
      <c r="R2409" s="57">
        <v>41644</v>
      </c>
      <c r="S2409" s="16">
        <v>657</v>
      </c>
    </row>
    <row r="2410" spans="18:19" x14ac:dyDescent="0.25">
      <c r="R2410" s="57">
        <v>41651</v>
      </c>
      <c r="S2410" s="16">
        <v>742</v>
      </c>
    </row>
    <row r="2411" spans="18:19" x14ac:dyDescent="0.25">
      <c r="R2411" s="57">
        <v>41658</v>
      </c>
      <c r="S2411" s="16">
        <v>641</v>
      </c>
    </row>
    <row r="2412" spans="18:19" x14ac:dyDescent="0.25">
      <c r="R2412" s="57">
        <v>41665</v>
      </c>
      <c r="S2412" s="16">
        <v>708</v>
      </c>
    </row>
    <row r="2413" spans="18:19" x14ac:dyDescent="0.25">
      <c r="R2413" s="57">
        <v>41672</v>
      </c>
      <c r="S2413" s="16">
        <v>516</v>
      </c>
    </row>
    <row r="2414" spans="18:19" x14ac:dyDescent="0.25">
      <c r="R2414" s="57">
        <v>41679</v>
      </c>
      <c r="S2414" s="16">
        <v>964</v>
      </c>
    </row>
    <row r="2415" spans="18:19" x14ac:dyDescent="0.25">
      <c r="R2415" s="57">
        <v>41686</v>
      </c>
      <c r="S2415" s="16">
        <v>663</v>
      </c>
    </row>
    <row r="2416" spans="18:19" x14ac:dyDescent="0.25">
      <c r="R2416" s="57">
        <v>41693</v>
      </c>
      <c r="S2416" s="16">
        <v>546</v>
      </c>
    </row>
    <row r="2417" spans="18:19" x14ac:dyDescent="0.25">
      <c r="R2417" s="57">
        <v>41700</v>
      </c>
      <c r="S2417" s="16">
        <v>554</v>
      </c>
    </row>
    <row r="2418" spans="18:19" x14ac:dyDescent="0.25">
      <c r="R2418" s="57">
        <v>41707</v>
      </c>
      <c r="S2418" s="16">
        <v>718</v>
      </c>
    </row>
    <row r="2419" spans="18:19" x14ac:dyDescent="0.25">
      <c r="R2419" s="57">
        <v>41714</v>
      </c>
      <c r="S2419" s="16">
        <v>634</v>
      </c>
    </row>
    <row r="2420" spans="18:19" x14ac:dyDescent="0.25">
      <c r="R2420" s="57">
        <v>41718</v>
      </c>
      <c r="S2420" s="16">
        <v>638</v>
      </c>
    </row>
    <row r="2421" spans="18:19" x14ac:dyDescent="0.25">
      <c r="R2421" s="57">
        <v>41721</v>
      </c>
      <c r="S2421" s="16">
        <v>590</v>
      </c>
    </row>
    <row r="2422" spans="18:19" x14ac:dyDescent="0.25">
      <c r="R2422" s="57">
        <v>41735</v>
      </c>
      <c r="S2422" s="16">
        <v>577</v>
      </c>
    </row>
    <row r="2423" spans="18:19" x14ac:dyDescent="0.25">
      <c r="R2423" s="57">
        <v>41742</v>
      </c>
      <c r="S2423" s="16">
        <v>624</v>
      </c>
    </row>
    <row r="2424" spans="18:19" x14ac:dyDescent="0.25">
      <c r="R2424" s="57">
        <v>41749</v>
      </c>
      <c r="S2424" s="16">
        <v>1308</v>
      </c>
    </row>
    <row r="2425" spans="18:19" x14ac:dyDescent="0.25">
      <c r="R2425" s="57">
        <v>41756</v>
      </c>
      <c r="S2425" s="16">
        <v>794</v>
      </c>
    </row>
    <row r="2426" spans="18:19" x14ac:dyDescent="0.25">
      <c r="R2426" s="57">
        <v>41763</v>
      </c>
      <c r="S2426" s="16">
        <v>745</v>
      </c>
    </row>
    <row r="2427" spans="18:19" x14ac:dyDescent="0.25">
      <c r="R2427" s="57">
        <v>41770</v>
      </c>
      <c r="S2427" s="16">
        <v>652</v>
      </c>
    </row>
    <row r="2428" spans="18:19" x14ac:dyDescent="0.25">
      <c r="R2428" s="57">
        <v>41777</v>
      </c>
      <c r="S2428" s="16">
        <v>588</v>
      </c>
    </row>
    <row r="2429" spans="18:19" x14ac:dyDescent="0.25">
      <c r="R2429" s="57">
        <v>41784</v>
      </c>
      <c r="S2429" s="16">
        <v>826</v>
      </c>
    </row>
    <row r="2430" spans="18:19" x14ac:dyDescent="0.25">
      <c r="R2430" s="57">
        <v>41788</v>
      </c>
      <c r="S2430" s="16">
        <v>669</v>
      </c>
    </row>
    <row r="2431" spans="18:19" x14ac:dyDescent="0.25">
      <c r="R2431" s="57">
        <v>41791</v>
      </c>
      <c r="S2431" s="16">
        <v>592</v>
      </c>
    </row>
    <row r="2432" spans="18:19" x14ac:dyDescent="0.25">
      <c r="R2432" s="57">
        <v>41798</v>
      </c>
      <c r="S2432" s="16">
        <v>552</v>
      </c>
    </row>
    <row r="2433" spans="18:19" x14ac:dyDescent="0.25">
      <c r="R2433" s="57">
        <v>41805</v>
      </c>
      <c r="S2433" s="16">
        <v>680</v>
      </c>
    </row>
    <row r="2434" spans="18:19" x14ac:dyDescent="0.25">
      <c r="R2434" s="57">
        <v>41812</v>
      </c>
      <c r="S2434" s="16">
        <v>660</v>
      </c>
    </row>
    <row r="2435" spans="18:19" x14ac:dyDescent="0.25">
      <c r="R2435" s="57">
        <v>41819</v>
      </c>
      <c r="S2435" s="16">
        <v>846</v>
      </c>
    </row>
    <row r="2436" spans="18:19" x14ac:dyDescent="0.25">
      <c r="R2436" s="57">
        <v>41826</v>
      </c>
      <c r="S2436" s="16">
        <v>838</v>
      </c>
    </row>
    <row r="2437" spans="18:19" x14ac:dyDescent="0.25">
      <c r="R2437" s="57">
        <v>41833</v>
      </c>
      <c r="S2437" s="16">
        <v>628</v>
      </c>
    </row>
    <row r="2438" spans="18:19" x14ac:dyDescent="0.25">
      <c r="R2438" s="57">
        <v>41840</v>
      </c>
      <c r="S2438" s="16">
        <v>637</v>
      </c>
    </row>
    <row r="2439" spans="18:19" x14ac:dyDescent="0.25">
      <c r="R2439" s="57">
        <v>41847</v>
      </c>
      <c r="S2439" s="16">
        <v>622</v>
      </c>
    </row>
    <row r="2440" spans="18:19" x14ac:dyDescent="0.25">
      <c r="R2440" s="57">
        <v>41854</v>
      </c>
      <c r="S2440" s="16">
        <v>623</v>
      </c>
    </row>
    <row r="2441" spans="18:19" x14ac:dyDescent="0.25">
      <c r="R2441" s="57">
        <v>41861</v>
      </c>
      <c r="S2441" s="16">
        <v>538</v>
      </c>
    </row>
    <row r="2442" spans="18:19" x14ac:dyDescent="0.25">
      <c r="R2442" s="57">
        <v>41866</v>
      </c>
      <c r="S2442" s="16">
        <v>587</v>
      </c>
    </row>
    <row r="2443" spans="18:19" x14ac:dyDescent="0.25">
      <c r="R2443" s="57">
        <v>41868</v>
      </c>
      <c r="S2443" s="16">
        <v>587</v>
      </c>
    </row>
    <row r="2444" spans="18:19" x14ac:dyDescent="0.25">
      <c r="R2444" s="57">
        <v>41875</v>
      </c>
      <c r="S2444" s="16">
        <v>693</v>
      </c>
    </row>
    <row r="2445" spans="18:19" x14ac:dyDescent="0.25">
      <c r="R2445" s="57">
        <v>41882</v>
      </c>
      <c r="S2445" s="16">
        <v>692</v>
      </c>
    </row>
    <row r="2446" spans="18:19" x14ac:dyDescent="0.25">
      <c r="R2446" s="57">
        <v>41889</v>
      </c>
      <c r="S2446" s="16">
        <v>627</v>
      </c>
    </row>
    <row r="2447" spans="18:19" x14ac:dyDescent="0.25">
      <c r="R2447" s="57">
        <v>41896</v>
      </c>
      <c r="S2447" s="16">
        <v>872</v>
      </c>
    </row>
    <row r="2448" spans="18:19" x14ac:dyDescent="0.25">
      <c r="R2448" s="57">
        <v>41903</v>
      </c>
      <c r="S2448" s="16">
        <v>685</v>
      </c>
    </row>
    <row r="2449" spans="18:19" x14ac:dyDescent="0.25">
      <c r="R2449" s="57">
        <v>41910</v>
      </c>
      <c r="S2449" s="16">
        <v>684</v>
      </c>
    </row>
    <row r="2450" spans="18:19" x14ac:dyDescent="0.25">
      <c r="R2450" s="57">
        <v>41917</v>
      </c>
      <c r="S2450" s="16">
        <v>598</v>
      </c>
    </row>
    <row r="2451" spans="18:19" x14ac:dyDescent="0.25">
      <c r="R2451" s="57">
        <v>41924</v>
      </c>
      <c r="S2451" s="16">
        <v>781</v>
      </c>
    </row>
    <row r="2452" spans="18:19" x14ac:dyDescent="0.25">
      <c r="R2452" s="57">
        <v>41931</v>
      </c>
      <c r="S2452" s="16">
        <v>859</v>
      </c>
    </row>
    <row r="2453" spans="18:19" x14ac:dyDescent="0.25">
      <c r="R2453" s="57">
        <v>41938</v>
      </c>
      <c r="S2453" s="16">
        <v>593</v>
      </c>
    </row>
    <row r="2454" spans="18:19" x14ac:dyDescent="0.25">
      <c r="R2454" s="57">
        <v>41944</v>
      </c>
      <c r="S2454" s="16">
        <v>813</v>
      </c>
    </row>
    <row r="2455" spans="18:19" x14ac:dyDescent="0.25">
      <c r="R2455" s="57">
        <v>41945</v>
      </c>
      <c r="S2455" s="16">
        <v>586</v>
      </c>
    </row>
    <row r="2456" spans="18:19" x14ac:dyDescent="0.25">
      <c r="R2456" s="57">
        <v>41952</v>
      </c>
      <c r="S2456" s="16">
        <v>615</v>
      </c>
    </row>
    <row r="2457" spans="18:19" x14ac:dyDescent="0.25">
      <c r="R2457" s="57">
        <v>41959</v>
      </c>
      <c r="S2457" s="16">
        <v>706</v>
      </c>
    </row>
    <row r="2458" spans="18:19" x14ac:dyDescent="0.25">
      <c r="R2458" s="57">
        <v>41966</v>
      </c>
      <c r="S2458" s="16">
        <v>742</v>
      </c>
    </row>
    <row r="2459" spans="18:19" x14ac:dyDescent="0.25">
      <c r="R2459" s="57">
        <v>41973</v>
      </c>
      <c r="S2459" s="16">
        <v>664</v>
      </c>
    </row>
    <row r="2460" spans="18:19" x14ac:dyDescent="0.25">
      <c r="R2460" s="57">
        <v>41980</v>
      </c>
      <c r="S2460" s="16">
        <v>620</v>
      </c>
    </row>
    <row r="2461" spans="18:19" x14ac:dyDescent="0.25">
      <c r="R2461" s="57">
        <v>41987</v>
      </c>
      <c r="S2461" s="16">
        <v>678</v>
      </c>
    </row>
    <row r="2462" spans="18:19" x14ac:dyDescent="0.25">
      <c r="R2462" s="57">
        <v>41994</v>
      </c>
      <c r="S2462" s="16">
        <v>649</v>
      </c>
    </row>
    <row r="2463" spans="18:19" x14ac:dyDescent="0.25">
      <c r="R2463" s="57">
        <v>41997</v>
      </c>
      <c r="S2463" s="16">
        <v>831</v>
      </c>
    </row>
    <row r="2464" spans="18:19" x14ac:dyDescent="0.25">
      <c r="R2464" s="57">
        <v>41998</v>
      </c>
      <c r="S2464" s="16">
        <v>681</v>
      </c>
    </row>
    <row r="2465" spans="18:19" x14ac:dyDescent="0.25">
      <c r="R2465" s="57">
        <v>42001</v>
      </c>
      <c r="S2465" s="16">
        <v>1094</v>
      </c>
    </row>
    <row r="2466" spans="18:19" x14ac:dyDescent="0.25">
      <c r="R2466" s="57">
        <v>42008</v>
      </c>
      <c r="S2466" s="16">
        <v>613</v>
      </c>
    </row>
    <row r="2467" spans="18:19" x14ac:dyDescent="0.25">
      <c r="R2467" s="57">
        <v>42015</v>
      </c>
      <c r="S2467" s="16">
        <v>602</v>
      </c>
    </row>
    <row r="2468" spans="18:19" x14ac:dyDescent="0.25">
      <c r="R2468" s="57">
        <v>42022</v>
      </c>
      <c r="S2468" s="16">
        <v>634</v>
      </c>
    </row>
    <row r="2469" spans="18:19" x14ac:dyDescent="0.25">
      <c r="R2469" s="57">
        <v>42029</v>
      </c>
      <c r="S2469" s="16">
        <v>378</v>
      </c>
    </row>
    <row r="2470" spans="18:19" x14ac:dyDescent="0.25">
      <c r="R2470" s="57">
        <v>42036</v>
      </c>
      <c r="S2470" s="16">
        <v>567</v>
      </c>
    </row>
    <row r="2471" spans="18:19" x14ac:dyDescent="0.25">
      <c r="R2471" s="57">
        <v>42043</v>
      </c>
      <c r="S2471" s="16">
        <v>642</v>
      </c>
    </row>
    <row r="2472" spans="18:19" x14ac:dyDescent="0.25">
      <c r="R2472" s="57">
        <v>42050</v>
      </c>
      <c r="S2472" s="16">
        <v>870</v>
      </c>
    </row>
    <row r="2473" spans="18:19" x14ac:dyDescent="0.25">
      <c r="R2473" s="57">
        <v>42057</v>
      </c>
      <c r="S2473" s="16">
        <v>690</v>
      </c>
    </row>
    <row r="2474" spans="18:19" x14ac:dyDescent="0.25">
      <c r="R2474" s="57">
        <v>42064</v>
      </c>
      <c r="S2474" s="16">
        <v>586</v>
      </c>
    </row>
    <row r="2475" spans="18:19" x14ac:dyDescent="0.25">
      <c r="R2475" s="57">
        <v>42071</v>
      </c>
      <c r="S2475" s="16">
        <v>549</v>
      </c>
    </row>
    <row r="2476" spans="18:19" x14ac:dyDescent="0.25">
      <c r="R2476" s="57">
        <v>42078</v>
      </c>
      <c r="S2476" s="16">
        <v>659</v>
      </c>
    </row>
    <row r="2477" spans="18:19" x14ac:dyDescent="0.25">
      <c r="R2477" s="57">
        <v>42085</v>
      </c>
      <c r="S2477" s="16">
        <v>636</v>
      </c>
    </row>
    <row r="2478" spans="18:19" x14ac:dyDescent="0.25">
      <c r="R2478" s="57">
        <v>42092</v>
      </c>
      <c r="S2478" s="16">
        <v>570</v>
      </c>
    </row>
    <row r="2479" spans="18:19" x14ac:dyDescent="0.25">
      <c r="R2479" s="57">
        <v>42099</v>
      </c>
      <c r="S2479" s="16">
        <v>929</v>
      </c>
    </row>
    <row r="2480" spans="18:19" x14ac:dyDescent="0.25">
      <c r="R2480" s="57">
        <v>42106</v>
      </c>
      <c r="S2480" s="16">
        <v>646</v>
      </c>
    </row>
    <row r="2481" spans="18:19" x14ac:dyDescent="0.25">
      <c r="R2481" s="57">
        <v>42113</v>
      </c>
      <c r="S2481" s="16">
        <v>895</v>
      </c>
    </row>
    <row r="2482" spans="18:19" x14ac:dyDescent="0.25">
      <c r="R2482" s="57">
        <v>42120</v>
      </c>
      <c r="S2482" s="16">
        <v>598</v>
      </c>
    </row>
    <row r="2483" spans="18:19" x14ac:dyDescent="0.25">
      <c r="R2483" s="57">
        <v>42127</v>
      </c>
      <c r="S2483" s="16">
        <v>746</v>
      </c>
    </row>
    <row r="2484" spans="18:19" x14ac:dyDescent="0.25">
      <c r="R2484" s="57">
        <v>42134</v>
      </c>
      <c r="S2484" s="16">
        <v>593</v>
      </c>
    </row>
    <row r="2485" spans="18:19" x14ac:dyDescent="0.25">
      <c r="R2485" s="57">
        <v>42138</v>
      </c>
      <c r="S2485" s="16">
        <v>645</v>
      </c>
    </row>
    <row r="2486" spans="18:19" x14ac:dyDescent="0.25">
      <c r="R2486" s="57">
        <v>42141</v>
      </c>
      <c r="S2486" s="16">
        <v>609</v>
      </c>
    </row>
    <row r="2487" spans="18:19" x14ac:dyDescent="0.25">
      <c r="R2487" s="57">
        <v>42148</v>
      </c>
      <c r="S2487" s="16">
        <v>672</v>
      </c>
    </row>
    <row r="2488" spans="18:19" x14ac:dyDescent="0.25">
      <c r="R2488" s="57">
        <v>42155</v>
      </c>
      <c r="S2488" s="16">
        <v>611</v>
      </c>
    </row>
    <row r="2489" spans="18:19" x14ac:dyDescent="0.25">
      <c r="R2489" s="57">
        <v>42162</v>
      </c>
      <c r="S2489" s="16">
        <v>652</v>
      </c>
    </row>
    <row r="2490" spans="18:19" x14ac:dyDescent="0.25">
      <c r="R2490" s="57">
        <v>42169</v>
      </c>
      <c r="S2490" s="16">
        <v>624</v>
      </c>
    </row>
    <row r="2491" spans="18:19" x14ac:dyDescent="0.25">
      <c r="R2491" s="57">
        <v>42176</v>
      </c>
      <c r="S2491" s="16">
        <v>856</v>
      </c>
    </row>
    <row r="2492" spans="18:19" x14ac:dyDescent="0.25">
      <c r="R2492" s="57">
        <v>42183</v>
      </c>
      <c r="S2492" s="16">
        <v>627</v>
      </c>
    </row>
    <row r="2493" spans="18:19" x14ac:dyDescent="0.25">
      <c r="R2493" s="57">
        <v>42190</v>
      </c>
      <c r="S2493" s="16">
        <v>808</v>
      </c>
    </row>
    <row r="2494" spans="18:19" x14ac:dyDescent="0.25">
      <c r="R2494" s="57">
        <v>42197</v>
      </c>
      <c r="S2494" s="16">
        <v>629</v>
      </c>
    </row>
    <row r="2495" spans="18:19" x14ac:dyDescent="0.25">
      <c r="R2495" s="57">
        <v>42204</v>
      </c>
      <c r="S2495" s="16">
        <v>677</v>
      </c>
    </row>
    <row r="2496" spans="18:19" x14ac:dyDescent="0.25">
      <c r="R2496" s="57">
        <v>42211</v>
      </c>
      <c r="S2496" s="16">
        <v>603</v>
      </c>
    </row>
    <row r="2497" spans="18:19" x14ac:dyDescent="0.25">
      <c r="R2497" s="57">
        <v>42218</v>
      </c>
      <c r="S2497" s="16">
        <v>631</v>
      </c>
    </row>
    <row r="2498" spans="18:19" x14ac:dyDescent="0.25">
      <c r="R2498" s="57">
        <v>42225</v>
      </c>
      <c r="S2498" s="16">
        <v>352</v>
      </c>
    </row>
    <row r="2499" spans="18:19" x14ac:dyDescent="0.25">
      <c r="R2499" s="57">
        <v>42231</v>
      </c>
      <c r="S2499" s="16">
        <v>1069</v>
      </c>
    </row>
    <row r="2500" spans="18:19" x14ac:dyDescent="0.25">
      <c r="R2500" s="57">
        <v>42232</v>
      </c>
      <c r="S2500" s="16">
        <v>595</v>
      </c>
    </row>
    <row r="2501" spans="18:19" x14ac:dyDescent="0.25">
      <c r="R2501" s="57">
        <v>42239</v>
      </c>
      <c r="S2501" s="16">
        <v>632</v>
      </c>
    </row>
    <row r="2502" spans="18:19" x14ac:dyDescent="0.25">
      <c r="R2502" s="57">
        <v>42246</v>
      </c>
      <c r="S2502" s="16">
        <v>923</v>
      </c>
    </row>
    <row r="2503" spans="18:19" x14ac:dyDescent="0.25">
      <c r="R2503" s="57">
        <v>42253</v>
      </c>
      <c r="S2503" s="16">
        <v>596</v>
      </c>
    </row>
    <row r="2504" spans="18:19" x14ac:dyDescent="0.25">
      <c r="R2504" s="57">
        <v>42260</v>
      </c>
      <c r="S2504" s="16">
        <v>729</v>
      </c>
    </row>
    <row r="2505" spans="18:19" x14ac:dyDescent="0.25">
      <c r="R2505" s="57">
        <v>42267</v>
      </c>
      <c r="S2505" s="16">
        <v>442</v>
      </c>
    </row>
    <row r="2506" spans="18:19" x14ac:dyDescent="0.25">
      <c r="R2506" s="57">
        <v>42274</v>
      </c>
      <c r="S2506" s="16">
        <v>572</v>
      </c>
    </row>
    <row r="2507" spans="18:19" x14ac:dyDescent="0.25">
      <c r="R2507" s="57">
        <v>42281</v>
      </c>
      <c r="S2507" s="16">
        <v>677</v>
      </c>
    </row>
    <row r="2508" spans="18:19" x14ac:dyDescent="0.25">
      <c r="R2508" s="57">
        <v>42288</v>
      </c>
      <c r="S2508" s="16">
        <v>873</v>
      </c>
    </row>
    <row r="2509" spans="18:19" x14ac:dyDescent="0.25">
      <c r="R2509" s="57">
        <v>42295</v>
      </c>
      <c r="S2509" s="16">
        <v>583</v>
      </c>
    </row>
    <row r="2510" spans="18:19" x14ac:dyDescent="0.25">
      <c r="R2510" s="57">
        <v>42302</v>
      </c>
      <c r="S2510" s="16">
        <v>637</v>
      </c>
    </row>
    <row r="2511" spans="18:19" x14ac:dyDescent="0.25">
      <c r="R2511" s="57">
        <v>42309</v>
      </c>
      <c r="S2511" s="16">
        <v>1085</v>
      </c>
    </row>
    <row r="2512" spans="18:19" x14ac:dyDescent="0.25">
      <c r="R2512" s="57">
        <v>42316</v>
      </c>
      <c r="S2512" s="16">
        <v>508</v>
      </c>
    </row>
    <row r="2513" spans="18:19" x14ac:dyDescent="0.25">
      <c r="R2513" s="57">
        <v>42323</v>
      </c>
      <c r="S2513" s="16">
        <v>898</v>
      </c>
    </row>
    <row r="2514" spans="18:19" x14ac:dyDescent="0.25">
      <c r="R2514" s="57">
        <v>42330</v>
      </c>
      <c r="S2514" s="16">
        <v>642</v>
      </c>
    </row>
    <row r="2515" spans="18:19" x14ac:dyDescent="0.25">
      <c r="R2515" s="57">
        <v>42337</v>
      </c>
      <c r="S2515" s="16">
        <v>680</v>
      </c>
    </row>
    <row r="2516" spans="18:19" x14ac:dyDescent="0.25">
      <c r="R2516" s="57">
        <v>42344</v>
      </c>
      <c r="S2516" s="16">
        <v>625</v>
      </c>
    </row>
    <row r="2517" spans="18:19" x14ac:dyDescent="0.25">
      <c r="R2517" s="57">
        <v>42351</v>
      </c>
      <c r="S2517" s="16">
        <v>614</v>
      </c>
    </row>
    <row r="2518" spans="18:19" x14ac:dyDescent="0.25">
      <c r="R2518" s="57">
        <v>42358</v>
      </c>
      <c r="S2518" s="16">
        <v>652</v>
      </c>
    </row>
    <row r="2519" spans="18:19" x14ac:dyDescent="0.25">
      <c r="R2519" s="57">
        <v>42362</v>
      </c>
      <c r="S2519" s="16">
        <v>690</v>
      </c>
    </row>
    <row r="2520" spans="18:19" x14ac:dyDescent="0.25">
      <c r="R2520" s="57">
        <v>42363</v>
      </c>
      <c r="S2520" s="16">
        <v>779</v>
      </c>
    </row>
    <row r="2521" spans="18:19" x14ac:dyDescent="0.25">
      <c r="R2521" s="57">
        <v>42365</v>
      </c>
      <c r="S2521" s="16">
        <v>568</v>
      </c>
    </row>
    <row r="2522" spans="18:19" x14ac:dyDescent="0.25">
      <c r="R2522" s="57">
        <v>42372</v>
      </c>
      <c r="S2522" s="16">
        <v>640</v>
      </c>
    </row>
    <row r="2523" spans="18:19" x14ac:dyDescent="0.25">
      <c r="R2523" s="57">
        <v>42379</v>
      </c>
      <c r="S2523" s="16">
        <v>620</v>
      </c>
    </row>
    <row r="2524" spans="18:19" x14ac:dyDescent="0.25">
      <c r="R2524" s="57">
        <v>42386</v>
      </c>
      <c r="S2524" s="16">
        <v>729</v>
      </c>
    </row>
    <row r="2525" spans="18:19" x14ac:dyDescent="0.25">
      <c r="R2525" s="57">
        <v>42393</v>
      </c>
      <c r="S2525" s="16">
        <v>684</v>
      </c>
    </row>
    <row r="2526" spans="18:19" x14ac:dyDescent="0.25">
      <c r="R2526" s="57">
        <v>42400</v>
      </c>
      <c r="S2526" s="16">
        <v>597</v>
      </c>
    </row>
    <row r="2527" spans="18:19" x14ac:dyDescent="0.25">
      <c r="R2527" s="57">
        <v>42407</v>
      </c>
      <c r="S2527" s="16">
        <v>634</v>
      </c>
    </row>
    <row r="2528" spans="18:19" x14ac:dyDescent="0.25">
      <c r="R2528" s="57">
        <v>42414</v>
      </c>
      <c r="S2528" s="16">
        <v>727</v>
      </c>
    </row>
    <row r="2529" spans="18:19" x14ac:dyDescent="0.25">
      <c r="R2529" s="57">
        <v>42421</v>
      </c>
      <c r="S2529" s="16">
        <v>426</v>
      </c>
    </row>
    <row r="2530" spans="18:19" x14ac:dyDescent="0.25">
      <c r="R2530" s="57">
        <v>42428</v>
      </c>
      <c r="S2530" s="16">
        <v>504</v>
      </c>
    </row>
    <row r="2531" spans="18:19" x14ac:dyDescent="0.25">
      <c r="R2531" s="57">
        <v>42435</v>
      </c>
      <c r="S2531" s="16">
        <v>484</v>
      </c>
    </row>
    <row r="2532" spans="18:19" x14ac:dyDescent="0.25">
      <c r="R2532" s="57">
        <v>42442</v>
      </c>
      <c r="S2532" s="16">
        <v>797</v>
      </c>
    </row>
    <row r="2533" spans="18:19" x14ac:dyDescent="0.25">
      <c r="R2533" s="57">
        <v>42449</v>
      </c>
      <c r="S2533" s="16">
        <v>617</v>
      </c>
    </row>
    <row r="2534" spans="18:19" x14ac:dyDescent="0.25">
      <c r="R2534" s="57">
        <v>42456</v>
      </c>
      <c r="S2534" s="16">
        <v>1041</v>
      </c>
    </row>
    <row r="2535" spans="18:19" x14ac:dyDescent="0.25">
      <c r="R2535" s="57">
        <v>42463</v>
      </c>
      <c r="S2535" s="16">
        <v>634</v>
      </c>
    </row>
    <row r="2536" spans="18:19" x14ac:dyDescent="0.25">
      <c r="R2536" s="57">
        <v>42470</v>
      </c>
      <c r="S2536" s="16">
        <v>605</v>
      </c>
    </row>
    <row r="2537" spans="18:19" x14ac:dyDescent="0.25">
      <c r="R2537" s="57">
        <v>42477</v>
      </c>
      <c r="S2537" s="16">
        <v>639</v>
      </c>
    </row>
    <row r="2538" spans="18:19" x14ac:dyDescent="0.25">
      <c r="R2538" s="57">
        <v>42484</v>
      </c>
      <c r="S2538" s="16">
        <v>596</v>
      </c>
    </row>
    <row r="2539" spans="18:19" x14ac:dyDescent="0.25">
      <c r="R2539" s="57">
        <v>42491</v>
      </c>
      <c r="S2539" s="16">
        <v>587</v>
      </c>
    </row>
    <row r="2540" spans="18:19" x14ac:dyDescent="0.25">
      <c r="R2540" s="57">
        <v>42495</v>
      </c>
      <c r="S2540" s="16">
        <v>725</v>
      </c>
    </row>
    <row r="2541" spans="18:19" x14ac:dyDescent="0.25">
      <c r="R2541" s="57">
        <v>42498</v>
      </c>
      <c r="S2541" s="16">
        <v>611</v>
      </c>
    </row>
    <row r="2542" spans="18:19" x14ac:dyDescent="0.25">
      <c r="R2542" s="57">
        <v>42505</v>
      </c>
      <c r="S2542" s="16">
        <v>865</v>
      </c>
    </row>
    <row r="2543" spans="18:19" x14ac:dyDescent="0.25">
      <c r="R2543" s="57">
        <v>42512</v>
      </c>
      <c r="S2543" s="16">
        <v>651</v>
      </c>
    </row>
    <row r="2544" spans="18:19" x14ac:dyDescent="0.25">
      <c r="R2544" s="57">
        <v>42519</v>
      </c>
      <c r="S2544" s="16">
        <v>974</v>
      </c>
    </row>
    <row r="2545" spans="18:19" x14ac:dyDescent="0.25">
      <c r="R2545" s="57">
        <v>42526</v>
      </c>
      <c r="S2545" s="16">
        <v>637</v>
      </c>
    </row>
    <row r="2546" spans="18:19" x14ac:dyDescent="0.25">
      <c r="R2546" s="57">
        <v>42533</v>
      </c>
      <c r="S2546" s="16">
        <v>616</v>
      </c>
    </row>
    <row r="2547" spans="18:19" x14ac:dyDescent="0.25">
      <c r="R2547" s="57">
        <v>42540</v>
      </c>
      <c r="S2547" s="16">
        <v>662</v>
      </c>
    </row>
    <row r="2548" spans="18:19" x14ac:dyDescent="0.25">
      <c r="R2548" s="57">
        <v>42547</v>
      </c>
      <c r="S2548" s="16">
        <v>713</v>
      </c>
    </row>
    <row r="2549" spans="18:19" x14ac:dyDescent="0.25">
      <c r="R2549" s="57">
        <v>42554</v>
      </c>
      <c r="S2549" s="16">
        <v>545</v>
      </c>
    </row>
    <row r="2550" spans="18:19" x14ac:dyDescent="0.25">
      <c r="R2550" s="57">
        <v>42561</v>
      </c>
      <c r="S2550" s="16">
        <v>619</v>
      </c>
    </row>
    <row r="2551" spans="18:19" x14ac:dyDescent="0.25">
      <c r="R2551" s="57">
        <v>42568</v>
      </c>
      <c r="S2551" s="16">
        <v>625</v>
      </c>
    </row>
    <row r="2552" spans="18:19" x14ac:dyDescent="0.25">
      <c r="R2552" s="57">
        <v>42575</v>
      </c>
      <c r="S2552" s="16">
        <v>668</v>
      </c>
    </row>
    <row r="2553" spans="18:19" x14ac:dyDescent="0.25">
      <c r="R2553" s="57">
        <v>42582</v>
      </c>
      <c r="S2553" s="16">
        <v>1830</v>
      </c>
    </row>
    <row r="2554" spans="18:19" x14ac:dyDescent="0.25">
      <c r="R2554" s="57">
        <v>42589</v>
      </c>
      <c r="S2554" s="16">
        <v>748</v>
      </c>
    </row>
    <row r="2555" spans="18:19" x14ac:dyDescent="0.25">
      <c r="R2555" s="57">
        <v>42596</v>
      </c>
      <c r="S2555" s="16">
        <v>662</v>
      </c>
    </row>
    <row r="2556" spans="18:19" x14ac:dyDescent="0.25">
      <c r="R2556" s="57">
        <v>42597</v>
      </c>
      <c r="S2556" s="16">
        <v>650</v>
      </c>
    </row>
    <row r="2557" spans="18:19" x14ac:dyDescent="0.25">
      <c r="R2557" s="57">
        <v>42603</v>
      </c>
      <c r="S2557" s="16">
        <v>523</v>
      </c>
    </row>
    <row r="2558" spans="18:19" x14ac:dyDescent="0.25">
      <c r="R2558" s="57">
        <v>42610</v>
      </c>
      <c r="S2558" s="16">
        <v>629</v>
      </c>
    </row>
    <row r="2559" spans="18:19" x14ac:dyDescent="0.25">
      <c r="R2559" s="57">
        <v>42617</v>
      </c>
      <c r="S2559" s="16">
        <v>970</v>
      </c>
    </row>
    <row r="2560" spans="18:19" x14ac:dyDescent="0.25">
      <c r="R2560" s="57">
        <v>42624</v>
      </c>
      <c r="S2560" s="16">
        <v>729</v>
      </c>
    </row>
    <row r="2561" spans="18:19" x14ac:dyDescent="0.25">
      <c r="R2561" s="57">
        <v>42631</v>
      </c>
      <c r="S2561" s="16">
        <v>599</v>
      </c>
    </row>
    <row r="2562" spans="18:19" x14ac:dyDescent="0.25">
      <c r="R2562" s="57">
        <v>42638</v>
      </c>
      <c r="S2562" s="16">
        <v>704</v>
      </c>
    </row>
    <row r="2563" spans="18:19" x14ac:dyDescent="0.25">
      <c r="R2563" s="57">
        <v>42645</v>
      </c>
      <c r="S2563" s="16">
        <v>677</v>
      </c>
    </row>
    <row r="2564" spans="18:19" x14ac:dyDescent="0.25">
      <c r="R2564" s="57">
        <v>42652</v>
      </c>
      <c r="S2564" s="16">
        <v>621</v>
      </c>
    </row>
    <row r="2565" spans="18:19" x14ac:dyDescent="0.25">
      <c r="R2565" s="57">
        <v>42659</v>
      </c>
      <c r="S2565" s="16">
        <v>759</v>
      </c>
    </row>
    <row r="2566" spans="18:19" x14ac:dyDescent="0.25">
      <c r="R2566" s="57">
        <v>42666</v>
      </c>
      <c r="S2566" s="16">
        <v>568</v>
      </c>
    </row>
    <row r="2567" spans="18:19" x14ac:dyDescent="0.25">
      <c r="R2567" s="57">
        <v>42673</v>
      </c>
      <c r="S2567" s="16">
        <v>787</v>
      </c>
    </row>
    <row r="2568" spans="18:19" x14ac:dyDescent="0.25">
      <c r="R2568" s="57">
        <v>42675</v>
      </c>
      <c r="S2568" s="16">
        <v>800</v>
      </c>
    </row>
    <row r="2569" spans="18:19" x14ac:dyDescent="0.25">
      <c r="R2569" s="57">
        <v>42680</v>
      </c>
      <c r="S2569" s="16">
        <v>606</v>
      </c>
    </row>
    <row r="2570" spans="18:19" x14ac:dyDescent="0.25">
      <c r="R2570" s="57">
        <v>42687</v>
      </c>
      <c r="S2570" s="16">
        <v>748</v>
      </c>
    </row>
    <row r="2571" spans="18:19" x14ac:dyDescent="0.25">
      <c r="R2571" s="57">
        <v>42694</v>
      </c>
      <c r="S2571" s="16">
        <v>549</v>
      </c>
    </row>
    <row r="2572" spans="18:19" x14ac:dyDescent="0.25">
      <c r="R2572" s="57">
        <v>42701</v>
      </c>
      <c r="S2572" s="16">
        <v>700</v>
      </c>
    </row>
    <row r="2573" spans="18:19" x14ac:dyDescent="0.25">
      <c r="R2573" s="57">
        <v>42708</v>
      </c>
      <c r="S2573" s="16">
        <v>680</v>
      </c>
    </row>
    <row r="2574" spans="18:19" x14ac:dyDescent="0.25">
      <c r="R2574" s="57">
        <v>42715</v>
      </c>
      <c r="S2574" s="16">
        <v>655</v>
      </c>
    </row>
    <row r="2575" spans="18:19" x14ac:dyDescent="0.25">
      <c r="R2575" s="57">
        <v>42722</v>
      </c>
      <c r="S2575" s="16">
        <v>638</v>
      </c>
    </row>
    <row r="2576" spans="18:19" x14ac:dyDescent="0.25">
      <c r="R2576" s="57">
        <v>42728</v>
      </c>
      <c r="S2576" s="16">
        <v>966</v>
      </c>
    </row>
    <row r="2577" spans="18:19" x14ac:dyDescent="0.25">
      <c r="R2577" s="57">
        <v>42729</v>
      </c>
      <c r="S2577" s="16">
        <v>869</v>
      </c>
    </row>
    <row r="2578" spans="18:19" x14ac:dyDescent="0.25">
      <c r="R2578" s="57">
        <v>42736</v>
      </c>
      <c r="S2578" s="16">
        <v>679</v>
      </c>
    </row>
    <row r="2579" spans="18:19" x14ac:dyDescent="0.25">
      <c r="R2579" s="57">
        <v>42743</v>
      </c>
      <c r="S2579" s="16">
        <v>593</v>
      </c>
    </row>
    <row r="2580" spans="18:19" x14ac:dyDescent="0.25">
      <c r="R2580" s="57">
        <v>42750</v>
      </c>
      <c r="S2580" s="16">
        <v>504</v>
      </c>
    </row>
    <row r="2581" spans="18:19" x14ac:dyDescent="0.25">
      <c r="R2581" s="57">
        <v>42757</v>
      </c>
      <c r="S2581" s="16">
        <v>798</v>
      </c>
    </row>
    <row r="2582" spans="18:19" x14ac:dyDescent="0.25">
      <c r="R2582" s="57">
        <v>42764</v>
      </c>
      <c r="S2582" s="16">
        <v>526</v>
      </c>
    </row>
    <row r="2583" spans="18:19" x14ac:dyDescent="0.25">
      <c r="R2583" s="57">
        <v>42771</v>
      </c>
      <c r="S2583" s="16">
        <v>533</v>
      </c>
    </row>
    <row r="2584" spans="18:19" x14ac:dyDescent="0.25">
      <c r="R2584" s="57">
        <v>42778</v>
      </c>
      <c r="S2584" s="16">
        <v>619</v>
      </c>
    </row>
    <row r="2585" spans="18:19" x14ac:dyDescent="0.25">
      <c r="R2585" s="57">
        <v>42785</v>
      </c>
      <c r="S2585" s="16">
        <v>641</v>
      </c>
    </row>
    <row r="2586" spans="18:19" x14ac:dyDescent="0.25">
      <c r="R2586" s="57">
        <v>42792</v>
      </c>
      <c r="S2586" s="16">
        <v>665</v>
      </c>
    </row>
    <row r="2587" spans="18:19" x14ac:dyDescent="0.25">
      <c r="R2587" s="57">
        <v>42799</v>
      </c>
      <c r="S2587" s="16">
        <v>531</v>
      </c>
    </row>
    <row r="2588" spans="18:19" x14ac:dyDescent="0.25">
      <c r="R2588" s="57">
        <v>42806</v>
      </c>
      <c r="S2588" s="16">
        <v>616</v>
      </c>
    </row>
    <row r="2589" spans="18:19" x14ac:dyDescent="0.25">
      <c r="R2589" s="57">
        <v>42813</v>
      </c>
      <c r="S2589" s="16">
        <v>557</v>
      </c>
    </row>
    <row r="2590" spans="18:19" x14ac:dyDescent="0.25">
      <c r="R2590" s="57">
        <v>42820</v>
      </c>
      <c r="S2590" s="16">
        <v>637</v>
      </c>
    </row>
    <row r="2591" spans="18:19" x14ac:dyDescent="0.25">
      <c r="R2591" s="57">
        <v>42827</v>
      </c>
      <c r="S2591" s="16">
        <v>725</v>
      </c>
    </row>
    <row r="2592" spans="18:19" x14ac:dyDescent="0.25">
      <c r="R2592" s="57">
        <v>42834</v>
      </c>
      <c r="S2592" s="16">
        <v>500</v>
      </c>
    </row>
    <row r="2593" spans="18:19" x14ac:dyDescent="0.25">
      <c r="R2593" s="57">
        <v>42841</v>
      </c>
      <c r="S2593" s="16">
        <v>991</v>
      </c>
    </row>
    <row r="2594" spans="18:19" x14ac:dyDescent="0.25">
      <c r="R2594" s="57">
        <v>42848</v>
      </c>
      <c r="S2594" s="16">
        <v>767</v>
      </c>
    </row>
    <row r="2595" spans="18:19" x14ac:dyDescent="0.25">
      <c r="R2595" s="57">
        <v>42855</v>
      </c>
      <c r="S2595" s="16">
        <v>641</v>
      </c>
    </row>
    <row r="2596" spans="18:19" x14ac:dyDescent="0.25">
      <c r="R2596" s="57">
        <v>42862</v>
      </c>
      <c r="S2596" s="16">
        <v>698</v>
      </c>
    </row>
    <row r="2597" spans="18:19" x14ac:dyDescent="0.25">
      <c r="R2597" s="57">
        <v>42869</v>
      </c>
      <c r="S2597" s="16">
        <v>847</v>
      </c>
    </row>
    <row r="2598" spans="18:19" x14ac:dyDescent="0.25">
      <c r="R2598" s="57">
        <v>42876</v>
      </c>
      <c r="S2598" s="16">
        <v>617</v>
      </c>
    </row>
    <row r="2599" spans="18:19" x14ac:dyDescent="0.25">
      <c r="R2599" s="57">
        <v>42880</v>
      </c>
      <c r="S2599" s="16">
        <v>727</v>
      </c>
    </row>
    <row r="2600" spans="18:19" x14ac:dyDescent="0.25">
      <c r="R2600" s="57">
        <v>42883</v>
      </c>
      <c r="S2600" s="16">
        <v>610</v>
      </c>
    </row>
    <row r="2601" spans="18:19" x14ac:dyDescent="0.25">
      <c r="R2601" s="57">
        <v>42890</v>
      </c>
      <c r="S2601" s="16">
        <v>577</v>
      </c>
    </row>
    <row r="2602" spans="18:19" x14ac:dyDescent="0.25">
      <c r="R2602" s="57">
        <v>42897</v>
      </c>
      <c r="S2602" s="16">
        <v>742</v>
      </c>
    </row>
    <row r="2603" spans="18:19" x14ac:dyDescent="0.25">
      <c r="R2603" s="57">
        <v>42904</v>
      </c>
      <c r="S2603" s="16">
        <v>542</v>
      </c>
    </row>
    <row r="2604" spans="18:19" x14ac:dyDescent="0.25">
      <c r="R2604" s="57">
        <v>42911</v>
      </c>
      <c r="S2604" s="16">
        <v>566</v>
      </c>
    </row>
    <row r="2605" spans="18:19" x14ac:dyDescent="0.25">
      <c r="R2605" s="57">
        <v>42918</v>
      </c>
      <c r="S2605" s="16">
        <v>650</v>
      </c>
    </row>
    <row r="2606" spans="18:19" x14ac:dyDescent="0.25">
      <c r="R2606" s="57">
        <v>42925</v>
      </c>
      <c r="S2606" s="16">
        <v>608</v>
      </c>
    </row>
    <row r="2607" spans="18:19" x14ac:dyDescent="0.25">
      <c r="R2607" s="57">
        <v>42932</v>
      </c>
      <c r="S2607" s="16">
        <v>648</v>
      </c>
    </row>
    <row r="2608" spans="18:19" x14ac:dyDescent="0.25">
      <c r="R2608" s="57">
        <v>42939</v>
      </c>
      <c r="S2608" s="16">
        <v>418</v>
      </c>
    </row>
    <row r="2609" spans="18:19" x14ac:dyDescent="0.25">
      <c r="R2609" s="57">
        <v>42946</v>
      </c>
      <c r="S2609" s="16">
        <v>648</v>
      </c>
    </row>
    <row r="2610" spans="18:19" x14ac:dyDescent="0.25">
      <c r="R2610" s="57">
        <v>42953</v>
      </c>
      <c r="S2610" s="16">
        <v>681</v>
      </c>
    </row>
    <row r="2611" spans="18:19" x14ac:dyDescent="0.25">
      <c r="R2611" s="57">
        <v>42960</v>
      </c>
      <c r="S2611" s="16">
        <v>701</v>
      </c>
    </row>
    <row r="2612" spans="18:19" x14ac:dyDescent="0.25">
      <c r="R2612" s="57">
        <v>42962</v>
      </c>
      <c r="S2612" s="16">
        <v>644</v>
      </c>
    </row>
    <row r="2613" spans="18:19" x14ac:dyDescent="0.25">
      <c r="R2613" s="57">
        <v>42967</v>
      </c>
      <c r="S2613" s="16">
        <v>653</v>
      </c>
    </row>
    <row r="2614" spans="18:19" x14ac:dyDescent="0.25">
      <c r="R2614" s="57">
        <v>42974</v>
      </c>
      <c r="S2614" s="16">
        <v>624</v>
      </c>
    </row>
    <row r="2615" spans="18:19" x14ac:dyDescent="0.25">
      <c r="R2615" s="57">
        <v>42981</v>
      </c>
      <c r="S2615" s="16">
        <v>559</v>
      </c>
    </row>
    <row r="2616" spans="18:19" x14ac:dyDescent="0.25">
      <c r="R2616" s="57">
        <v>42988</v>
      </c>
      <c r="S2616" s="16">
        <v>648</v>
      </c>
    </row>
    <row r="2617" spans="18:19" x14ac:dyDescent="0.25">
      <c r="R2617" s="57">
        <v>42995</v>
      </c>
      <c r="S2617" s="16">
        <v>623</v>
      </c>
    </row>
    <row r="2618" spans="18:19" x14ac:dyDescent="0.25">
      <c r="R2618" s="57">
        <v>43002</v>
      </c>
      <c r="S2618" s="16">
        <v>697</v>
      </c>
    </row>
    <row r="2619" spans="18:19" x14ac:dyDescent="0.25">
      <c r="R2619" s="57">
        <v>43009</v>
      </c>
      <c r="S2619" s="16">
        <v>569</v>
      </c>
    </row>
    <row r="2620" spans="18:19" x14ac:dyDescent="0.25">
      <c r="R2620" s="57">
        <v>43016</v>
      </c>
      <c r="S2620" s="16">
        <v>594</v>
      </c>
    </row>
    <row r="2621" spans="18:19" x14ac:dyDescent="0.25">
      <c r="R2621" s="57">
        <v>43023</v>
      </c>
      <c r="S2621" s="16">
        <v>546</v>
      </c>
    </row>
    <row r="2622" spans="18:19" x14ac:dyDescent="0.25">
      <c r="R2622" s="57">
        <v>43030</v>
      </c>
      <c r="S2622" s="16">
        <v>742</v>
      </c>
    </row>
    <row r="2623" spans="18:19" x14ac:dyDescent="0.25">
      <c r="R2623" s="57">
        <v>43037</v>
      </c>
      <c r="S2623" s="16">
        <v>672</v>
      </c>
    </row>
    <row r="2624" spans="18:19" x14ac:dyDescent="0.25">
      <c r="R2624" s="57">
        <v>43040</v>
      </c>
      <c r="S2624" s="16">
        <v>608</v>
      </c>
    </row>
    <row r="2625" spans="18:19" x14ac:dyDescent="0.25">
      <c r="R2625" s="57">
        <v>43044</v>
      </c>
      <c r="S2625" s="16">
        <v>582</v>
      </c>
    </row>
    <row r="2626" spans="18:19" x14ac:dyDescent="0.25">
      <c r="R2626" s="57">
        <v>43051</v>
      </c>
      <c r="S2626" s="16">
        <v>512</v>
      </c>
    </row>
    <row r="2627" spans="18:19" x14ac:dyDescent="0.25">
      <c r="R2627" s="57">
        <v>43058</v>
      </c>
      <c r="S2627" s="16">
        <v>636</v>
      </c>
    </row>
    <row r="2628" spans="18:19" x14ac:dyDescent="0.25">
      <c r="R2628" s="57">
        <v>43065</v>
      </c>
      <c r="S2628" s="16">
        <v>924</v>
      </c>
    </row>
    <row r="2629" spans="18:19" x14ac:dyDescent="0.25">
      <c r="R2629" s="57">
        <v>43072</v>
      </c>
      <c r="S2629" s="16">
        <v>592</v>
      </c>
    </row>
    <row r="2630" spans="18:19" x14ac:dyDescent="0.25">
      <c r="R2630" s="57">
        <v>43079</v>
      </c>
      <c r="S2630" s="16">
        <v>569</v>
      </c>
    </row>
    <row r="2631" spans="18:19" x14ac:dyDescent="0.25">
      <c r="R2631" s="57">
        <v>43086</v>
      </c>
      <c r="S2631" s="16">
        <v>597</v>
      </c>
    </row>
    <row r="2632" spans="18:19" x14ac:dyDescent="0.25">
      <c r="R2632" s="57">
        <v>43093</v>
      </c>
      <c r="S2632" s="16">
        <v>1099</v>
      </c>
    </row>
    <row r="2633" spans="18:19" x14ac:dyDescent="0.25">
      <c r="R2633" s="57">
        <v>43093</v>
      </c>
      <c r="S2633" s="16">
        <v>627</v>
      </c>
    </row>
    <row r="2634" spans="18:19" x14ac:dyDescent="0.25">
      <c r="R2634" s="57">
        <v>43094</v>
      </c>
      <c r="S2634" s="16">
        <v>735</v>
      </c>
    </row>
    <row r="2635" spans="18:19" x14ac:dyDescent="0.25">
      <c r="R2635" s="57">
        <v>43100</v>
      </c>
      <c r="S2635" s="16">
        <v>908</v>
      </c>
    </row>
    <row r="2636" spans="18:19" x14ac:dyDescent="0.25">
      <c r="R2636" s="57">
        <v>43107</v>
      </c>
      <c r="S2636" s="16">
        <v>682</v>
      </c>
    </row>
    <row r="2637" spans="18:19" x14ac:dyDescent="0.25">
      <c r="R2637" s="57">
        <v>43114</v>
      </c>
      <c r="S2637" s="16">
        <v>587</v>
      </c>
    </row>
    <row r="2638" spans="18:19" x14ac:dyDescent="0.25">
      <c r="R2638" s="57">
        <v>43121</v>
      </c>
      <c r="S2638" s="16">
        <v>449</v>
      </c>
    </row>
    <row r="2639" spans="18:19" x14ac:dyDescent="0.25">
      <c r="R2639" s="57">
        <v>43128</v>
      </c>
      <c r="S2639" s="16">
        <v>614</v>
      </c>
    </row>
    <row r="2640" spans="18:19" x14ac:dyDescent="0.25">
      <c r="R2640" s="57">
        <v>43135</v>
      </c>
      <c r="S2640" s="16">
        <v>763</v>
      </c>
    </row>
    <row r="2641" spans="18:19" x14ac:dyDescent="0.25">
      <c r="R2641" s="57">
        <v>43142</v>
      </c>
      <c r="S2641" s="16">
        <v>592</v>
      </c>
    </row>
    <row r="2642" spans="18:19" x14ac:dyDescent="0.25">
      <c r="R2642" s="57">
        <v>43149</v>
      </c>
      <c r="S2642" s="16">
        <v>682</v>
      </c>
    </row>
    <row r="2643" spans="18:19" x14ac:dyDescent="0.25">
      <c r="R2643" s="57">
        <v>43156</v>
      </c>
      <c r="S2643" s="16">
        <v>992</v>
      </c>
    </row>
    <row r="2644" spans="18:19" x14ac:dyDescent="0.25">
      <c r="R2644" s="57">
        <v>43163</v>
      </c>
      <c r="S2644" s="16">
        <v>632</v>
      </c>
    </row>
    <row r="2645" spans="18:19" x14ac:dyDescent="0.25">
      <c r="R2645" s="57">
        <v>43170</v>
      </c>
      <c r="S2645" s="16">
        <v>620</v>
      </c>
    </row>
    <row r="2646" spans="18:19" x14ac:dyDescent="0.25">
      <c r="R2646" s="57">
        <v>43177</v>
      </c>
      <c r="S2646" s="16">
        <v>740</v>
      </c>
    </row>
    <row r="2647" spans="18:19" x14ac:dyDescent="0.25">
      <c r="R2647" s="57">
        <v>43184</v>
      </c>
      <c r="S2647" s="16">
        <v>684</v>
      </c>
    </row>
    <row r="2648" spans="18:19" x14ac:dyDescent="0.25">
      <c r="R2648" s="57">
        <v>43191</v>
      </c>
      <c r="S2648" s="16">
        <v>829</v>
      </c>
    </row>
    <row r="2649" spans="18:19" x14ac:dyDescent="0.25">
      <c r="R2649" s="57">
        <v>43198</v>
      </c>
      <c r="S2649" s="16">
        <v>651</v>
      </c>
    </row>
    <row r="2650" spans="18:19" x14ac:dyDescent="0.25">
      <c r="R2650" s="57">
        <v>43205</v>
      </c>
      <c r="S2650" s="16">
        <v>689</v>
      </c>
    </row>
    <row r="2651" spans="18:19" x14ac:dyDescent="0.25">
      <c r="R2651" s="57">
        <v>43212</v>
      </c>
      <c r="S2651" s="16">
        <v>710</v>
      </c>
    </row>
    <row r="2652" spans="18:19" x14ac:dyDescent="0.25">
      <c r="R2652" s="57">
        <v>43219</v>
      </c>
      <c r="S2652" s="16">
        <v>600</v>
      </c>
    </row>
    <row r="2653" spans="18:19" x14ac:dyDescent="0.25">
      <c r="R2653" s="57">
        <v>43226</v>
      </c>
      <c r="S2653" s="16">
        <v>616</v>
      </c>
    </row>
    <row r="2654" spans="18:19" x14ac:dyDescent="0.25">
      <c r="R2654" s="57">
        <v>43230</v>
      </c>
      <c r="S2654" s="16">
        <v>877</v>
      </c>
    </row>
    <row r="2655" spans="18:19" x14ac:dyDescent="0.25">
      <c r="R2655" s="57">
        <v>43233</v>
      </c>
      <c r="S2655" s="16">
        <v>600</v>
      </c>
    </row>
    <row r="2656" spans="18:19" x14ac:dyDescent="0.25">
      <c r="R2656" s="57">
        <v>43240</v>
      </c>
      <c r="S2656" s="16">
        <v>429</v>
      </c>
    </row>
    <row r="2657" spans="18:19" x14ac:dyDescent="0.25">
      <c r="R2657" s="57">
        <v>43247</v>
      </c>
      <c r="S2657" s="16">
        <v>572</v>
      </c>
    </row>
    <row r="2658" spans="18:19" x14ac:dyDescent="0.25">
      <c r="R2658" s="57">
        <v>43254</v>
      </c>
      <c r="S2658" s="16">
        <v>701</v>
      </c>
    </row>
    <row r="2659" spans="18:19" x14ac:dyDescent="0.25">
      <c r="R2659" s="57">
        <v>43261</v>
      </c>
      <c r="S2659" s="16">
        <v>703</v>
      </c>
    </row>
    <row r="2660" spans="18:19" x14ac:dyDescent="0.25">
      <c r="R2660" s="57">
        <v>43268</v>
      </c>
      <c r="S2660" s="16">
        <v>598</v>
      </c>
    </row>
    <row r="2661" spans="18:19" x14ac:dyDescent="0.25">
      <c r="R2661" s="57">
        <v>43275</v>
      </c>
      <c r="S2661" s="16">
        <v>587</v>
      </c>
    </row>
    <row r="2662" spans="18:19" x14ac:dyDescent="0.25">
      <c r="R2662" s="57">
        <v>43282</v>
      </c>
      <c r="S2662" s="16">
        <v>501</v>
      </c>
    </row>
    <row r="2663" spans="18:19" x14ac:dyDescent="0.25">
      <c r="R2663" s="57">
        <v>43289</v>
      </c>
      <c r="S2663" s="16">
        <v>578</v>
      </c>
    </row>
    <row r="2664" spans="18:19" x14ac:dyDescent="0.25">
      <c r="R2664" s="57">
        <v>43296</v>
      </c>
      <c r="S2664" s="16">
        <v>586</v>
      </c>
    </row>
    <row r="2665" spans="18:19" x14ac:dyDescent="0.25">
      <c r="R2665" s="57">
        <v>43303</v>
      </c>
      <c r="S2665" s="16">
        <v>636</v>
      </c>
    </row>
    <row r="2666" spans="18:19" x14ac:dyDescent="0.25">
      <c r="R2666" s="57">
        <v>43310</v>
      </c>
      <c r="S2666" s="16">
        <v>547</v>
      </c>
    </row>
    <row r="2667" spans="18:19" x14ac:dyDescent="0.25">
      <c r="R2667" s="57">
        <v>43317</v>
      </c>
      <c r="S2667" s="16">
        <v>789</v>
      </c>
    </row>
    <row r="2668" spans="18:19" x14ac:dyDescent="0.25">
      <c r="R2668" s="57">
        <v>43324</v>
      </c>
      <c r="S2668" s="16">
        <v>723</v>
      </c>
    </row>
    <row r="2669" spans="18:19" x14ac:dyDescent="0.25">
      <c r="R2669" s="57">
        <v>43327</v>
      </c>
      <c r="S2669" s="16">
        <v>759</v>
      </c>
    </row>
    <row r="2670" spans="18:19" x14ac:dyDescent="0.25">
      <c r="R2670" s="57">
        <v>43331</v>
      </c>
      <c r="S2670" s="16">
        <v>538</v>
      </c>
    </row>
    <row r="2671" spans="18:19" x14ac:dyDescent="0.25">
      <c r="R2671" s="57">
        <v>43338</v>
      </c>
      <c r="S2671" s="16">
        <v>626</v>
      </c>
    </row>
    <row r="2672" spans="18:19" x14ac:dyDescent="0.25">
      <c r="R2672" s="57">
        <v>43345</v>
      </c>
      <c r="S2672" s="16">
        <v>594</v>
      </c>
    </row>
    <row r="2673" spans="18:19" x14ac:dyDescent="0.25">
      <c r="R2673" s="57">
        <v>43352</v>
      </c>
      <c r="S2673" s="16">
        <v>667</v>
      </c>
    </row>
    <row r="2674" spans="18:19" x14ac:dyDescent="0.25">
      <c r="R2674" s="57">
        <v>43359</v>
      </c>
      <c r="S2674" s="16">
        <v>619</v>
      </c>
    </row>
    <row r="2675" spans="18:19" x14ac:dyDescent="0.25">
      <c r="R2675" s="57">
        <v>43366</v>
      </c>
      <c r="S2675" s="16">
        <v>726</v>
      </c>
    </row>
    <row r="2676" spans="18:19" x14ac:dyDescent="0.25">
      <c r="R2676" s="57">
        <v>43373</v>
      </c>
      <c r="S2676" s="16">
        <v>500</v>
      </c>
    </row>
    <row r="2677" spans="18:19" x14ac:dyDescent="0.25">
      <c r="R2677" s="57">
        <v>43380</v>
      </c>
      <c r="S2677" s="16">
        <v>497</v>
      </c>
    </row>
    <row r="2678" spans="18:19" x14ac:dyDescent="0.25">
      <c r="R2678" s="57">
        <v>43387</v>
      </c>
      <c r="S2678" s="16">
        <v>1316</v>
      </c>
    </row>
    <row r="2679" spans="18:19" x14ac:dyDescent="0.25">
      <c r="R2679" s="57">
        <v>43394</v>
      </c>
      <c r="S2679" s="16">
        <v>687</v>
      </c>
    </row>
    <row r="2680" spans="18:19" x14ac:dyDescent="0.25">
      <c r="R2680" s="57">
        <v>43401</v>
      </c>
      <c r="S2680" s="16">
        <v>738</v>
      </c>
    </row>
    <row r="2681" spans="18:19" x14ac:dyDescent="0.25">
      <c r="R2681" s="57">
        <v>43405</v>
      </c>
      <c r="S2681" s="16">
        <v>624</v>
      </c>
    </row>
    <row r="2682" spans="18:19" x14ac:dyDescent="0.25">
      <c r="R2682" s="57">
        <v>43408</v>
      </c>
      <c r="S2682" s="16">
        <v>611</v>
      </c>
    </row>
    <row r="2683" spans="18:19" x14ac:dyDescent="0.25">
      <c r="R2683" s="57">
        <v>43415</v>
      </c>
      <c r="S2683" s="16">
        <v>819</v>
      </c>
    </row>
    <row r="2684" spans="18:19" x14ac:dyDescent="0.25">
      <c r="R2684" s="57">
        <v>43422</v>
      </c>
      <c r="S2684" s="16">
        <v>700</v>
      </c>
    </row>
    <row r="2685" spans="18:19" x14ac:dyDescent="0.25">
      <c r="R2685" s="57">
        <v>43429</v>
      </c>
      <c r="S2685" s="16">
        <v>488</v>
      </c>
    </row>
    <row r="2686" spans="18:19" x14ac:dyDescent="0.25">
      <c r="R2686" s="57">
        <v>43436</v>
      </c>
      <c r="S2686" s="16">
        <v>596</v>
      </c>
    </row>
    <row r="2687" spans="18:19" x14ac:dyDescent="0.25">
      <c r="R2687" s="57">
        <v>43443</v>
      </c>
      <c r="S2687" s="16">
        <v>672</v>
      </c>
    </row>
    <row r="2688" spans="18:19" x14ac:dyDescent="0.25">
      <c r="R2688" s="57">
        <v>43450</v>
      </c>
      <c r="S2688" s="16">
        <v>765</v>
      </c>
    </row>
    <row r="2689" spans="18:19" x14ac:dyDescent="0.25">
      <c r="R2689" s="57">
        <v>43457</v>
      </c>
      <c r="S2689" s="16">
        <v>676</v>
      </c>
    </row>
    <row r="2690" spans="18:19" x14ac:dyDescent="0.25">
      <c r="R2690" s="57">
        <v>43458</v>
      </c>
      <c r="S2690" s="16">
        <v>970</v>
      </c>
    </row>
    <row r="2691" spans="18:19" x14ac:dyDescent="0.25">
      <c r="R2691" s="57">
        <v>43459</v>
      </c>
      <c r="S2691" s="16">
        <v>623</v>
      </c>
    </row>
    <row r="2692" spans="18:19" x14ac:dyDescent="0.25">
      <c r="R2692" s="57">
        <v>43464</v>
      </c>
      <c r="S2692" s="16">
        <v>484</v>
      </c>
    </row>
    <row r="2693" spans="18:19" x14ac:dyDescent="0.25">
      <c r="R2693" s="57">
        <v>43471</v>
      </c>
      <c r="S2693" s="16">
        <v>720</v>
      </c>
    </row>
    <row r="2694" spans="18:19" x14ac:dyDescent="0.25">
      <c r="R2694" s="57">
        <v>43478</v>
      </c>
      <c r="S2694" s="16">
        <v>707</v>
      </c>
    </row>
    <row r="2695" spans="18:19" x14ac:dyDescent="0.25">
      <c r="R2695" s="57">
        <v>43485</v>
      </c>
      <c r="S2695" s="16">
        <v>1057</v>
      </c>
    </row>
    <row r="2696" spans="18:19" x14ac:dyDescent="0.25">
      <c r="R2696" s="57">
        <v>43492</v>
      </c>
      <c r="S2696" s="16">
        <v>618</v>
      </c>
    </row>
    <row r="2697" spans="18:19" x14ac:dyDescent="0.25">
      <c r="R2697" s="57">
        <v>43499</v>
      </c>
      <c r="S2697" s="16">
        <v>836</v>
      </c>
    </row>
    <row r="2698" spans="18:19" x14ac:dyDescent="0.25">
      <c r="R2698" s="57">
        <v>43506</v>
      </c>
      <c r="S2698" s="16">
        <v>595</v>
      </c>
    </row>
    <row r="2699" spans="18:19" x14ac:dyDescent="0.25">
      <c r="R2699" s="57">
        <v>43513</v>
      </c>
      <c r="S2699" s="16">
        <v>691</v>
      </c>
    </row>
    <row r="2700" spans="18:19" x14ac:dyDescent="0.25">
      <c r="R2700" s="57">
        <v>43520</v>
      </c>
      <c r="S2700" s="16">
        <v>779</v>
      </c>
    </row>
    <row r="2701" spans="18:19" x14ac:dyDescent="0.25">
      <c r="R2701" s="57">
        <v>43527</v>
      </c>
      <c r="S2701" s="16">
        <v>723</v>
      </c>
    </row>
    <row r="2702" spans="18:19" x14ac:dyDescent="0.25">
      <c r="R2702" s="57">
        <v>43534</v>
      </c>
      <c r="S2702" s="16">
        <v>632</v>
      </c>
    </row>
    <row r="2703" spans="18:19" x14ac:dyDescent="0.25">
      <c r="R2703" s="57">
        <v>43541</v>
      </c>
      <c r="S2703" s="16">
        <v>806</v>
      </c>
    </row>
    <row r="2704" spans="18:19" x14ac:dyDescent="0.25">
      <c r="R2704" s="57">
        <v>43548</v>
      </c>
      <c r="S2704" s="16">
        <v>783</v>
      </c>
    </row>
    <row r="2705" spans="18:19" x14ac:dyDescent="0.25">
      <c r="R2705" s="57">
        <v>43555</v>
      </c>
      <c r="S2705" s="16">
        <v>804</v>
      </c>
    </row>
    <row r="2706" spans="18:19" x14ac:dyDescent="0.25">
      <c r="R2706" s="57">
        <v>43562</v>
      </c>
      <c r="S2706" s="16">
        <v>785</v>
      </c>
    </row>
    <row r="2707" spans="18:19" x14ac:dyDescent="0.25">
      <c r="R2707" s="57">
        <v>43569</v>
      </c>
      <c r="S2707" s="16">
        <v>598</v>
      </c>
    </row>
    <row r="2708" spans="18:19" x14ac:dyDescent="0.25">
      <c r="R2708" s="57">
        <v>43576</v>
      </c>
      <c r="S2708" s="16">
        <v>510</v>
      </c>
    </row>
    <row r="2709" spans="18:19" x14ac:dyDescent="0.25">
      <c r="R2709" s="57">
        <v>43583</v>
      </c>
      <c r="S2709" s="16">
        <v>616</v>
      </c>
    </row>
    <row r="2710" spans="18:19" x14ac:dyDescent="0.25">
      <c r="R2710" s="57">
        <v>43590</v>
      </c>
      <c r="S2710" s="16">
        <v>892</v>
      </c>
    </row>
    <row r="2711" spans="18:19" x14ac:dyDescent="0.25">
      <c r="R2711" s="57">
        <v>43597</v>
      </c>
      <c r="S2711" s="16">
        <v>737</v>
      </c>
    </row>
    <row r="2712" spans="18:19" x14ac:dyDescent="0.25">
      <c r="R2712" s="57">
        <v>43604</v>
      </c>
      <c r="S2712" s="16">
        <v>494</v>
      </c>
    </row>
    <row r="2713" spans="18:19" x14ac:dyDescent="0.25">
      <c r="R2713" s="57">
        <v>43611</v>
      </c>
      <c r="S2713" s="16">
        <v>584</v>
      </c>
    </row>
    <row r="2714" spans="18:19" x14ac:dyDescent="0.25">
      <c r="R2714" s="57">
        <v>43615</v>
      </c>
      <c r="S2714" s="16">
        <v>953</v>
      </c>
    </row>
    <row r="2715" spans="18:19" x14ac:dyDescent="0.25">
      <c r="R2715" s="57">
        <v>43618</v>
      </c>
      <c r="S2715" s="16">
        <v>602</v>
      </c>
    </row>
    <row r="2716" spans="18:19" x14ac:dyDescent="0.25">
      <c r="R2716" s="57">
        <v>43625</v>
      </c>
      <c r="S2716" s="16">
        <v>598</v>
      </c>
    </row>
    <row r="2717" spans="18:19" x14ac:dyDescent="0.25">
      <c r="R2717" s="57">
        <v>43632</v>
      </c>
      <c r="S2717" s="16">
        <v>585</v>
      </c>
    </row>
    <row r="2718" spans="18:19" x14ac:dyDescent="0.25">
      <c r="R2718" s="57">
        <v>43639</v>
      </c>
      <c r="S2718" s="16">
        <v>787</v>
      </c>
    </row>
    <row r="2719" spans="18:19" x14ac:dyDescent="0.25">
      <c r="R2719" s="57">
        <v>43646</v>
      </c>
      <c r="S2719" s="16">
        <v>794</v>
      </c>
    </row>
    <row r="2720" spans="18:19" x14ac:dyDescent="0.25">
      <c r="R2720" s="57">
        <v>43653</v>
      </c>
      <c r="S2720" s="16">
        <v>762</v>
      </c>
    </row>
    <row r="2721" spans="18:19" x14ac:dyDescent="0.25">
      <c r="R2721" s="57">
        <v>43660</v>
      </c>
      <c r="S2721" s="16">
        <v>811</v>
      </c>
    </row>
    <row r="2722" spans="18:19" x14ac:dyDescent="0.25">
      <c r="R2722" s="57">
        <v>43667</v>
      </c>
      <c r="S2722" s="16">
        <v>631</v>
      </c>
    </row>
    <row r="2723" spans="18:19" x14ac:dyDescent="0.25">
      <c r="R2723" s="57">
        <v>43674</v>
      </c>
      <c r="S2723" s="16">
        <v>789</v>
      </c>
    </row>
    <row r="2724" spans="18:19" x14ac:dyDescent="0.25">
      <c r="R2724" s="57">
        <v>43681</v>
      </c>
      <c r="S2724" s="16">
        <v>681</v>
      </c>
    </row>
    <row r="2725" spans="18:19" x14ac:dyDescent="0.25">
      <c r="R2725" s="57">
        <v>43688</v>
      </c>
      <c r="S2725" s="16">
        <v>609</v>
      </c>
    </row>
    <row r="2726" spans="18:19" x14ac:dyDescent="0.25">
      <c r="R2726" s="57">
        <v>43692</v>
      </c>
      <c r="S2726" s="16">
        <v>945</v>
      </c>
    </row>
    <row r="2727" spans="18:19" x14ac:dyDescent="0.25">
      <c r="R2727" s="57">
        <v>43695</v>
      </c>
      <c r="S2727" s="16">
        <v>749</v>
      </c>
    </row>
    <row r="2728" spans="18:19" x14ac:dyDescent="0.25">
      <c r="R2728" s="57">
        <v>43702</v>
      </c>
      <c r="S2728" s="16">
        <v>692</v>
      </c>
    </row>
    <row r="2729" spans="18:19" x14ac:dyDescent="0.25">
      <c r="R2729" s="57">
        <v>43709</v>
      </c>
      <c r="S2729" s="16">
        <v>636</v>
      </c>
    </row>
    <row r="2730" spans="18:19" x14ac:dyDescent="0.25">
      <c r="R2730" s="57">
        <v>43716</v>
      </c>
      <c r="S2730" s="16">
        <v>626</v>
      </c>
    </row>
    <row r="2731" spans="18:19" x14ac:dyDescent="0.25">
      <c r="R2731" s="57">
        <v>43723</v>
      </c>
      <c r="S2731" s="16">
        <v>670</v>
      </c>
    </row>
    <row r="2732" spans="18:19" x14ac:dyDescent="0.25">
      <c r="R2732" s="57">
        <v>43730</v>
      </c>
      <c r="S2732" s="16">
        <v>651</v>
      </c>
    </row>
    <row r="2733" spans="18:19" x14ac:dyDescent="0.25">
      <c r="R2733" s="57">
        <v>43737</v>
      </c>
      <c r="S2733" s="16">
        <v>798</v>
      </c>
    </row>
    <row r="2734" spans="18:19" x14ac:dyDescent="0.25">
      <c r="R2734" s="57">
        <v>43744</v>
      </c>
      <c r="S2734" s="16">
        <v>591</v>
      </c>
    </row>
    <row r="2735" spans="18:19" x14ac:dyDescent="0.25">
      <c r="R2735" s="57">
        <v>43751</v>
      </c>
      <c r="S2735" s="16">
        <v>718</v>
      </c>
    </row>
    <row r="2736" spans="18:19" x14ac:dyDescent="0.25">
      <c r="R2736" s="57">
        <v>43758</v>
      </c>
      <c r="S2736" s="16">
        <v>890</v>
      </c>
    </row>
    <row r="2737" spans="18:19" x14ac:dyDescent="0.25">
      <c r="R2737" s="57">
        <v>43765</v>
      </c>
      <c r="S2737" s="16">
        <v>621</v>
      </c>
    </row>
    <row r="2738" spans="18:19" x14ac:dyDescent="0.25">
      <c r="R2738" s="57">
        <v>43770</v>
      </c>
      <c r="S2738" s="16">
        <v>478</v>
      </c>
    </row>
    <row r="2739" spans="18:19" x14ac:dyDescent="0.25">
      <c r="R2739" s="57">
        <v>43772</v>
      </c>
      <c r="S2739" s="16">
        <v>678</v>
      </c>
    </row>
    <row r="2740" spans="18:19" x14ac:dyDescent="0.25">
      <c r="R2740" s="57">
        <v>43779</v>
      </c>
      <c r="S2740" s="16">
        <v>935</v>
      </c>
    </row>
    <row r="2741" spans="18:19" x14ac:dyDescent="0.25">
      <c r="R2741" s="57">
        <v>43786</v>
      </c>
      <c r="S2741" s="16">
        <v>739</v>
      </c>
    </row>
    <row r="2742" spans="18:19" x14ac:dyDescent="0.25">
      <c r="R2742" s="57">
        <v>43793</v>
      </c>
      <c r="S2742" s="16">
        <v>815</v>
      </c>
    </row>
    <row r="2743" spans="18:19" x14ac:dyDescent="0.25">
      <c r="R2743" s="57">
        <v>43800</v>
      </c>
      <c r="S2743" s="16">
        <v>650</v>
      </c>
    </row>
    <row r="2744" spans="18:19" x14ac:dyDescent="0.25">
      <c r="R2744" s="57">
        <v>43807</v>
      </c>
      <c r="S2744" s="16">
        <v>744</v>
      </c>
    </row>
    <row r="2745" spans="18:19" x14ac:dyDescent="0.25">
      <c r="R2745" s="57">
        <v>43814</v>
      </c>
      <c r="S2745" s="16">
        <v>719</v>
      </c>
    </row>
    <row r="2746" spans="18:19" x14ac:dyDescent="0.25">
      <c r="R2746" s="57">
        <v>43821</v>
      </c>
      <c r="S2746" s="16">
        <v>685</v>
      </c>
    </row>
    <row r="2747" spans="18:19" x14ac:dyDescent="0.25">
      <c r="R2747" s="57">
        <v>43824</v>
      </c>
      <c r="S2747" s="16">
        <v>886</v>
      </c>
    </row>
    <row r="2748" spans="18:19" x14ac:dyDescent="0.25">
      <c r="R2748" s="57">
        <v>43828</v>
      </c>
      <c r="S2748" s="16">
        <v>824</v>
      </c>
    </row>
    <row r="2749" spans="18:19" x14ac:dyDescent="0.25">
      <c r="R2749" s="57">
        <v>43836</v>
      </c>
      <c r="S2749" s="16">
        <v>645</v>
      </c>
    </row>
    <row r="2750" spans="18:19" x14ac:dyDescent="0.25">
      <c r="R2750" s="57">
        <v>43842</v>
      </c>
      <c r="S2750" s="16">
        <v>906</v>
      </c>
    </row>
    <row r="2751" spans="18:19" x14ac:dyDescent="0.25">
      <c r="R2751" s="57">
        <v>43842</v>
      </c>
      <c r="S2751" s="16">
        <v>1110</v>
      </c>
    </row>
    <row r="2752" spans="18:19" x14ac:dyDescent="0.25">
      <c r="R2752" s="57">
        <v>43856</v>
      </c>
      <c r="S2752" s="16">
        <v>629</v>
      </c>
    </row>
    <row r="2753" spans="18:19" x14ac:dyDescent="0.25">
      <c r="R2753" s="57">
        <v>43863</v>
      </c>
      <c r="S2753" s="16">
        <v>605</v>
      </c>
    </row>
    <row r="2754" spans="18:19" x14ac:dyDescent="0.25">
      <c r="R2754" s="57">
        <v>43870</v>
      </c>
      <c r="S2754" s="16">
        <v>572</v>
      </c>
    </row>
    <row r="2755" spans="18:19" x14ac:dyDescent="0.25">
      <c r="R2755" s="57">
        <v>43877</v>
      </c>
      <c r="S2755" s="16">
        <v>755</v>
      </c>
    </row>
    <row r="2756" spans="18:19" x14ac:dyDescent="0.25">
      <c r="R2756" s="57">
        <v>43884</v>
      </c>
      <c r="S2756" s="16">
        <v>635</v>
      </c>
    </row>
    <row r="2757" spans="18:19" x14ac:dyDescent="0.25">
      <c r="R2757" s="57">
        <v>43891</v>
      </c>
      <c r="S2757" s="16">
        <v>734</v>
      </c>
    </row>
    <row r="2758" spans="18:19" x14ac:dyDescent="0.25">
      <c r="R2758" s="57">
        <v>43898</v>
      </c>
      <c r="S2758" s="16">
        <v>990</v>
      </c>
    </row>
    <row r="2759" spans="18:19" x14ac:dyDescent="0.25">
      <c r="R2759" s="57">
        <v>43905</v>
      </c>
      <c r="S2759" s="16">
        <v>964</v>
      </c>
    </row>
    <row r="2760" spans="18:19" x14ac:dyDescent="0.25">
      <c r="R2760" s="57">
        <v>43912</v>
      </c>
      <c r="S2760" s="16">
        <v>671</v>
      </c>
    </row>
    <row r="2761" spans="18:19" x14ac:dyDescent="0.25">
      <c r="R2761" s="57">
        <v>43919</v>
      </c>
      <c r="S2761" s="16">
        <v>782</v>
      </c>
    </row>
    <row r="2762" spans="18:19" x14ac:dyDescent="0.25">
      <c r="R2762" s="57">
        <v>43926</v>
      </c>
      <c r="S2762" s="16">
        <v>540</v>
      </c>
    </row>
    <row r="2763" spans="18:19" x14ac:dyDescent="0.25">
      <c r="R2763" s="57">
        <v>43933</v>
      </c>
      <c r="S2763" s="16">
        <v>846</v>
      </c>
    </row>
    <row r="2764" spans="18:19" x14ac:dyDescent="0.25">
      <c r="R2764" s="57">
        <v>43940</v>
      </c>
      <c r="S2764" s="16">
        <v>898</v>
      </c>
    </row>
    <row r="2765" spans="18:19" x14ac:dyDescent="0.25">
      <c r="R2765" s="57">
        <v>43947</v>
      </c>
      <c r="S2765" s="16">
        <v>794</v>
      </c>
    </row>
    <row r="2766" spans="18:19" x14ac:dyDescent="0.25">
      <c r="R2766" s="57">
        <v>43954</v>
      </c>
      <c r="S2766" s="16">
        <v>695</v>
      </c>
    </row>
    <row r="2767" spans="18:19" x14ac:dyDescent="0.25">
      <c r="R2767" s="57">
        <v>43961</v>
      </c>
      <c r="S2767" s="16">
        <v>705</v>
      </c>
    </row>
    <row r="2768" spans="18:19" x14ac:dyDescent="0.25">
      <c r="R2768" s="57">
        <v>43968</v>
      </c>
      <c r="S2768" s="16">
        <v>750</v>
      </c>
    </row>
    <row r="2769" spans="18:19" x14ac:dyDescent="0.25">
      <c r="R2769" s="57">
        <v>43972</v>
      </c>
      <c r="S2769" s="16">
        <v>1140</v>
      </c>
    </row>
    <row r="2770" spans="18:19" x14ac:dyDescent="0.25">
      <c r="R2770" s="57">
        <v>43975</v>
      </c>
      <c r="S2770" s="16">
        <v>831</v>
      </c>
    </row>
    <row r="2771" spans="18:19" x14ac:dyDescent="0.25">
      <c r="R2771" s="57">
        <v>43982</v>
      </c>
      <c r="S2771" s="16">
        <v>826</v>
      </c>
    </row>
    <row r="2772" spans="18:19" x14ac:dyDescent="0.25">
      <c r="R2772" s="57">
        <v>43989</v>
      </c>
      <c r="S2772" s="16">
        <v>498</v>
      </c>
    </row>
    <row r="2773" spans="18:19" x14ac:dyDescent="0.25">
      <c r="R2773" s="57">
        <v>43996</v>
      </c>
      <c r="S2773" s="16">
        <v>799</v>
      </c>
    </row>
    <row r="2774" spans="18:19" x14ac:dyDescent="0.25">
      <c r="R2774" s="57">
        <v>44003</v>
      </c>
      <c r="S2774" s="16">
        <v>632</v>
      </c>
    </row>
    <row r="2775" spans="18:19" x14ac:dyDescent="0.25">
      <c r="R2775" s="57">
        <v>44010</v>
      </c>
      <c r="S2775" s="16">
        <v>750</v>
      </c>
    </row>
    <row r="2776" spans="18:19" x14ac:dyDescent="0.25">
      <c r="R2776" s="57">
        <v>44017</v>
      </c>
      <c r="S2776" s="16">
        <v>833</v>
      </c>
    </row>
    <row r="2777" spans="18:19" x14ac:dyDescent="0.25">
      <c r="R2777" s="57">
        <v>44024</v>
      </c>
      <c r="S2777" s="16">
        <v>824</v>
      </c>
    </row>
    <row r="2778" spans="18:19" x14ac:dyDescent="0.25">
      <c r="R2778" s="57">
        <v>44031</v>
      </c>
      <c r="S2778" s="16">
        <v>706</v>
      </c>
    </row>
    <row r="2779" spans="18:19" x14ac:dyDescent="0.25">
      <c r="R2779" s="57">
        <v>44038</v>
      </c>
      <c r="S2779" s="16">
        <v>790</v>
      </c>
    </row>
    <row r="2780" spans="18:19" x14ac:dyDescent="0.25">
      <c r="R2780" s="57">
        <v>44045</v>
      </c>
      <c r="S2780" s="16">
        <v>724</v>
      </c>
    </row>
    <row r="2781" spans="18:19" x14ac:dyDescent="0.25">
      <c r="R2781" s="57">
        <v>44052</v>
      </c>
      <c r="S2781" s="16">
        <v>680</v>
      </c>
    </row>
    <row r="2782" spans="18:19" x14ac:dyDescent="0.25">
      <c r="R2782" s="57">
        <v>44058</v>
      </c>
      <c r="S2782" s="16">
        <v>571</v>
      </c>
    </row>
    <row r="2783" spans="18:19" x14ac:dyDescent="0.25">
      <c r="R2783" s="57">
        <v>44059</v>
      </c>
      <c r="S2783" s="16">
        <v>794</v>
      </c>
    </row>
    <row r="2784" spans="18:19" x14ac:dyDescent="0.25">
      <c r="R2784" s="57">
        <v>44066</v>
      </c>
      <c r="S2784" s="16">
        <v>1065</v>
      </c>
    </row>
    <row r="2785" spans="18:19" x14ac:dyDescent="0.25">
      <c r="R2785" s="57">
        <v>44073</v>
      </c>
      <c r="S2785" s="16">
        <v>688</v>
      </c>
    </row>
    <row r="2786" spans="18:19" x14ac:dyDescent="0.25">
      <c r="R2786" s="57">
        <v>44080</v>
      </c>
      <c r="S2786" s="16">
        <v>532</v>
      </c>
    </row>
    <row r="2787" spans="18:19" x14ac:dyDescent="0.25">
      <c r="R2787" s="57">
        <v>44087</v>
      </c>
      <c r="S2787" s="16">
        <v>691</v>
      </c>
    </row>
    <row r="2788" spans="18:19" x14ac:dyDescent="0.25">
      <c r="R2788" s="57">
        <v>44094</v>
      </c>
      <c r="S2788" s="16">
        <v>700</v>
      </c>
    </row>
    <row r="2789" spans="18:19" x14ac:dyDescent="0.25">
      <c r="R2789" s="57">
        <v>44101</v>
      </c>
      <c r="S2789" s="16">
        <v>791</v>
      </c>
    </row>
    <row r="2790" spans="18:19" x14ac:dyDescent="0.25">
      <c r="R2790" s="57">
        <v>44108</v>
      </c>
      <c r="S2790" s="16">
        <v>807</v>
      </c>
    </row>
    <row r="2791" spans="18:19" x14ac:dyDescent="0.25">
      <c r="R2791" s="57">
        <v>44115</v>
      </c>
      <c r="S2791" s="16">
        <v>707</v>
      </c>
    </row>
    <row r="2792" spans="18:19" x14ac:dyDescent="0.25">
      <c r="R2792" s="57">
        <v>44122</v>
      </c>
      <c r="S2792" s="16">
        <v>835</v>
      </c>
    </row>
    <row r="2793" spans="18:19" x14ac:dyDescent="0.25">
      <c r="R2793" s="57">
        <v>44129</v>
      </c>
      <c r="S2793" s="16">
        <v>620</v>
      </c>
    </row>
    <row r="2794" spans="18:19" x14ac:dyDescent="0.25">
      <c r="R2794" s="57">
        <v>44136</v>
      </c>
      <c r="S2794" s="16">
        <v>744</v>
      </c>
    </row>
    <row r="2795" spans="18:19" x14ac:dyDescent="0.25">
      <c r="R2795" s="57">
        <v>44143</v>
      </c>
      <c r="S2795" s="16">
        <v>916</v>
      </c>
    </row>
    <row r="2796" spans="18:19" x14ac:dyDescent="0.25">
      <c r="R2796" s="57">
        <v>44150</v>
      </c>
      <c r="S2796" s="16">
        <v>830</v>
      </c>
    </row>
    <row r="2797" spans="18:19" x14ac:dyDescent="0.25">
      <c r="R2797" s="57">
        <v>44157</v>
      </c>
      <c r="S2797" s="16">
        <v>533</v>
      </c>
    </row>
    <row r="2798" spans="18:19" x14ac:dyDescent="0.25">
      <c r="R2798" s="57">
        <v>44164</v>
      </c>
      <c r="S2798" s="16">
        <v>864</v>
      </c>
    </row>
    <row r="2799" spans="18:19" x14ac:dyDescent="0.25">
      <c r="R2799" s="57">
        <v>44171</v>
      </c>
      <c r="S2799" s="16">
        <v>859</v>
      </c>
    </row>
    <row r="2800" spans="18:19" x14ac:dyDescent="0.25">
      <c r="R2800" s="57">
        <v>44178</v>
      </c>
      <c r="S2800" s="16">
        <v>719</v>
      </c>
    </row>
    <row r="2801" spans="18:19" x14ac:dyDescent="0.25">
      <c r="R2801" s="57">
        <v>44185</v>
      </c>
      <c r="S2801" s="16">
        <v>436</v>
      </c>
    </row>
    <row r="2802" spans="18:19" x14ac:dyDescent="0.25">
      <c r="R2802" s="57">
        <v>44189</v>
      </c>
      <c r="S2802" s="16">
        <v>1226</v>
      </c>
    </row>
    <row r="2803" spans="18:19" x14ac:dyDescent="0.25">
      <c r="R2803" s="57">
        <v>44190</v>
      </c>
      <c r="S2803" s="16">
        <v>854</v>
      </c>
    </row>
    <row r="2804" spans="18:19" x14ac:dyDescent="0.25">
      <c r="R2804" s="57">
        <v>44192</v>
      </c>
      <c r="S2804" s="16">
        <v>621</v>
      </c>
    </row>
    <row r="2805" spans="18:19" x14ac:dyDescent="0.25">
      <c r="R2805" s="57">
        <v>44199</v>
      </c>
      <c r="S2805" s="16">
        <v>719</v>
      </c>
    </row>
    <row r="2806" spans="18:19" x14ac:dyDescent="0.25">
      <c r="R2806" s="57">
        <v>44206</v>
      </c>
      <c r="S2806" s="16">
        <v>911</v>
      </c>
    </row>
    <row r="2807" spans="18:19" x14ac:dyDescent="0.25">
      <c r="R2807" s="57">
        <v>44213</v>
      </c>
      <c r="S2807" s="16">
        <v>727</v>
      </c>
    </row>
    <row r="2808" spans="18:19" x14ac:dyDescent="0.25">
      <c r="R2808" s="57">
        <v>44220</v>
      </c>
      <c r="S2808" s="16">
        <v>796</v>
      </c>
    </row>
    <row r="2809" spans="18:19" x14ac:dyDescent="0.25">
      <c r="R2809" s="57">
        <v>44227</v>
      </c>
      <c r="S2809" s="16">
        <v>593</v>
      </c>
    </row>
    <row r="2810" spans="18:19" x14ac:dyDescent="0.25">
      <c r="R2810" s="57">
        <v>44234</v>
      </c>
      <c r="S2810" s="16">
        <v>1026</v>
      </c>
    </row>
    <row r="2811" spans="18:19" x14ac:dyDescent="0.25">
      <c r="R2811" s="57">
        <v>44241</v>
      </c>
      <c r="S2811" s="16">
        <v>705</v>
      </c>
    </row>
    <row r="2812" spans="18:19" x14ac:dyDescent="0.25">
      <c r="R2812" s="57">
        <v>44248</v>
      </c>
      <c r="S2812" s="16">
        <v>748</v>
      </c>
    </row>
    <row r="2813" spans="18:19" x14ac:dyDescent="0.25">
      <c r="R2813" s="57">
        <v>44255</v>
      </c>
      <c r="S2813" s="16">
        <v>1212</v>
      </c>
    </row>
    <row r="2814" spans="18:19" x14ac:dyDescent="0.25">
      <c r="R2814" s="57">
        <v>44262</v>
      </c>
      <c r="S2814" s="16">
        <v>738</v>
      </c>
    </row>
    <row r="2815" spans="18:19" x14ac:dyDescent="0.25">
      <c r="R2815" s="57">
        <v>44269</v>
      </c>
      <c r="S2815" s="16">
        <v>849</v>
      </c>
    </row>
    <row r="2816" spans="18:19" x14ac:dyDescent="0.25">
      <c r="R2816" s="57">
        <v>44276</v>
      </c>
      <c r="S2816" s="16">
        <v>840</v>
      </c>
    </row>
    <row r="2817" spans="18:19" x14ac:dyDescent="0.25">
      <c r="R2817" s="57">
        <v>44283</v>
      </c>
      <c r="S2817" s="16">
        <v>682</v>
      </c>
    </row>
    <row r="2818" spans="18:19" x14ac:dyDescent="0.25">
      <c r="R2818" s="57">
        <v>44290</v>
      </c>
      <c r="S2818" s="16">
        <v>665</v>
      </c>
    </row>
    <row r="2819" spans="18:19" x14ac:dyDescent="0.25">
      <c r="R2819" s="57">
        <v>44297</v>
      </c>
      <c r="S2819" s="16">
        <v>724</v>
      </c>
    </row>
    <row r="2820" spans="18:19" x14ac:dyDescent="0.25">
      <c r="R2820" s="57">
        <v>44304</v>
      </c>
      <c r="S2820" s="16">
        <v>796</v>
      </c>
    </row>
    <row r="2821" spans="18:19" x14ac:dyDescent="0.25">
      <c r="R2821" s="57">
        <v>44311</v>
      </c>
      <c r="S2821" s="16">
        <v>701</v>
      </c>
    </row>
    <row r="2822" spans="18:19" x14ac:dyDescent="0.25">
      <c r="R2822" s="57">
        <v>44318</v>
      </c>
      <c r="S2822" s="16">
        <v>774</v>
      </c>
    </row>
    <row r="2823" spans="18:19" x14ac:dyDescent="0.25">
      <c r="R2823" s="57">
        <v>44325</v>
      </c>
      <c r="S2823" s="16">
        <v>771</v>
      </c>
    </row>
    <row r="2824" spans="18:19" x14ac:dyDescent="0.25">
      <c r="R2824" s="57">
        <v>44329</v>
      </c>
      <c r="S2824" s="16">
        <v>369</v>
      </c>
    </row>
    <row r="2825" spans="18:19" x14ac:dyDescent="0.25">
      <c r="R2825" s="57">
        <v>44332</v>
      </c>
      <c r="S2825" s="16">
        <v>777</v>
      </c>
    </row>
    <row r="2826" spans="18:19" x14ac:dyDescent="0.25">
      <c r="R2826" s="57">
        <v>44339</v>
      </c>
      <c r="S2826" s="16">
        <v>808</v>
      </c>
    </row>
    <row r="2827" spans="18:19" x14ac:dyDescent="0.25">
      <c r="R2827" s="57">
        <v>44346</v>
      </c>
      <c r="S2827" s="16">
        <v>831</v>
      </c>
    </row>
    <row r="2828" spans="18:19" x14ac:dyDescent="0.25">
      <c r="R2828" s="57">
        <v>44353</v>
      </c>
      <c r="S2828" s="16">
        <v>738</v>
      </c>
    </row>
    <row r="2829" spans="18:19" x14ac:dyDescent="0.25">
      <c r="R2829" s="57">
        <v>44360</v>
      </c>
      <c r="S2829" s="16">
        <v>791</v>
      </c>
    </row>
    <row r="2830" spans="18:19" x14ac:dyDescent="0.25">
      <c r="R2830" s="57">
        <v>44367</v>
      </c>
      <c r="S2830" s="16">
        <v>558</v>
      </c>
    </row>
    <row r="2831" spans="18:19" x14ac:dyDescent="0.25">
      <c r="R2831" s="57">
        <v>44374</v>
      </c>
      <c r="S2831" s="16">
        <v>623</v>
      </c>
    </row>
    <row r="2832" spans="18:19" x14ac:dyDescent="0.25">
      <c r="R2832" s="57">
        <v>44381</v>
      </c>
      <c r="S2832" s="16">
        <v>738</v>
      </c>
    </row>
    <row r="2833" spans="18:19" x14ac:dyDescent="0.25">
      <c r="R2833" s="57">
        <v>44388</v>
      </c>
      <c r="S2833" s="16">
        <v>758</v>
      </c>
    </row>
    <row r="2834" spans="18:19" x14ac:dyDescent="0.25">
      <c r="R2834" s="57">
        <v>44395</v>
      </c>
      <c r="S2834" s="16">
        <v>684</v>
      </c>
    </row>
    <row r="2835" spans="18:19" x14ac:dyDescent="0.25">
      <c r="R2835" s="57">
        <v>44402</v>
      </c>
      <c r="S2835" s="16">
        <v>673</v>
      </c>
    </row>
    <row r="2836" spans="18:19" x14ac:dyDescent="0.25">
      <c r="R2836" s="57">
        <v>44409</v>
      </c>
      <c r="S2836" s="16">
        <v>836</v>
      </c>
    </row>
    <row r="2837" spans="18:19" x14ac:dyDescent="0.25">
      <c r="R2837" s="57">
        <v>44416</v>
      </c>
      <c r="S2837" s="16">
        <v>817</v>
      </c>
    </row>
    <row r="2838" spans="18:19" x14ac:dyDescent="0.25">
      <c r="R2838" s="57">
        <v>44423</v>
      </c>
      <c r="S2838" s="16">
        <v>665</v>
      </c>
    </row>
    <row r="2839" spans="18:19" x14ac:dyDescent="0.25">
      <c r="R2839" s="57">
        <v>44430</v>
      </c>
      <c r="S2839" s="16">
        <v>1067</v>
      </c>
    </row>
    <row r="2840" spans="18:19" x14ac:dyDescent="0.25">
      <c r="R2840" s="57">
        <v>44437</v>
      </c>
      <c r="S2840" s="16">
        <v>682</v>
      </c>
    </row>
    <row r="2841" spans="18:19" x14ac:dyDescent="0.25">
      <c r="R2841" s="57">
        <v>44444</v>
      </c>
      <c r="S2841" s="16">
        <v>643</v>
      </c>
    </row>
    <row r="2842" spans="18:19" x14ac:dyDescent="0.25">
      <c r="R2842" s="57">
        <v>44451</v>
      </c>
      <c r="S2842" s="16">
        <v>820</v>
      </c>
    </row>
    <row r="2843" spans="18:19" x14ac:dyDescent="0.25">
      <c r="R2843" s="57">
        <v>44458</v>
      </c>
      <c r="S2843" s="16">
        <v>719</v>
      </c>
    </row>
    <row r="2844" spans="18:19" x14ac:dyDescent="0.25">
      <c r="R2844" s="57">
        <v>44465</v>
      </c>
      <c r="S2844" s="16">
        <v>733</v>
      </c>
    </row>
    <row r="2845" spans="18:19" x14ac:dyDescent="0.25">
      <c r="R2845" s="57">
        <v>44472</v>
      </c>
      <c r="S2845" s="16">
        <v>755</v>
      </c>
    </row>
    <row r="2846" spans="18:19" x14ac:dyDescent="0.25">
      <c r="R2846" s="57">
        <v>44479</v>
      </c>
      <c r="S2846" s="16">
        <v>805</v>
      </c>
    </row>
    <row r="2847" spans="18:19" x14ac:dyDescent="0.25">
      <c r="R2847" s="57">
        <v>44486</v>
      </c>
      <c r="S2847" s="16">
        <v>696</v>
      </c>
    </row>
    <row r="2848" spans="18:19" x14ac:dyDescent="0.25">
      <c r="R2848" s="57">
        <v>44493</v>
      </c>
      <c r="S2848" s="16">
        <v>738</v>
      </c>
    </row>
    <row r="2849" spans="18:19" x14ac:dyDescent="0.25">
      <c r="R2849" s="57">
        <v>44500</v>
      </c>
      <c r="S2849" s="16">
        <v>715</v>
      </c>
    </row>
    <row r="2850" spans="18:19" x14ac:dyDescent="0.25">
      <c r="R2850" s="57">
        <v>44501</v>
      </c>
      <c r="S2850" s="16">
        <v>779</v>
      </c>
    </row>
    <row r="2851" spans="18:19" x14ac:dyDescent="0.25">
      <c r="R2851" s="57">
        <v>44507</v>
      </c>
      <c r="S2851" s="16">
        <v>692</v>
      </c>
    </row>
    <row r="2852" spans="18:19" x14ac:dyDescent="0.25">
      <c r="R2852" s="57">
        <v>44514</v>
      </c>
      <c r="S2852" s="16">
        <v>711</v>
      </c>
    </row>
    <row r="2853" spans="18:19" x14ac:dyDescent="0.25">
      <c r="R2853" s="57">
        <v>44521</v>
      </c>
      <c r="S2853" s="16">
        <v>814</v>
      </c>
    </row>
    <row r="2854" spans="18:19" x14ac:dyDescent="0.25">
      <c r="R2854" s="57">
        <v>44528</v>
      </c>
      <c r="S2854" s="16">
        <v>644</v>
      </c>
    </row>
    <row r="2855" spans="18:19" x14ac:dyDescent="0.25">
      <c r="R2855" s="57">
        <v>44535</v>
      </c>
      <c r="S2855" s="16">
        <v>679</v>
      </c>
    </row>
    <row r="2856" spans="18:19" x14ac:dyDescent="0.25">
      <c r="R2856" s="57">
        <v>44542</v>
      </c>
      <c r="S2856" s="16">
        <v>722</v>
      </c>
    </row>
    <row r="2857" spans="18:19" x14ac:dyDescent="0.25">
      <c r="R2857" s="57">
        <v>44549</v>
      </c>
      <c r="S2857" s="16">
        <v>659</v>
      </c>
    </row>
    <row r="2858" spans="18:19" x14ac:dyDescent="0.25">
      <c r="R2858" s="57">
        <v>44555</v>
      </c>
      <c r="S2858" s="16">
        <v>716</v>
      </c>
    </row>
    <row r="2859" spans="18:19" x14ac:dyDescent="0.25">
      <c r="R2859" s="57">
        <v>44556</v>
      </c>
      <c r="S2859" s="16">
        <v>892</v>
      </c>
    </row>
    <row r="2860" spans="18:19" x14ac:dyDescent="0.25">
      <c r="R2860" s="57">
        <v>44563</v>
      </c>
      <c r="S2860" s="16">
        <v>646</v>
      </c>
    </row>
    <row r="2861" spans="18:19" x14ac:dyDescent="0.25">
      <c r="R2861" s="57">
        <v>44570</v>
      </c>
      <c r="S2861" s="16">
        <v>708</v>
      </c>
    </row>
    <row r="2862" spans="18:19" x14ac:dyDescent="0.25">
      <c r="R2862" s="57">
        <v>44577</v>
      </c>
      <c r="S2862" s="16">
        <v>717</v>
      </c>
    </row>
    <row r="2863" spans="18:19" x14ac:dyDescent="0.25">
      <c r="R2863" s="57">
        <v>44584</v>
      </c>
      <c r="S2863" s="16">
        <v>869</v>
      </c>
    </row>
    <row r="2864" spans="18:19" x14ac:dyDescent="0.25">
      <c r="R2864" s="57">
        <v>44591</v>
      </c>
      <c r="S2864" s="16">
        <v>759</v>
      </c>
    </row>
    <row r="2865" spans="18:19" x14ac:dyDescent="0.25">
      <c r="R2865" s="57">
        <v>44598</v>
      </c>
      <c r="S2865" s="16">
        <v>775</v>
      </c>
    </row>
    <row r="2866" spans="18:19" x14ac:dyDescent="0.25">
      <c r="R2866" s="57">
        <v>44605</v>
      </c>
      <c r="S2866" s="16">
        <v>713</v>
      </c>
    </row>
    <row r="2867" spans="18:19" x14ac:dyDescent="0.25">
      <c r="R2867" s="57">
        <v>44612</v>
      </c>
      <c r="S2867" s="16">
        <v>719</v>
      </c>
    </row>
    <row r="2868" spans="18:19" x14ac:dyDescent="0.25">
      <c r="R2868" s="57">
        <v>44619</v>
      </c>
      <c r="S2868" s="16">
        <v>715</v>
      </c>
    </row>
    <row r="2869" spans="18:19" x14ac:dyDescent="0.25">
      <c r="R2869" s="57">
        <v>44626</v>
      </c>
      <c r="S2869" s="16">
        <v>716</v>
      </c>
    </row>
    <row r="2870" spans="18:19" x14ac:dyDescent="0.25">
      <c r="R2870" s="57">
        <v>44633</v>
      </c>
      <c r="S2870" s="16">
        <v>853</v>
      </c>
    </row>
    <row r="2871" spans="18:19" x14ac:dyDescent="0.25">
      <c r="R2871" s="57">
        <v>44640</v>
      </c>
      <c r="S2871" s="16">
        <v>794</v>
      </c>
    </row>
    <row r="2872" spans="18:19" x14ac:dyDescent="0.25">
      <c r="R2872" s="57">
        <v>44647</v>
      </c>
      <c r="S2872" s="16">
        <v>679</v>
      </c>
    </row>
    <row r="2873" spans="18:19" x14ac:dyDescent="0.25">
      <c r="R2873" s="57">
        <v>44654</v>
      </c>
      <c r="S2873" s="16">
        <v>678</v>
      </c>
    </row>
    <row r="2874" spans="18:19" x14ac:dyDescent="0.25">
      <c r="R2874" s="57">
        <v>44661</v>
      </c>
      <c r="S2874" s="16">
        <v>681</v>
      </c>
    </row>
    <row r="2875" spans="18:19" x14ac:dyDescent="0.25">
      <c r="R2875" s="57">
        <v>44668</v>
      </c>
      <c r="S2875" s="16">
        <v>977</v>
      </c>
    </row>
    <row r="2876" spans="18:19" x14ac:dyDescent="0.25">
      <c r="R2876" s="57">
        <v>44675</v>
      </c>
      <c r="S2876" s="16">
        <v>823</v>
      </c>
    </row>
    <row r="2877" spans="18:19" x14ac:dyDescent="0.25">
      <c r="R2877" s="57">
        <v>44682</v>
      </c>
      <c r="S2877" s="16">
        <v>905</v>
      </c>
    </row>
    <row r="2878" spans="18:19" x14ac:dyDescent="0.25">
      <c r="R2878" s="57">
        <v>44689</v>
      </c>
      <c r="S2878" s="16">
        <v>664</v>
      </c>
    </row>
    <row r="2879" spans="18:19" x14ac:dyDescent="0.25">
      <c r="R2879" s="57">
        <v>44696</v>
      </c>
      <c r="S2879" s="16">
        <v>1104</v>
      </c>
    </row>
    <row r="2880" spans="18:19" x14ac:dyDescent="0.25">
      <c r="R2880" s="57">
        <v>44703</v>
      </c>
      <c r="S2880" s="16">
        <v>662</v>
      </c>
    </row>
    <row r="2881" spans="18:19" x14ac:dyDescent="0.25">
      <c r="R2881" s="57">
        <v>44707</v>
      </c>
      <c r="S2881" s="16">
        <v>761</v>
      </c>
    </row>
    <row r="2882" spans="18:19" x14ac:dyDescent="0.25">
      <c r="R2882" s="57">
        <v>44710</v>
      </c>
      <c r="S2882" s="16">
        <v>781</v>
      </c>
    </row>
    <row r="2883" spans="18:19" x14ac:dyDescent="0.25">
      <c r="R2883" s="57">
        <v>44717</v>
      </c>
      <c r="S2883" s="16">
        <v>815</v>
      </c>
    </row>
    <row r="2884" spans="18:19" x14ac:dyDescent="0.25">
      <c r="R2884" s="57">
        <v>44724</v>
      </c>
      <c r="S2884" s="16">
        <v>709</v>
      </c>
    </row>
    <row r="2885" spans="18:19" x14ac:dyDescent="0.25">
      <c r="R2885" s="57">
        <v>44731</v>
      </c>
      <c r="S2885" s="16">
        <v>780</v>
      </c>
    </row>
    <row r="2886" spans="18:19" x14ac:dyDescent="0.25">
      <c r="R2886" s="57">
        <v>44738</v>
      </c>
      <c r="S2886" s="16">
        <v>943</v>
      </c>
    </row>
    <row r="2887" spans="18:19" x14ac:dyDescent="0.25">
      <c r="R2887" s="57">
        <v>44745</v>
      </c>
      <c r="S2887" s="16">
        <v>757</v>
      </c>
    </row>
    <row r="2888" spans="18:19" x14ac:dyDescent="0.25">
      <c r="R2888" s="57">
        <v>44752</v>
      </c>
      <c r="S2888" s="16">
        <v>685</v>
      </c>
    </row>
    <row r="2889" spans="18:19" x14ac:dyDescent="0.25">
      <c r="R2889" s="57">
        <v>44759</v>
      </c>
      <c r="S2889" s="16">
        <v>538</v>
      </c>
    </row>
    <row r="2890" spans="18:19" x14ac:dyDescent="0.25">
      <c r="R2890" s="57">
        <v>44766</v>
      </c>
      <c r="S2890" s="16">
        <v>684</v>
      </c>
    </row>
    <row r="2891" spans="18:19" x14ac:dyDescent="0.25">
      <c r="R2891" s="57">
        <v>44773</v>
      </c>
      <c r="S2891" s="16">
        <v>639</v>
      </c>
    </row>
    <row r="2892" spans="18:19" x14ac:dyDescent="0.25">
      <c r="R2892" s="57">
        <v>44780</v>
      </c>
      <c r="S2892" s="16">
        <v>766</v>
      </c>
    </row>
    <row r="2893" spans="18:19" x14ac:dyDescent="0.25">
      <c r="R2893" s="57">
        <v>44787</v>
      </c>
      <c r="S2893" s="16">
        <v>735</v>
      </c>
    </row>
    <row r="2894" spans="18:19" x14ac:dyDescent="0.25">
      <c r="R2894" s="57">
        <v>44788</v>
      </c>
      <c r="S2894" s="16">
        <v>797</v>
      </c>
    </row>
    <row r="2895" spans="18:19" x14ac:dyDescent="0.25">
      <c r="R2895" s="57">
        <v>44794</v>
      </c>
      <c r="S2895" s="16">
        <v>744</v>
      </c>
    </row>
    <row r="2896" spans="18:19" x14ac:dyDescent="0.25">
      <c r="R2896" s="57">
        <v>44801</v>
      </c>
      <c r="S2896" s="16">
        <v>908</v>
      </c>
    </row>
    <row r="2897" spans="18:19" x14ac:dyDescent="0.25">
      <c r="R2897" s="57">
        <v>44808</v>
      </c>
      <c r="S2897" s="16">
        <v>657</v>
      </c>
    </row>
    <row r="2898" spans="18:19" x14ac:dyDescent="0.25">
      <c r="R2898" s="57">
        <v>44815</v>
      </c>
      <c r="S2898" s="16">
        <v>809</v>
      </c>
    </row>
    <row r="2899" spans="18:19" x14ac:dyDescent="0.25">
      <c r="R2899" s="57">
        <v>44822</v>
      </c>
      <c r="S2899" s="16">
        <v>736</v>
      </c>
    </row>
    <row r="2900" spans="18:19" x14ac:dyDescent="0.25">
      <c r="R2900" s="57">
        <v>44829</v>
      </c>
      <c r="S2900" s="16">
        <v>565</v>
      </c>
    </row>
    <row r="2901" spans="18:19" x14ac:dyDescent="0.25">
      <c r="R2901" s="57">
        <v>44836</v>
      </c>
      <c r="S2901" s="16">
        <v>696</v>
      </c>
    </row>
    <row r="2902" spans="18:19" x14ac:dyDescent="0.25">
      <c r="R2902" s="57">
        <v>44843</v>
      </c>
      <c r="S2902" s="16">
        <v>771</v>
      </c>
    </row>
    <row r="2903" spans="18:19" x14ac:dyDescent="0.25">
      <c r="R2903" s="57">
        <v>44850</v>
      </c>
      <c r="S2903" s="16">
        <v>710</v>
      </c>
    </row>
    <row r="2904" spans="18:19" x14ac:dyDescent="0.25">
      <c r="R2904" s="57">
        <v>44857</v>
      </c>
      <c r="S2904" s="16">
        <v>670</v>
      </c>
    </row>
    <row r="2905" spans="18:19" x14ac:dyDescent="0.25">
      <c r="R2905" s="57">
        <v>44864</v>
      </c>
      <c r="S2905" s="16">
        <v>384</v>
      </c>
    </row>
    <row r="2906" spans="18:19" x14ac:dyDescent="0.25">
      <c r="R2906" s="57">
        <v>44866</v>
      </c>
      <c r="S2906" s="16">
        <v>568</v>
      </c>
    </row>
    <row r="2907" spans="18:19" x14ac:dyDescent="0.25">
      <c r="R2907" s="57">
        <v>44871</v>
      </c>
      <c r="S2907" s="16">
        <v>1053</v>
      </c>
    </row>
    <row r="2908" spans="18:19" x14ac:dyDescent="0.25">
      <c r="R2908" s="57">
        <v>44878</v>
      </c>
      <c r="S2908" s="16">
        <v>796</v>
      </c>
    </row>
    <row r="2909" spans="18:19" x14ac:dyDescent="0.25">
      <c r="R2909" s="57">
        <v>44885</v>
      </c>
      <c r="S2909" s="16">
        <v>778</v>
      </c>
    </row>
  </sheetData>
  <sortState xmlns:xlrd2="http://schemas.microsoft.com/office/spreadsheetml/2017/richdata2" ref="B124:C177">
    <sortCondition descending="1" ref="C124:C177"/>
  </sortState>
  <pageMargins left="0.7" right="0.7" top="0.75" bottom="0.75" header="0.3" footer="0.3"/>
  <pageSetup paperSize="9" orientation="portrait" horizontalDpi="4294967292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20B9A-4ECD-4223-B033-97D3448D2297}">
  <dimension ref="A1:Z2868"/>
  <sheetViews>
    <sheetView zoomScale="130" zoomScaleNormal="130" workbookViewId="0">
      <selection activeCell="A6" sqref="A6"/>
    </sheetView>
  </sheetViews>
  <sheetFormatPr baseColWidth="10" defaultColWidth="11.5703125" defaultRowHeight="15" x14ac:dyDescent="0.25"/>
  <cols>
    <col min="1" max="1" width="21" style="16" customWidth="1"/>
    <col min="2" max="2" width="10.85546875" style="16" customWidth="1"/>
    <col min="3" max="8" width="7.42578125" style="16" customWidth="1"/>
    <col min="9" max="10" width="13.5703125" style="16" customWidth="1"/>
    <col min="11" max="11" width="15.28515625" style="16" customWidth="1"/>
    <col min="12" max="18" width="8.5703125" style="16" customWidth="1"/>
    <col min="19" max="19" width="11.5703125" style="16"/>
    <col min="20" max="20" width="12" style="57" bestFit="1" customWidth="1"/>
    <col min="21" max="21" width="11.5703125" style="41"/>
    <col min="22" max="16384" width="11.5703125" style="16"/>
  </cols>
  <sheetData>
    <row r="1" spans="1:26" ht="18.75" x14ac:dyDescent="0.3">
      <c r="B1" s="81" t="str">
        <f>Sommaire!B36</f>
        <v>Onglet "Cooccurrences"</v>
      </c>
    </row>
    <row r="2" spans="1:26" ht="18.75" x14ac:dyDescent="0.3">
      <c r="B2" s="81" t="str">
        <f>Sommaire!B37</f>
        <v>Mots à proximité des noms divins</v>
      </c>
    </row>
    <row r="4" spans="1:26" ht="18.75" x14ac:dyDescent="0.3">
      <c r="A4" s="45"/>
      <c r="B4" s="6" t="str">
        <f>Sommaire!C28</f>
        <v>Figure 5 : Combien de fois chaque nom divin est-il nommé ?</v>
      </c>
      <c r="C4" s="45"/>
      <c r="D4" s="45"/>
      <c r="E4" s="45"/>
      <c r="F4" s="45"/>
      <c r="G4" s="45"/>
      <c r="H4" s="6"/>
      <c r="I4" s="45"/>
      <c r="J4" s="45"/>
      <c r="S4" s="45"/>
      <c r="T4" s="60" t="str">
        <f>Sommaire!C29</f>
        <v>Figure 4 : Combien de fois Dieu est-il nommé dans une homélie</v>
      </c>
      <c r="U4" s="64"/>
      <c r="V4" s="45"/>
      <c r="W4" s="45"/>
      <c r="X4" s="6"/>
      <c r="Y4" s="45"/>
      <c r="Z4" s="45"/>
    </row>
    <row r="5" spans="1:26" x14ac:dyDescent="0.25">
      <c r="T5" s="57" t="s">
        <v>404</v>
      </c>
      <c r="U5" s="57"/>
    </row>
    <row r="6" spans="1:26" x14ac:dyDescent="0.25">
      <c r="B6" s="16" t="s">
        <v>2</v>
      </c>
      <c r="C6" s="16" t="s">
        <v>8</v>
      </c>
      <c r="D6" s="16" t="s">
        <v>1</v>
      </c>
      <c r="E6" s="16" t="s">
        <v>0</v>
      </c>
      <c r="F6" s="16" t="s">
        <v>6</v>
      </c>
      <c r="G6" s="16" t="s">
        <v>5</v>
      </c>
      <c r="H6" s="16" t="s">
        <v>4</v>
      </c>
      <c r="I6" s="38" t="s">
        <v>392</v>
      </c>
      <c r="J6" s="46" t="s">
        <v>391</v>
      </c>
    </row>
    <row r="7" spans="1:26" x14ac:dyDescent="0.25">
      <c r="A7" s="16" t="s">
        <v>285</v>
      </c>
      <c r="B7" s="16">
        <v>25176</v>
      </c>
      <c r="C7" s="16">
        <v>18115</v>
      </c>
      <c r="D7" s="16">
        <v>9854</v>
      </c>
      <c r="E7" s="16">
        <v>3957</v>
      </c>
      <c r="F7" s="16">
        <v>3463</v>
      </c>
      <c r="G7" s="16">
        <v>3717</v>
      </c>
      <c r="H7" s="16">
        <v>1936</v>
      </c>
      <c r="I7" s="38">
        <f>SUM(B7:H7)</f>
        <v>66218</v>
      </c>
      <c r="J7" s="16">
        <v>2664872</v>
      </c>
      <c r="T7" s="57" t="s">
        <v>399</v>
      </c>
      <c r="U7" s="41" t="s">
        <v>403</v>
      </c>
    </row>
    <row r="8" spans="1:26" x14ac:dyDescent="0.25">
      <c r="A8" s="16" t="s">
        <v>106</v>
      </c>
      <c r="B8" s="16">
        <v>24487</v>
      </c>
      <c r="C8" s="16">
        <v>17835</v>
      </c>
      <c r="D8" s="16">
        <v>9406</v>
      </c>
      <c r="E8" s="16">
        <v>3842</v>
      </c>
      <c r="F8" s="16">
        <v>3351</v>
      </c>
      <c r="G8" s="16">
        <v>3589</v>
      </c>
      <c r="H8" s="16">
        <v>1893</v>
      </c>
      <c r="I8" s="38">
        <f>SUM(B8:H8)</f>
        <v>64403</v>
      </c>
      <c r="J8" s="16" t="s">
        <v>287</v>
      </c>
      <c r="T8" s="61">
        <v>25537</v>
      </c>
      <c r="U8" s="41">
        <v>2.0499108734402853E-2</v>
      </c>
    </row>
    <row r="9" spans="1:26" x14ac:dyDescent="0.25">
      <c r="A9" s="16" t="s">
        <v>227</v>
      </c>
      <c r="B9" s="16">
        <v>25150</v>
      </c>
      <c r="C9" s="16">
        <v>18102</v>
      </c>
      <c r="D9" s="16">
        <v>3943</v>
      </c>
      <c r="E9" s="16">
        <v>9778</v>
      </c>
      <c r="F9" s="16">
        <v>1936</v>
      </c>
      <c r="G9" s="16">
        <v>3267</v>
      </c>
      <c r="H9" s="16">
        <v>3638</v>
      </c>
      <c r="I9" s="38">
        <f>SUM(B9:H9)</f>
        <v>65814</v>
      </c>
      <c r="J9" s="16">
        <v>2704140</v>
      </c>
      <c r="T9" s="57">
        <v>25544</v>
      </c>
      <c r="U9" s="41">
        <v>3.4995625546806651E-2</v>
      </c>
    </row>
    <row r="10" spans="1:26" x14ac:dyDescent="0.25">
      <c r="A10" s="16" t="s">
        <v>105</v>
      </c>
      <c r="B10" s="16">
        <v>25399</v>
      </c>
      <c r="C10" s="16">
        <v>18139</v>
      </c>
      <c r="D10" s="16">
        <v>9836</v>
      </c>
      <c r="E10" s="16">
        <v>3989</v>
      </c>
      <c r="F10" s="16">
        <v>4456</v>
      </c>
      <c r="G10" s="16">
        <v>4611</v>
      </c>
      <c r="H10" s="16">
        <v>3294</v>
      </c>
      <c r="I10" s="38">
        <f>SUM(B10:H10)</f>
        <v>69724</v>
      </c>
      <c r="J10" s="16" t="s">
        <v>288</v>
      </c>
      <c r="T10" s="57">
        <v>25551</v>
      </c>
      <c r="U10" s="41">
        <v>4.1095890410958902E-2</v>
      </c>
    </row>
    <row r="11" spans="1:26" x14ac:dyDescent="0.25">
      <c r="A11" s="16" t="s">
        <v>286</v>
      </c>
      <c r="B11" s="16">
        <v>24674</v>
      </c>
      <c r="C11" s="16">
        <v>17854</v>
      </c>
      <c r="D11" s="16">
        <v>9445</v>
      </c>
      <c r="E11" s="16">
        <v>3880</v>
      </c>
      <c r="F11" s="16">
        <v>4142</v>
      </c>
      <c r="G11" s="16">
        <v>4459</v>
      </c>
      <c r="H11" s="16">
        <v>3203</v>
      </c>
      <c r="I11" s="38">
        <f>SUM(B11:H11)</f>
        <v>67657</v>
      </c>
      <c r="J11" s="16">
        <v>2830196</v>
      </c>
      <c r="T11" s="57">
        <v>25558</v>
      </c>
      <c r="U11" s="41">
        <v>3.4272658035034272E-2</v>
      </c>
    </row>
    <row r="12" spans="1:26" x14ac:dyDescent="0.25">
      <c r="B12" s="47">
        <f t="shared" ref="B12:H12" si="0">B9/$J9</f>
        <v>9.3005539654011996E-3</v>
      </c>
      <c r="C12" s="47">
        <f t="shared" si="0"/>
        <v>6.6941800350573564E-3</v>
      </c>
      <c r="D12" s="47">
        <f t="shared" si="0"/>
        <v>1.4581345640388441E-3</v>
      </c>
      <c r="E12" s="47">
        <f t="shared" si="0"/>
        <v>3.6159370446796394E-3</v>
      </c>
      <c r="F12" s="47">
        <f t="shared" si="0"/>
        <v>7.1593926349967083E-4</v>
      </c>
      <c r="G12" s="47">
        <f t="shared" si="0"/>
        <v>1.2081475071556945E-3</v>
      </c>
      <c r="H12" s="47">
        <f t="shared" si="0"/>
        <v>1.3453445457705592E-3</v>
      </c>
      <c r="T12" s="57">
        <v>25561</v>
      </c>
      <c r="U12" s="41">
        <v>2.6966292134831461E-2</v>
      </c>
    </row>
    <row r="13" spans="1:26" x14ac:dyDescent="0.25">
      <c r="T13" s="57">
        <v>25562</v>
      </c>
      <c r="U13" s="41">
        <v>1.5650741350906095E-2</v>
      </c>
    </row>
    <row r="14" spans="1:26" ht="18.75" x14ac:dyDescent="0.3">
      <c r="A14" s="45"/>
      <c r="B14" s="6" t="str">
        <f>Sommaire!C30</f>
        <v>Figure 6 : Fréquence des différents noms divins dans les homélies.</v>
      </c>
      <c r="C14" s="45"/>
      <c r="D14" s="45"/>
      <c r="E14" s="45"/>
      <c r="F14" s="45"/>
      <c r="G14" s="45"/>
      <c r="H14" s="6"/>
      <c r="I14" s="45"/>
      <c r="J14" s="45"/>
      <c r="T14" s="57">
        <v>25565</v>
      </c>
      <c r="U14" s="41">
        <v>3.4567901234567898E-2</v>
      </c>
    </row>
    <row r="15" spans="1:26" x14ac:dyDescent="0.25">
      <c r="A15" s="59" t="s">
        <v>388</v>
      </c>
      <c r="T15" s="57">
        <v>25572</v>
      </c>
      <c r="U15" s="41">
        <v>9.3720712277413302E-3</v>
      </c>
    </row>
    <row r="16" spans="1:26" x14ac:dyDescent="0.25">
      <c r="A16" s="16" t="s">
        <v>387</v>
      </c>
      <c r="B16" s="48">
        <v>2207</v>
      </c>
      <c r="C16" s="48">
        <v>1810</v>
      </c>
      <c r="D16" s="48">
        <v>1030</v>
      </c>
      <c r="E16" s="48">
        <v>324</v>
      </c>
      <c r="F16" s="48">
        <v>304</v>
      </c>
      <c r="G16" s="48">
        <v>134</v>
      </c>
      <c r="H16" s="48">
        <v>248</v>
      </c>
      <c r="T16" s="57">
        <v>25579</v>
      </c>
      <c r="U16" s="41">
        <v>2.2552255225522552E-2</v>
      </c>
    </row>
    <row r="17" spans="1:21" x14ac:dyDescent="0.25">
      <c r="B17" s="16" t="s">
        <v>2</v>
      </c>
      <c r="C17" s="16" t="s">
        <v>8</v>
      </c>
      <c r="D17" s="16" t="s">
        <v>1</v>
      </c>
      <c r="E17" s="16" t="s">
        <v>0</v>
      </c>
      <c r="F17" s="16" t="s">
        <v>5</v>
      </c>
      <c r="G17" s="16" t="s">
        <v>4</v>
      </c>
      <c r="H17" s="16" t="s">
        <v>6</v>
      </c>
      <c r="T17" s="57">
        <v>25586</v>
      </c>
      <c r="U17" s="41">
        <v>2.0781379883624274E-2</v>
      </c>
    </row>
    <row r="18" spans="1:21" x14ac:dyDescent="0.25">
      <c r="A18" s="16" t="s">
        <v>7</v>
      </c>
      <c r="B18" s="16">
        <v>867</v>
      </c>
      <c r="C18" s="16">
        <v>537</v>
      </c>
      <c r="D18" s="16">
        <v>180</v>
      </c>
      <c r="E18" s="16">
        <v>13</v>
      </c>
      <c r="F18" s="16">
        <v>26</v>
      </c>
      <c r="G18" s="16">
        <v>5</v>
      </c>
      <c r="H18" s="16">
        <v>63</v>
      </c>
      <c r="T18" s="57">
        <v>25593</v>
      </c>
      <c r="U18" s="41">
        <v>2.1716649431230611E-2</v>
      </c>
    </row>
    <row r="19" spans="1:21" x14ac:dyDescent="0.25">
      <c r="A19" s="16" t="s">
        <v>9</v>
      </c>
      <c r="B19" s="16">
        <f t="shared" ref="B19:H19" si="1">B16-B18</f>
        <v>1340</v>
      </c>
      <c r="C19" s="16">
        <f t="shared" si="1"/>
        <v>1273</v>
      </c>
      <c r="D19" s="16">
        <f t="shared" si="1"/>
        <v>850</v>
      </c>
      <c r="E19" s="16">
        <f t="shared" si="1"/>
        <v>311</v>
      </c>
      <c r="F19" s="16">
        <f t="shared" si="1"/>
        <v>278</v>
      </c>
      <c r="G19" s="16">
        <f>G16-G18</f>
        <v>129</v>
      </c>
      <c r="H19" s="16">
        <f t="shared" si="1"/>
        <v>185</v>
      </c>
      <c r="T19" s="57">
        <v>25600</v>
      </c>
      <c r="U19" s="41">
        <v>2.3514851485148515E-2</v>
      </c>
    </row>
    <row r="20" spans="1:21" x14ac:dyDescent="0.25">
      <c r="A20" s="16">
        <v>3</v>
      </c>
      <c r="B20" s="16">
        <v>214</v>
      </c>
      <c r="C20" s="16">
        <v>241</v>
      </c>
      <c r="D20" s="16">
        <v>288</v>
      </c>
      <c r="E20" s="16">
        <v>221</v>
      </c>
      <c r="F20" s="16">
        <v>179</v>
      </c>
      <c r="G20" s="16">
        <v>99</v>
      </c>
      <c r="H20" s="16">
        <v>107</v>
      </c>
      <c r="T20" s="57">
        <v>25607</v>
      </c>
      <c r="U20" s="41">
        <v>5.3789731051344745E-3</v>
      </c>
    </row>
    <row r="21" spans="1:21" x14ac:dyDescent="0.25">
      <c r="A21" s="16">
        <v>2</v>
      </c>
      <c r="B21" s="16">
        <v>199</v>
      </c>
      <c r="C21" s="16">
        <v>294</v>
      </c>
      <c r="D21" s="16">
        <v>405</v>
      </c>
      <c r="E21" s="16">
        <v>369</v>
      </c>
      <c r="F21" s="16">
        <v>330</v>
      </c>
      <c r="G21" s="16">
        <v>201</v>
      </c>
      <c r="H21" s="16">
        <v>240</v>
      </c>
      <c r="T21" s="57">
        <v>25614</v>
      </c>
      <c r="U21" s="41">
        <v>1.878238341968912E-2</v>
      </c>
    </row>
    <row r="22" spans="1:21" x14ac:dyDescent="0.25">
      <c r="A22" s="16">
        <v>1</v>
      </c>
      <c r="B22" s="16">
        <v>169</v>
      </c>
      <c r="C22" s="16">
        <v>271</v>
      </c>
      <c r="D22" s="16">
        <v>499</v>
      </c>
      <c r="E22" s="16">
        <v>681</v>
      </c>
      <c r="F22" s="16">
        <v>614</v>
      </c>
      <c r="G22" s="16">
        <v>503</v>
      </c>
      <c r="H22" s="16">
        <v>525</v>
      </c>
      <c r="T22" s="57">
        <v>25621</v>
      </c>
      <c r="U22" s="41">
        <v>1.7813267813267815E-2</v>
      </c>
    </row>
    <row r="23" spans="1:21" x14ac:dyDescent="0.25">
      <c r="A23" s="16">
        <v>0</v>
      </c>
      <c r="B23" s="16">
        <v>112</v>
      </c>
      <c r="C23" s="16">
        <v>285</v>
      </c>
      <c r="D23" s="16">
        <v>679</v>
      </c>
      <c r="E23" s="16">
        <v>1306</v>
      </c>
      <c r="F23" s="16">
        <v>1474</v>
      </c>
      <c r="G23" s="16">
        <v>1964</v>
      </c>
      <c r="H23" s="16">
        <v>1781</v>
      </c>
      <c r="T23" s="57">
        <v>25628</v>
      </c>
      <c r="U23" s="41">
        <v>3.4403669724770644E-2</v>
      </c>
    </row>
    <row r="24" spans="1:21" x14ac:dyDescent="0.25">
      <c r="A24" s="38" t="s">
        <v>86</v>
      </c>
      <c r="B24" s="38">
        <f t="shared" ref="B24:H24" si="2">SUM(B18:B23)</f>
        <v>2901</v>
      </c>
      <c r="C24" s="38">
        <f t="shared" si="2"/>
        <v>2901</v>
      </c>
      <c r="D24" s="38">
        <f t="shared" si="2"/>
        <v>2901</v>
      </c>
      <c r="E24" s="38">
        <f t="shared" si="2"/>
        <v>2901</v>
      </c>
      <c r="F24" s="38">
        <f t="shared" si="2"/>
        <v>2901</v>
      </c>
      <c r="G24" s="38">
        <f>SUM(G18:G23)</f>
        <v>2901</v>
      </c>
      <c r="H24" s="38">
        <f t="shared" si="2"/>
        <v>2901</v>
      </c>
      <c r="T24" s="57">
        <v>25635</v>
      </c>
      <c r="U24" s="41">
        <v>1.4951121334100058E-2</v>
      </c>
    </row>
    <row r="25" spans="1:21" x14ac:dyDescent="0.25">
      <c r="T25" s="57">
        <v>25642</v>
      </c>
      <c r="U25" s="41">
        <v>1.2091898428053204E-2</v>
      </c>
    </row>
    <row r="26" spans="1:21" ht="18.75" x14ac:dyDescent="0.3">
      <c r="A26" s="45"/>
      <c r="B26" s="6" t="s">
        <v>10</v>
      </c>
      <c r="C26" s="45"/>
      <c r="D26" s="45"/>
      <c r="E26" s="45"/>
      <c r="F26" s="45"/>
      <c r="G26" s="45"/>
      <c r="H26" s="6"/>
      <c r="I26" s="45"/>
      <c r="J26" s="45"/>
      <c r="T26" s="57">
        <v>25649</v>
      </c>
      <c r="U26" s="41">
        <v>2.0656136087484813E-2</v>
      </c>
    </row>
    <row r="27" spans="1:21" x14ac:dyDescent="0.25">
      <c r="A27" s="59" t="s">
        <v>389</v>
      </c>
      <c r="T27" s="57">
        <v>25663</v>
      </c>
      <c r="U27" s="41">
        <v>3.0742954739538857E-2</v>
      </c>
    </row>
    <row r="28" spans="1:21" s="38" customFormat="1" ht="14.25" customHeight="1" x14ac:dyDescent="0.25">
      <c r="T28" s="57">
        <v>25670</v>
      </c>
      <c r="U28" s="41">
        <v>1.4946962391513982E-2</v>
      </c>
    </row>
    <row r="29" spans="1:21" x14ac:dyDescent="0.25">
      <c r="A29" s="38"/>
      <c r="B29" s="38" t="s">
        <v>2</v>
      </c>
      <c r="C29" s="38" t="s">
        <v>8</v>
      </c>
      <c r="D29" s="38" t="s">
        <v>1</v>
      </c>
      <c r="E29" s="38" t="s">
        <v>0</v>
      </c>
      <c r="F29" s="38" t="s">
        <v>6</v>
      </c>
      <c r="G29" s="38" t="s">
        <v>4</v>
      </c>
      <c r="H29" s="38" t="s">
        <v>5</v>
      </c>
      <c r="I29" s="38" t="s">
        <v>86</v>
      </c>
      <c r="J29" s="38"/>
      <c r="R29" s="49"/>
      <c r="T29" s="57">
        <v>25677</v>
      </c>
      <c r="U29" s="41">
        <v>8.0645161290322578E-3</v>
      </c>
    </row>
    <row r="30" spans="1:21" x14ac:dyDescent="0.25">
      <c r="A30" s="38" t="s">
        <v>322</v>
      </c>
      <c r="B30" s="49">
        <v>1.02821526201427E-2</v>
      </c>
      <c r="C30" s="49">
        <v>4.7339958051836719E-3</v>
      </c>
      <c r="D30" s="49">
        <v>2.4101322607256279E-3</v>
      </c>
      <c r="E30" s="49">
        <v>2.34543072352494E-3</v>
      </c>
      <c r="F30" s="49">
        <v>1.1484522853122119E-3</v>
      </c>
      <c r="G30" s="49">
        <v>7.2789229350773987E-4</v>
      </c>
      <c r="H30" s="49">
        <v>8.7347075220928791E-4</v>
      </c>
      <c r="I30" s="50">
        <f>SUM(B30:H30)</f>
        <v>2.2521526740606181E-2</v>
      </c>
      <c r="J30" s="38"/>
      <c r="R30" s="49"/>
      <c r="T30" s="57">
        <v>25684</v>
      </c>
      <c r="U30" s="41">
        <v>6.8597560975609756E-3</v>
      </c>
    </row>
    <row r="31" spans="1:21" s="38" customFormat="1" x14ac:dyDescent="0.25">
      <c r="A31" s="38" t="s">
        <v>218</v>
      </c>
      <c r="B31" s="49">
        <v>1.1528382078720581E-2</v>
      </c>
      <c r="C31" s="49">
        <v>4.9179363986090342E-3</v>
      </c>
      <c r="D31" s="49">
        <v>2.8894451257412603E-3</v>
      </c>
      <c r="E31" s="49">
        <v>1.3481277403531171E-3</v>
      </c>
      <c r="F31" s="49">
        <v>8.2735565373695974E-4</v>
      </c>
      <c r="G31" s="49">
        <v>1.1255396710736305E-3</v>
      </c>
      <c r="H31" s="49">
        <v>1.4909200866833538E-3</v>
      </c>
      <c r="I31" s="50">
        <f t="shared" ref="I31:I43" si="3">SUM(B31:H31)</f>
        <v>2.4127706754917936E-2</v>
      </c>
      <c r="J31" s="16"/>
      <c r="K31" s="52"/>
      <c r="L31" s="52"/>
      <c r="M31" s="52"/>
      <c r="N31" s="52"/>
      <c r="O31" s="52"/>
      <c r="P31" s="52"/>
      <c r="S31" s="49"/>
      <c r="T31" s="62">
        <v>25691</v>
      </c>
      <c r="U31" s="65">
        <v>3.3261026753434564E-2</v>
      </c>
    </row>
    <row r="32" spans="1:21" s="38" customFormat="1" x14ac:dyDescent="0.25">
      <c r="A32" s="38" t="s">
        <v>220</v>
      </c>
      <c r="B32" s="49">
        <v>9.3308678168466698E-3</v>
      </c>
      <c r="C32" s="49">
        <v>7.918283035140708E-3</v>
      </c>
      <c r="D32" s="49">
        <v>3.0487696670487979E-3</v>
      </c>
      <c r="E32" s="49">
        <v>8.7310516658207723E-4</v>
      </c>
      <c r="F32" s="49">
        <v>5.9626694303166244E-4</v>
      </c>
      <c r="G32" s="49">
        <v>9.9377823838610411E-4</v>
      </c>
      <c r="H32" s="49">
        <v>1.5864959734235306E-3</v>
      </c>
      <c r="I32" s="50">
        <f t="shared" si="3"/>
        <v>2.4347566840459547E-2</v>
      </c>
      <c r="J32" s="53"/>
      <c r="K32" s="53"/>
      <c r="L32" s="53"/>
      <c r="M32" s="53"/>
      <c r="N32" s="53"/>
      <c r="O32" s="53"/>
      <c r="P32" s="53"/>
      <c r="R32" s="49"/>
      <c r="S32" s="49"/>
      <c r="T32" s="57">
        <v>25698</v>
      </c>
      <c r="U32" s="41">
        <v>1.6985138004246284E-2</v>
      </c>
    </row>
    <row r="33" spans="1:21" x14ac:dyDescent="0.25">
      <c r="A33" s="38" t="s">
        <v>221</v>
      </c>
      <c r="B33" s="49">
        <v>7.3201040736282086E-3</v>
      </c>
      <c r="C33" s="49">
        <v>7.4317502232922996E-3</v>
      </c>
      <c r="D33" s="49">
        <v>4.7328259096734108E-3</v>
      </c>
      <c r="E33" s="49">
        <v>1.7693487631548288E-3</v>
      </c>
      <c r="F33" s="49">
        <v>3.1843423556366744E-3</v>
      </c>
      <c r="G33" s="49">
        <v>4.7328259096734109E-4</v>
      </c>
      <c r="H33" s="49">
        <v>1.8130363869364296E-3</v>
      </c>
      <c r="I33" s="50">
        <f t="shared" si="3"/>
        <v>2.6724690303289188E-2</v>
      </c>
      <c r="J33" s="53"/>
      <c r="K33" s="53"/>
      <c r="L33" s="53"/>
      <c r="M33" s="53"/>
      <c r="N33" s="53"/>
      <c r="O33" s="53"/>
      <c r="P33" s="53"/>
      <c r="R33" s="49"/>
      <c r="S33" s="49"/>
      <c r="T33" s="57">
        <v>25705</v>
      </c>
      <c r="U33" s="41">
        <v>3.1914893617021274E-2</v>
      </c>
    </row>
    <row r="34" spans="1:21" x14ac:dyDescent="0.25">
      <c r="A34" s="38" t="s">
        <v>222</v>
      </c>
      <c r="B34" s="49">
        <v>9.3686992690041777E-3</v>
      </c>
      <c r="C34" s="49">
        <v>6.8119268674272275E-3</v>
      </c>
      <c r="D34" s="49">
        <v>3.7139815480971396E-3</v>
      </c>
      <c r="E34" s="49">
        <v>1.3938533415048541E-3</v>
      </c>
      <c r="F34" s="49">
        <v>9.6497539027259123E-4</v>
      </c>
      <c r="G34" s="49">
        <v>6.6805988557333237E-4</v>
      </c>
      <c r="H34" s="49">
        <v>1.265697504006456E-3</v>
      </c>
      <c r="I34" s="50">
        <f t="shared" si="3"/>
        <v>2.4187193805885777E-2</v>
      </c>
      <c r="J34" s="38"/>
      <c r="K34" s="49"/>
      <c r="L34" s="49"/>
      <c r="M34" s="49"/>
      <c r="N34" s="49"/>
      <c r="O34" s="49"/>
      <c r="P34" s="49"/>
      <c r="Q34" s="49"/>
      <c r="R34" s="49"/>
      <c r="T34" s="63">
        <v>25712</v>
      </c>
      <c r="U34" s="65">
        <v>1.7196904557179708E-2</v>
      </c>
    </row>
    <row r="35" spans="1:21" x14ac:dyDescent="0.25">
      <c r="A35" s="16" t="s">
        <v>219</v>
      </c>
      <c r="B35" s="49">
        <v>1.3566657649971909E-2</v>
      </c>
      <c r="C35" s="49">
        <v>4.0367048835805988E-3</v>
      </c>
      <c r="D35" s="49">
        <v>2.226430013108887E-3</v>
      </c>
      <c r="E35" s="49">
        <v>1.2796770636093135E-3</v>
      </c>
      <c r="F35" s="49">
        <v>1.7686593562079943E-4</v>
      </c>
      <c r="G35" s="49">
        <v>1.3941197278345367E-3</v>
      </c>
      <c r="H35" s="49">
        <v>1.1964460350818785E-3</v>
      </c>
      <c r="I35" s="50">
        <f t="shared" si="3"/>
        <v>2.3876901308807923E-2</v>
      </c>
      <c r="J35" s="49"/>
      <c r="K35" s="49"/>
      <c r="L35" s="49"/>
      <c r="M35" s="49"/>
      <c r="N35" s="49"/>
      <c r="O35" s="49"/>
      <c r="P35" s="49"/>
      <c r="Q35" s="49"/>
      <c r="R35" s="49"/>
      <c r="T35" s="63">
        <v>25719</v>
      </c>
      <c r="U35" s="65">
        <v>7.2747621712367094E-3</v>
      </c>
    </row>
    <row r="36" spans="1:21" x14ac:dyDescent="0.25">
      <c r="A36" s="16" t="s">
        <v>3</v>
      </c>
      <c r="B36" s="49">
        <v>8.5925208761950863E-3</v>
      </c>
      <c r="C36" s="49">
        <v>1.0407842188067288E-2</v>
      </c>
      <c r="D36" s="49">
        <v>4.5080479244826331E-3</v>
      </c>
      <c r="E36" s="49">
        <v>1.4522570494977611E-3</v>
      </c>
      <c r="F36" s="49">
        <v>8.1689459034249058E-4</v>
      </c>
      <c r="G36" s="49">
        <v>1.7850659566743313E-3</v>
      </c>
      <c r="H36" s="49">
        <v>3.1163015853806122E-3</v>
      </c>
      <c r="I36" s="50">
        <f t="shared" si="3"/>
        <v>3.0678930170640203E-2</v>
      </c>
      <c r="K36" s="49"/>
      <c r="L36" s="49"/>
      <c r="M36" s="49"/>
      <c r="N36" s="49"/>
      <c r="O36" s="49"/>
      <c r="P36" s="49"/>
      <c r="Q36" s="49"/>
      <c r="R36" s="49"/>
      <c r="T36" s="63">
        <v>25726</v>
      </c>
      <c r="U36" s="41">
        <v>3.1938325991189426E-2</v>
      </c>
    </row>
    <row r="37" spans="1:21" x14ac:dyDescent="0.25">
      <c r="A37" s="16" t="s">
        <v>223</v>
      </c>
      <c r="B37" s="49">
        <v>5.0800738091441328E-3</v>
      </c>
      <c r="C37" s="49">
        <v>8.2921384149258499E-3</v>
      </c>
      <c r="D37" s="49">
        <v>6.6974964120554937E-3</v>
      </c>
      <c r="E37" s="49">
        <v>1.5490808027883453E-3</v>
      </c>
      <c r="F37" s="49">
        <v>6.6063740118914728E-4</v>
      </c>
      <c r="G37" s="49">
        <v>6.1507620110713712E-4</v>
      </c>
      <c r="H37" s="49">
        <v>1.0023464018042235E-3</v>
      </c>
      <c r="I37" s="50">
        <f t="shared" si="3"/>
        <v>2.3896849443014328E-2</v>
      </c>
      <c r="J37" s="38"/>
      <c r="K37" s="49"/>
      <c r="L37" s="49"/>
      <c r="M37" s="49"/>
      <c r="N37" s="49"/>
      <c r="O37" s="49"/>
      <c r="P37" s="49"/>
      <c r="Q37" s="49"/>
      <c r="R37" s="49"/>
      <c r="T37" s="57">
        <v>25733</v>
      </c>
      <c r="U37" s="41">
        <v>1.9444444444444445E-2</v>
      </c>
    </row>
    <row r="38" spans="1:21" s="38" customFormat="1" x14ac:dyDescent="0.25">
      <c r="A38" s="16" t="s">
        <v>224</v>
      </c>
      <c r="B38" s="49">
        <v>1.2264551763206344E-2</v>
      </c>
      <c r="C38" s="49">
        <v>8.2141339753575987E-3</v>
      </c>
      <c r="D38" s="49">
        <v>4.2203653873389042E-3</v>
      </c>
      <c r="E38" s="49">
        <v>8.7806259736581218E-4</v>
      </c>
      <c r="F38" s="49">
        <v>3.2856535901430394E-3</v>
      </c>
      <c r="G38" s="49">
        <v>2.407590992777227E-3</v>
      </c>
      <c r="H38" s="49">
        <v>3.2856535901430394E-3</v>
      </c>
      <c r="I38" s="50">
        <f t="shared" si="3"/>
        <v>3.4556011896331965E-2</v>
      </c>
      <c r="J38" s="16"/>
      <c r="K38" s="49"/>
      <c r="L38" s="49"/>
      <c r="M38" s="49"/>
      <c r="N38" s="49"/>
      <c r="O38" s="49"/>
      <c r="P38" s="49"/>
      <c r="Q38" s="49"/>
      <c r="R38" s="49"/>
      <c r="T38" s="57">
        <v>25740</v>
      </c>
      <c r="U38" s="41">
        <v>2.7715355805243445E-2</v>
      </c>
    </row>
    <row r="39" spans="1:21" x14ac:dyDescent="0.25">
      <c r="A39" s="16" t="s">
        <v>11</v>
      </c>
      <c r="B39" s="49">
        <v>1.7438211063162023E-2</v>
      </c>
      <c r="C39" s="49">
        <v>5.1392703020792466E-3</v>
      </c>
      <c r="D39" s="49">
        <v>3.5504119262455866E-3</v>
      </c>
      <c r="E39" s="49">
        <v>1.0200078462142017E-3</v>
      </c>
      <c r="F39" s="49">
        <v>5.7669674382110634E-3</v>
      </c>
      <c r="G39" s="49">
        <v>4.0996469203609257E-3</v>
      </c>
      <c r="H39" s="49">
        <v>5.5315810121616318E-3</v>
      </c>
      <c r="I39" s="50">
        <f t="shared" si="3"/>
        <v>4.2546096508434682E-2</v>
      </c>
      <c r="K39" s="49"/>
      <c r="L39" s="49"/>
      <c r="M39" s="49"/>
      <c r="N39" s="49"/>
      <c r="O39" s="49"/>
      <c r="P39" s="49"/>
      <c r="Q39" s="49"/>
      <c r="R39" s="49"/>
      <c r="T39" s="57">
        <v>25754</v>
      </c>
      <c r="U39" s="41">
        <v>2.1413276231263382E-2</v>
      </c>
    </row>
    <row r="40" spans="1:21" x14ac:dyDescent="0.25">
      <c r="A40" s="16" t="s">
        <v>226</v>
      </c>
      <c r="B40" s="49">
        <v>6.7816542532340256E-3</v>
      </c>
      <c r="C40" s="49">
        <v>5.8604468835750682E-3</v>
      </c>
      <c r="D40" s="49">
        <v>5.82124656997256E-3</v>
      </c>
      <c r="E40" s="49">
        <v>1.3524108192865543E-3</v>
      </c>
      <c r="F40" s="49">
        <v>8.4280674245393967E-4</v>
      </c>
      <c r="G40" s="49">
        <v>3.3320266562132498E-4</v>
      </c>
      <c r="H40" s="49">
        <v>1.3328106624852999E-3</v>
      </c>
      <c r="I40" s="50">
        <f t="shared" si="3"/>
        <v>2.2324578596628775E-2</v>
      </c>
      <c r="J40" s="38"/>
      <c r="K40" s="49"/>
      <c r="L40" s="49"/>
      <c r="M40" s="49"/>
      <c r="N40" s="49"/>
      <c r="O40" s="49"/>
      <c r="P40" s="49"/>
      <c r="Q40" s="49"/>
      <c r="R40" s="49"/>
      <c r="T40" s="57">
        <v>25761</v>
      </c>
      <c r="U40" s="41">
        <v>1.3732833957553059E-2</v>
      </c>
    </row>
    <row r="41" spans="1:21" s="38" customFormat="1" x14ac:dyDescent="0.25">
      <c r="A41" s="16" t="s">
        <v>225</v>
      </c>
      <c r="B41" s="49">
        <v>1.0483334480306472E-2</v>
      </c>
      <c r="C41" s="49">
        <v>3.4638588764251141E-3</v>
      </c>
      <c r="D41" s="49">
        <v>3.1427063978161631E-3</v>
      </c>
      <c r="E41" s="49">
        <v>1.7663386323492304E-3</v>
      </c>
      <c r="F41" s="49">
        <v>1.2157915261624573E-3</v>
      </c>
      <c r="G41" s="49">
        <v>1.720459706833666E-3</v>
      </c>
      <c r="H41" s="49">
        <v>1.3534283027091506E-3</v>
      </c>
      <c r="I41" s="50">
        <f t="shared" si="3"/>
        <v>2.3145917922602254E-2</v>
      </c>
      <c r="J41" s="16"/>
      <c r="K41" s="49"/>
      <c r="L41" s="49"/>
      <c r="M41" s="49"/>
      <c r="N41" s="49"/>
      <c r="O41" s="49"/>
      <c r="P41" s="49"/>
      <c r="Q41" s="49"/>
      <c r="R41" s="49"/>
      <c r="T41" s="62">
        <v>25768</v>
      </c>
      <c r="U41" s="65">
        <v>2.9850746268656716E-2</v>
      </c>
    </row>
    <row r="42" spans="1:21" x14ac:dyDescent="0.25">
      <c r="A42" s="16" t="s">
        <v>83</v>
      </c>
      <c r="B42" s="49">
        <v>1.0652617898254734E-2</v>
      </c>
      <c r="C42" s="49">
        <v>3.3187894541403637E-3</v>
      </c>
      <c r="D42" s="49">
        <v>2.877831414779057E-3</v>
      </c>
      <c r="E42" s="49">
        <v>9.0512439658373557E-4</v>
      </c>
      <c r="F42" s="49">
        <v>4.8737467508354993E-4</v>
      </c>
      <c r="G42" s="49">
        <v>1.856665428889714E-4</v>
      </c>
      <c r="H42" s="49">
        <v>1.1604158930560713E-3</v>
      </c>
      <c r="I42" s="50">
        <f>SUM(B42:H42)</f>
        <v>1.9587820274786481E-2</v>
      </c>
      <c r="K42" s="49"/>
      <c r="L42" s="49"/>
      <c r="M42" s="49"/>
      <c r="N42" s="49"/>
      <c r="O42" s="49"/>
      <c r="P42" s="49"/>
      <c r="Q42" s="49"/>
      <c r="R42" s="49"/>
      <c r="T42" s="57">
        <v>25775</v>
      </c>
      <c r="U42" s="41">
        <v>2.1764032073310423E-2</v>
      </c>
    </row>
    <row r="43" spans="1:21" x14ac:dyDescent="0.25">
      <c r="A43" s="16" t="s">
        <v>84</v>
      </c>
      <c r="B43" s="49">
        <v>6.2957848667119154E-3</v>
      </c>
      <c r="C43" s="49">
        <v>8.5426077187726723E-3</v>
      </c>
      <c r="D43" s="49">
        <v>6.6234465326374427E-3</v>
      </c>
      <c r="E43" s="49">
        <v>1.5212863060828049E-3</v>
      </c>
      <c r="F43" s="49">
        <v>5.8511011772415563E-4</v>
      </c>
      <c r="G43" s="49">
        <v>7.9574976010485178E-4</v>
      </c>
      <c r="H43" s="49">
        <v>9.5958059306761533E-4</v>
      </c>
      <c r="I43" s="50">
        <f t="shared" si="3"/>
        <v>2.5323565895101458E-2</v>
      </c>
      <c r="K43" s="49"/>
      <c r="L43" s="49"/>
      <c r="M43" s="49"/>
      <c r="N43" s="49"/>
      <c r="O43" s="49"/>
      <c r="P43" s="49"/>
      <c r="Q43" s="49"/>
      <c r="R43" s="49"/>
      <c r="T43" s="57">
        <v>25782</v>
      </c>
      <c r="U43" s="41">
        <v>4.0322580645161289E-2</v>
      </c>
    </row>
    <row r="44" spans="1:21" x14ac:dyDescent="0.25">
      <c r="C44" s="50"/>
      <c r="D44" s="49"/>
      <c r="E44" s="49"/>
      <c r="F44" s="49"/>
      <c r="G44" s="49"/>
      <c r="H44" s="49"/>
      <c r="I44" s="49"/>
      <c r="J44" s="49"/>
      <c r="K44" s="38"/>
      <c r="L44" s="38"/>
      <c r="M44" s="38"/>
      <c r="N44" s="38"/>
      <c r="O44" s="38"/>
      <c r="P44" s="38"/>
      <c r="Q44" s="38"/>
      <c r="R44" s="38"/>
      <c r="T44" s="57">
        <v>26146</v>
      </c>
      <c r="U44" s="41">
        <v>9.1848450057405284E-3</v>
      </c>
    </row>
    <row r="45" spans="1:21" ht="18.75" x14ac:dyDescent="0.3">
      <c r="A45" s="45"/>
      <c r="B45" s="6" t="str">
        <f>Sommaire!C32</f>
        <v>Figure 7 : Les prédicateurs nomment Dieu plus ou moins souvent, plus ou moins tôt.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T45" s="57">
        <v>26153</v>
      </c>
      <c r="U45" s="41">
        <v>9.433962264150943E-3</v>
      </c>
    </row>
    <row r="46" spans="1:21" s="57" customFormat="1" x14ac:dyDescent="0.25">
      <c r="A46" s="67" t="s">
        <v>389</v>
      </c>
      <c r="T46" s="57">
        <v>26167</v>
      </c>
      <c r="U46" s="41">
        <v>3.1979256698357821E-2</v>
      </c>
    </row>
    <row r="47" spans="1:21" ht="48.75" customHeight="1" x14ac:dyDescent="0.25">
      <c r="B47" s="95" t="s">
        <v>386</v>
      </c>
      <c r="C47" s="95"/>
      <c r="D47" s="95" t="s">
        <v>385</v>
      </c>
      <c r="E47" s="95"/>
      <c r="T47" s="57">
        <v>26174</v>
      </c>
      <c r="U47" s="41">
        <v>1.4763779527559055E-2</v>
      </c>
    </row>
    <row r="48" spans="1:21" x14ac:dyDescent="0.25">
      <c r="A48" s="16" t="s">
        <v>47</v>
      </c>
      <c r="B48" s="49">
        <v>4.5973610190521742E-2</v>
      </c>
      <c r="D48" s="49">
        <v>2.7127819165029109E-2</v>
      </c>
      <c r="E48" s="57"/>
      <c r="T48" s="57">
        <v>26181</v>
      </c>
      <c r="U48" s="41">
        <v>1.4469453376205787E-2</v>
      </c>
    </row>
    <row r="49" spans="1:21" x14ac:dyDescent="0.25">
      <c r="A49" s="16" t="s">
        <v>72</v>
      </c>
      <c r="B49" s="49">
        <v>5.3296157046303347E-2</v>
      </c>
      <c r="D49" s="49">
        <v>3.2959273551800658E-2</v>
      </c>
      <c r="E49" s="57"/>
      <c r="T49" s="57">
        <v>26188</v>
      </c>
      <c r="U49" s="41">
        <v>1.6441005802707929E-2</v>
      </c>
    </row>
    <row r="50" spans="1:21" x14ac:dyDescent="0.25">
      <c r="A50" s="16" t="s">
        <v>79</v>
      </c>
      <c r="B50" s="49">
        <v>0.124653574630228</v>
      </c>
      <c r="D50" s="49">
        <v>2.5861181099479498E-2</v>
      </c>
      <c r="E50" s="57"/>
      <c r="T50" s="57">
        <v>26195</v>
      </c>
      <c r="U50" s="41">
        <v>8.2742316784869974E-3</v>
      </c>
    </row>
    <row r="51" spans="1:21" x14ac:dyDescent="0.25">
      <c r="A51" s="16" t="s">
        <v>54</v>
      </c>
      <c r="B51" s="49">
        <v>7.004187991594335E-2</v>
      </c>
      <c r="D51" s="49">
        <v>1.2650220433669635E-2</v>
      </c>
      <c r="E51" s="57"/>
      <c r="T51" s="57">
        <v>26202</v>
      </c>
      <c r="U51" s="41">
        <v>1.6361886429258902E-2</v>
      </c>
    </row>
    <row r="52" spans="1:21" x14ac:dyDescent="0.25">
      <c r="A52" s="16" t="s">
        <v>58</v>
      </c>
      <c r="B52" s="49">
        <v>0.10826098413275718</v>
      </c>
      <c r="D52" s="49">
        <v>1.5514798610422993E-2</v>
      </c>
      <c r="E52" s="57"/>
      <c r="T52" s="57">
        <v>26209</v>
      </c>
      <c r="U52" s="41">
        <v>2.8100775193798451E-2</v>
      </c>
    </row>
    <row r="53" spans="1:21" x14ac:dyDescent="0.25">
      <c r="A53" s="16" t="s">
        <v>71</v>
      </c>
      <c r="B53" s="49">
        <v>0.20827510110964939</v>
      </c>
      <c r="D53" s="49">
        <v>1.2981966622022572E-2</v>
      </c>
      <c r="E53" s="57"/>
      <c r="T53" s="57">
        <v>26216</v>
      </c>
      <c r="U53" s="41">
        <v>6.2893081761006293E-3</v>
      </c>
    </row>
    <row r="54" spans="1:21" x14ac:dyDescent="0.25">
      <c r="A54" s="16" t="s">
        <v>62</v>
      </c>
      <c r="B54" s="49">
        <v>0.12459384505185991</v>
      </c>
      <c r="D54" s="49">
        <v>1.6248793225993652E-2</v>
      </c>
      <c r="E54" s="57"/>
      <c r="T54" s="57">
        <v>26223</v>
      </c>
      <c r="U54" s="41">
        <v>2.6523297491039426E-2</v>
      </c>
    </row>
    <row r="55" spans="1:21" x14ac:dyDescent="0.25">
      <c r="A55" s="16" t="s">
        <v>67</v>
      </c>
      <c r="B55" s="49">
        <v>3.5415622498027571E-2</v>
      </c>
      <c r="D55" s="49">
        <v>2.4189797224812702E-2</v>
      </c>
      <c r="E55" s="57"/>
      <c r="T55" s="57">
        <v>26230</v>
      </c>
      <c r="U55" s="41">
        <v>7.1210579857578843E-3</v>
      </c>
    </row>
    <row r="56" spans="1:21" x14ac:dyDescent="0.25">
      <c r="A56" s="16" t="s">
        <v>49</v>
      </c>
      <c r="B56" s="49">
        <v>4.3681163515201994E-2</v>
      </c>
      <c r="D56" s="49">
        <v>2.3106380774212766E-2</v>
      </c>
      <c r="E56" s="57"/>
      <c r="T56" s="57">
        <v>26237</v>
      </c>
      <c r="U56" s="41">
        <v>2.2053756030323914E-2</v>
      </c>
    </row>
    <row r="57" spans="1:21" x14ac:dyDescent="0.25">
      <c r="A57" s="16" t="s">
        <v>48</v>
      </c>
      <c r="B57" s="49">
        <v>0.10654769053163557</v>
      </c>
      <c r="D57" s="49">
        <v>2.0687670425659811E-2</v>
      </c>
      <c r="E57" s="57"/>
      <c r="T57" s="57">
        <v>26244</v>
      </c>
      <c r="U57" s="41">
        <v>1.1538461538461539E-2</v>
      </c>
    </row>
    <row r="58" spans="1:21" x14ac:dyDescent="0.25">
      <c r="A58" s="16" t="s">
        <v>53</v>
      </c>
      <c r="B58" s="49">
        <v>0.19752993137440708</v>
      </c>
      <c r="D58" s="49">
        <v>2.054812737965047E-2</v>
      </c>
      <c r="E58" s="57"/>
      <c r="T58" s="57">
        <v>26251</v>
      </c>
      <c r="U58" s="41">
        <v>2.171361502347418E-2</v>
      </c>
    </row>
    <row r="59" spans="1:21" x14ac:dyDescent="0.25">
      <c r="A59" s="16" t="s">
        <v>65</v>
      </c>
      <c r="B59" s="49">
        <v>4.7685193465416394E-2</v>
      </c>
      <c r="D59" s="49">
        <v>2.1874523031702876E-2</v>
      </c>
      <c r="T59" s="57">
        <v>26258</v>
      </c>
      <c r="U59" s="41">
        <v>2.2613065326633167E-2</v>
      </c>
    </row>
    <row r="60" spans="1:21" x14ac:dyDescent="0.25">
      <c r="A60" s="16" t="s">
        <v>77</v>
      </c>
      <c r="B60" s="49">
        <v>4.910077159937639E-2</v>
      </c>
      <c r="D60" s="49">
        <v>3.204598277756316E-2</v>
      </c>
      <c r="T60" s="57">
        <v>26265</v>
      </c>
      <c r="U60" s="41">
        <v>3.2041728763040241E-2</v>
      </c>
    </row>
    <row r="61" spans="1:21" x14ac:dyDescent="0.25">
      <c r="A61" s="16" t="s">
        <v>76</v>
      </c>
      <c r="B61" s="49">
        <v>6.2435510618515822E-2</v>
      </c>
      <c r="D61" s="49">
        <v>2.5937658296806419E-2</v>
      </c>
      <c r="T61" s="57">
        <v>26272</v>
      </c>
      <c r="U61" s="41">
        <v>1.8628281117696866E-2</v>
      </c>
    </row>
    <row r="62" spans="1:21" x14ac:dyDescent="0.25">
      <c r="A62" s="16" t="s">
        <v>52</v>
      </c>
      <c r="B62" s="49">
        <v>5.8861160482672481E-2</v>
      </c>
      <c r="D62" s="49">
        <v>2.2095817452964538E-2</v>
      </c>
      <c r="T62" s="57">
        <v>26279</v>
      </c>
      <c r="U62" s="41">
        <v>1.953125E-2</v>
      </c>
    </row>
    <row r="63" spans="1:21" x14ac:dyDescent="0.25">
      <c r="A63" s="16" t="s">
        <v>74</v>
      </c>
      <c r="B63" s="49">
        <v>7.4449585602656201E-2</v>
      </c>
      <c r="D63" s="49">
        <v>2.9920040455902037E-2</v>
      </c>
      <c r="T63" s="57">
        <v>26286</v>
      </c>
      <c r="U63" s="41">
        <v>3.0601092896174863E-2</v>
      </c>
    </row>
    <row r="64" spans="1:21" x14ac:dyDescent="0.25">
      <c r="A64" s="16" t="s">
        <v>51</v>
      </c>
      <c r="B64" s="49">
        <v>0.12609574091755157</v>
      </c>
      <c r="D64" s="49">
        <v>2.068536619269765E-2</v>
      </c>
      <c r="T64" s="57">
        <v>26292</v>
      </c>
      <c r="U64" s="41">
        <v>1.1642156862745098E-2</v>
      </c>
    </row>
    <row r="65" spans="1:21" x14ac:dyDescent="0.25">
      <c r="A65" s="16" t="s">
        <v>60</v>
      </c>
      <c r="B65" s="49">
        <v>7.132804672275278E-2</v>
      </c>
      <c r="D65" s="49">
        <v>2.9788441404352058E-2</v>
      </c>
      <c r="T65" s="57">
        <v>26300</v>
      </c>
      <c r="U65" s="41">
        <v>1.3623978201634877E-2</v>
      </c>
    </row>
    <row r="66" spans="1:21" x14ac:dyDescent="0.25">
      <c r="A66" s="16" t="s">
        <v>59</v>
      </c>
      <c r="B66" s="49">
        <v>0.12015750081570237</v>
      </c>
      <c r="D66" s="49">
        <v>1.7206014265564961E-2</v>
      </c>
      <c r="T66" s="57">
        <v>26307</v>
      </c>
      <c r="U66" s="41">
        <v>1.4227642276422764E-2</v>
      </c>
    </row>
    <row r="67" spans="1:21" x14ac:dyDescent="0.25">
      <c r="A67" s="16" t="s">
        <v>78</v>
      </c>
      <c r="B67" s="49">
        <v>9.0557379101913041E-2</v>
      </c>
      <c r="D67" s="49">
        <v>3.047120072342125E-2</v>
      </c>
      <c r="T67" s="57">
        <v>26314</v>
      </c>
      <c r="U67" s="41">
        <v>2.6377491207502931E-2</v>
      </c>
    </row>
    <row r="68" spans="1:21" x14ac:dyDescent="0.25">
      <c r="A68" s="16" t="s">
        <v>57</v>
      </c>
      <c r="B68" s="49">
        <v>8.4220574405522386E-2</v>
      </c>
      <c r="D68" s="49">
        <v>2.2473151587927426E-2</v>
      </c>
      <c r="T68" s="57">
        <v>26321</v>
      </c>
      <c r="U68" s="41">
        <v>3.0339805825242719E-2</v>
      </c>
    </row>
    <row r="69" spans="1:21" x14ac:dyDescent="0.25">
      <c r="A69" s="16" t="s">
        <v>63</v>
      </c>
      <c r="B69" s="49">
        <v>9.8394500442450059E-2</v>
      </c>
      <c r="D69" s="49">
        <v>2.9719637695156717E-2</v>
      </c>
      <c r="T69" s="57">
        <v>26328</v>
      </c>
      <c r="U69" s="41">
        <v>1.9117647058823531E-2</v>
      </c>
    </row>
    <row r="70" spans="1:21" x14ac:dyDescent="0.25">
      <c r="A70" s="16" t="s">
        <v>50</v>
      </c>
      <c r="B70" s="49">
        <v>6.9661132799984191E-2</v>
      </c>
      <c r="D70" s="49">
        <v>2.2065908576365277E-2</v>
      </c>
      <c r="T70" s="57">
        <v>26335</v>
      </c>
      <c r="U70" s="41">
        <v>4.8634812286689422E-2</v>
      </c>
    </row>
    <row r="71" spans="1:21" x14ac:dyDescent="0.25">
      <c r="A71" s="16" t="s">
        <v>70</v>
      </c>
      <c r="B71" s="49">
        <v>0.10681263089486083</v>
      </c>
      <c r="D71" s="49">
        <v>2.4231749197891155E-2</v>
      </c>
      <c r="T71" s="57">
        <v>26342</v>
      </c>
      <c r="U71" s="41">
        <v>1.4619883040935672E-2</v>
      </c>
    </row>
    <row r="72" spans="1:21" x14ac:dyDescent="0.25">
      <c r="A72" s="16" t="s">
        <v>64</v>
      </c>
      <c r="B72" s="49">
        <v>9.9018971627268082E-2</v>
      </c>
      <c r="D72" s="49">
        <v>3.3776683000202201E-2</v>
      </c>
      <c r="T72" s="57">
        <v>26349</v>
      </c>
      <c r="U72" s="41">
        <v>1.9186492709132769E-2</v>
      </c>
    </row>
    <row r="73" spans="1:21" x14ac:dyDescent="0.25">
      <c r="A73" s="16" t="s">
        <v>73</v>
      </c>
      <c r="B73" s="49">
        <v>6.3309237600002316E-2</v>
      </c>
      <c r="D73" s="49">
        <v>2.8882354558749202E-2</v>
      </c>
      <c r="T73" s="57">
        <v>26356</v>
      </c>
      <c r="U73" s="41">
        <v>2.3522316043425813E-2</v>
      </c>
    </row>
    <row r="74" spans="1:21" x14ac:dyDescent="0.25">
      <c r="A74" s="16" t="s">
        <v>68</v>
      </c>
      <c r="B74" s="49">
        <v>7.4184571556525483E-2</v>
      </c>
      <c r="D74" s="49">
        <v>2.3864459053029176E-2</v>
      </c>
      <c r="T74" s="57">
        <v>26363</v>
      </c>
      <c r="U74" s="41">
        <v>2.1739130434782608E-2</v>
      </c>
    </row>
    <row r="75" spans="1:21" x14ac:dyDescent="0.25">
      <c r="A75" s="16" t="s">
        <v>61</v>
      </c>
      <c r="B75" s="49">
        <v>0.10580708076942275</v>
      </c>
      <c r="D75" s="49">
        <v>2.8221941156624266E-2</v>
      </c>
      <c r="T75" s="57">
        <v>26370</v>
      </c>
      <c r="U75" s="41">
        <v>2.2316043425814235E-2</v>
      </c>
    </row>
    <row r="76" spans="1:21" x14ac:dyDescent="0.25">
      <c r="A76" s="16" t="s">
        <v>66</v>
      </c>
      <c r="B76" s="49">
        <v>0.11247264554277778</v>
      </c>
      <c r="D76" s="49">
        <v>3.3213454789322611E-2</v>
      </c>
      <c r="T76" s="57">
        <v>26377</v>
      </c>
      <c r="U76" s="41">
        <v>3.0091348737238045E-2</v>
      </c>
    </row>
    <row r="77" spans="1:21" x14ac:dyDescent="0.25">
      <c r="A77" s="16" t="s">
        <v>69</v>
      </c>
      <c r="B77" s="49">
        <v>6.4499633585956173E-2</v>
      </c>
      <c r="D77" s="49">
        <v>2.9614831783081153E-2</v>
      </c>
      <c r="T77" s="57">
        <v>26384</v>
      </c>
      <c r="U77" s="41">
        <v>9.3896713615023476E-3</v>
      </c>
    </row>
    <row r="78" spans="1:21" x14ac:dyDescent="0.25">
      <c r="A78" s="16" t="s">
        <v>81</v>
      </c>
      <c r="B78" s="49">
        <v>6.9347600039777885E-2</v>
      </c>
      <c r="D78" s="49">
        <v>3.1517663254706292E-2</v>
      </c>
      <c r="T78" s="57">
        <v>26391</v>
      </c>
      <c r="U78" s="41">
        <v>1.5756302521008403E-2</v>
      </c>
    </row>
    <row r="79" spans="1:21" x14ac:dyDescent="0.25">
      <c r="A79" s="16" t="s">
        <v>75</v>
      </c>
      <c r="B79" s="49">
        <v>6.680147705905759E-2</v>
      </c>
      <c r="D79" s="49">
        <v>2.5181937080715318E-2</v>
      </c>
      <c r="T79" s="57">
        <v>26405</v>
      </c>
      <c r="U79" s="41">
        <v>2.6525198938992044E-2</v>
      </c>
    </row>
    <row r="80" spans="1:21" x14ac:dyDescent="0.25">
      <c r="A80" s="16" t="s">
        <v>55</v>
      </c>
      <c r="B80" s="49">
        <v>0.19034702336556414</v>
      </c>
      <c r="D80" s="49">
        <v>2.5244810897768828E-2</v>
      </c>
      <c r="T80" s="57">
        <v>26412</v>
      </c>
      <c r="U80" s="41">
        <v>1.8779342723004695E-2</v>
      </c>
    </row>
    <row r="81" spans="1:21" x14ac:dyDescent="0.25">
      <c r="A81" s="16" t="s">
        <v>56</v>
      </c>
      <c r="B81" s="49">
        <v>0.2571483371426026</v>
      </c>
      <c r="D81" s="49">
        <v>2.3600931165941971E-2</v>
      </c>
      <c r="T81" s="57">
        <v>26419</v>
      </c>
      <c r="U81" s="41">
        <v>2.0833333333333332E-2</v>
      </c>
    </row>
    <row r="82" spans="1:21" x14ac:dyDescent="0.25">
      <c r="A82" s="16" t="s">
        <v>80</v>
      </c>
      <c r="B82" s="49">
        <v>0.15859173445376115</v>
      </c>
      <c r="D82" s="49">
        <v>2.0907823517336957E-2</v>
      </c>
      <c r="T82" s="57">
        <v>26426</v>
      </c>
      <c r="U82" s="41">
        <v>1.2274368231046931E-2</v>
      </c>
    </row>
    <row r="83" spans="1:21" x14ac:dyDescent="0.25">
      <c r="T83" s="57">
        <v>26433</v>
      </c>
      <c r="U83" s="41">
        <v>2.0169851380042462E-2</v>
      </c>
    </row>
    <row r="84" spans="1:21" ht="18.75" x14ac:dyDescent="0.3">
      <c r="A84" s="45"/>
      <c r="B84" s="6" t="str">
        <f>Sommaire!C33</f>
        <v>Figures 8-9 : Fréquence des noms de Dieu selon les prédicateurs</v>
      </c>
      <c r="C84" s="6"/>
      <c r="D84" s="6"/>
      <c r="E84" s="6"/>
      <c r="F84" s="6"/>
      <c r="G84" s="6"/>
      <c r="H84" s="6"/>
      <c r="I84" s="6"/>
      <c r="J84" s="6"/>
      <c r="T84" s="57">
        <v>25796</v>
      </c>
      <c r="U84" s="41">
        <v>2.4363233665559248E-2</v>
      </c>
    </row>
    <row r="85" spans="1:21" s="54" customFormat="1" x14ac:dyDescent="0.25">
      <c r="A85" s="59" t="s">
        <v>389</v>
      </c>
      <c r="B85" s="16"/>
      <c r="C85" s="55"/>
      <c r="D85" s="55"/>
      <c r="G85" s="56"/>
      <c r="H85" s="56"/>
      <c r="I85" s="56"/>
      <c r="J85" s="56"/>
      <c r="T85" s="57">
        <v>25803</v>
      </c>
      <c r="U85" s="41">
        <v>1.9193857965451054E-2</v>
      </c>
    </row>
    <row r="86" spans="1:21" x14ac:dyDescent="0.25">
      <c r="A86" s="38"/>
      <c r="B86" s="38" t="s">
        <v>2</v>
      </c>
      <c r="C86" s="38" t="s">
        <v>8</v>
      </c>
      <c r="D86" s="38" t="s">
        <v>1</v>
      </c>
      <c r="E86" s="38" t="s">
        <v>0</v>
      </c>
      <c r="F86" s="38" t="s">
        <v>6</v>
      </c>
      <c r="G86" s="38" t="s">
        <v>5</v>
      </c>
      <c r="H86" s="38" t="s">
        <v>4</v>
      </c>
      <c r="I86" s="49"/>
      <c r="J86" s="49"/>
      <c r="T86" s="57">
        <v>25810</v>
      </c>
      <c r="U86" s="41">
        <v>2.147766323024055E-2</v>
      </c>
    </row>
    <row r="87" spans="1:21" x14ac:dyDescent="0.25">
      <c r="A87" s="16" t="s">
        <v>33</v>
      </c>
      <c r="B87" s="49">
        <v>9.6406380116584468E-3</v>
      </c>
      <c r="C87" s="49">
        <v>1.0185125872782013E-2</v>
      </c>
      <c r="D87" s="49">
        <v>3.0427262827493434E-3</v>
      </c>
      <c r="E87" s="49">
        <v>1.1850618153865864E-3</v>
      </c>
      <c r="F87" s="49">
        <v>1.0249183268208316E-3</v>
      </c>
      <c r="G87" s="49">
        <v>1.3452053039523413E-3</v>
      </c>
      <c r="H87" s="49">
        <v>9.928896291076805E-4</v>
      </c>
      <c r="I87" s="49"/>
      <c r="J87" s="49"/>
      <c r="S87" s="51"/>
      <c r="T87" s="57">
        <v>25817</v>
      </c>
      <c r="U87" s="41">
        <v>8.3449235048678721E-3</v>
      </c>
    </row>
    <row r="88" spans="1:21" x14ac:dyDescent="0.25">
      <c r="A88" s="16" t="s">
        <v>17</v>
      </c>
      <c r="B88" s="49">
        <v>6.2932359723289781E-3</v>
      </c>
      <c r="C88" s="49">
        <v>1.1289392774788624E-3</v>
      </c>
      <c r="D88" s="49">
        <v>3.9632974634896236E-3</v>
      </c>
      <c r="E88" s="49">
        <v>2.6421983089930823E-4</v>
      </c>
      <c r="F88" s="49">
        <v>1.4411990776325902E-4</v>
      </c>
      <c r="G88" s="49">
        <v>1.1049192928516526E-3</v>
      </c>
      <c r="H88" s="49">
        <v>4.8039969254419675E-4</v>
      </c>
      <c r="I88" s="49"/>
      <c r="J88" s="49"/>
      <c r="S88" s="51"/>
      <c r="T88" s="55">
        <v>25824</v>
      </c>
      <c r="U88" s="66">
        <v>1.5570934256055362E-2</v>
      </c>
    </row>
    <row r="89" spans="1:21" x14ac:dyDescent="0.25">
      <c r="A89" s="16" t="s">
        <v>45</v>
      </c>
      <c r="B89" s="49">
        <v>6.1751265900950973E-3</v>
      </c>
      <c r="C89" s="49">
        <v>4.6519286978716394E-3</v>
      </c>
      <c r="D89" s="49">
        <v>2.058375530031699E-3</v>
      </c>
      <c r="E89" s="49">
        <v>2.7582232102424768E-3</v>
      </c>
      <c r="F89" s="49">
        <v>1.0291877650158495E-3</v>
      </c>
      <c r="G89" s="49">
        <v>6.9984768021077765E-4</v>
      </c>
      <c r="H89" s="49">
        <v>1.6467004240253592E-4</v>
      </c>
      <c r="I89" s="49"/>
      <c r="J89" s="49"/>
      <c r="S89" s="51"/>
      <c r="T89" s="57">
        <v>25831</v>
      </c>
      <c r="U89" s="41">
        <v>8.0385852090032149E-3</v>
      </c>
    </row>
    <row r="90" spans="1:21" x14ac:dyDescent="0.25">
      <c r="A90" s="16" t="s">
        <v>34</v>
      </c>
      <c r="B90" s="49">
        <v>8.0579474051663946E-3</v>
      </c>
      <c r="C90" s="49">
        <v>1.0210612054922038E-2</v>
      </c>
      <c r="D90" s="49">
        <v>2.7344659064463578E-3</v>
      </c>
      <c r="E90" s="49">
        <v>8.5815685361880379E-4</v>
      </c>
      <c r="F90" s="49">
        <v>7.5634163369792877E-4</v>
      </c>
      <c r="G90" s="49">
        <v>6.9816150802885736E-4</v>
      </c>
      <c r="H90" s="49">
        <v>5.2362113102164302E-4</v>
      </c>
      <c r="I90" s="49"/>
      <c r="J90" s="49"/>
      <c r="S90" s="51"/>
      <c r="T90" s="57">
        <v>25838</v>
      </c>
      <c r="U90" s="41">
        <v>1.9230769230769232E-2</v>
      </c>
    </row>
    <row r="91" spans="1:21" x14ac:dyDescent="0.25">
      <c r="A91" s="16" t="s">
        <v>46</v>
      </c>
      <c r="B91" s="49">
        <v>6.2028131950753419E-3</v>
      </c>
      <c r="C91" s="49">
        <v>1.9109677015131106E-3</v>
      </c>
      <c r="D91" s="49">
        <v>8.4583816296481939E-4</v>
      </c>
      <c r="E91" s="49">
        <v>2.192913755834717E-4</v>
      </c>
      <c r="F91" s="49">
        <v>8.7716550233388679E-4</v>
      </c>
      <c r="G91" s="49">
        <v>1.2530935747626955E-4</v>
      </c>
      <c r="H91" s="49">
        <v>9.3982018107202162E-5</v>
      </c>
      <c r="I91" s="49"/>
      <c r="J91" s="49"/>
      <c r="S91" s="51"/>
      <c r="T91" s="57">
        <v>25845</v>
      </c>
      <c r="U91" s="41">
        <v>1.4847161572052401E-2</v>
      </c>
    </row>
    <row r="92" spans="1:21" x14ac:dyDescent="0.25">
      <c r="A92" s="16" t="s">
        <v>15</v>
      </c>
      <c r="B92" s="49">
        <v>3.3765879805581211E-3</v>
      </c>
      <c r="C92" s="49">
        <v>5.8901019033054218E-3</v>
      </c>
      <c r="D92" s="49">
        <v>1.7867147161697682E-3</v>
      </c>
      <c r="E92" s="49">
        <v>6.6623260602940505E-4</v>
      </c>
      <c r="F92" s="49">
        <v>5.6024105507018155E-4</v>
      </c>
      <c r="G92" s="49">
        <v>5.6024105507018155E-4</v>
      </c>
      <c r="H92" s="49">
        <v>1.0599155095922354E-4</v>
      </c>
      <c r="I92" s="49"/>
      <c r="J92" s="49"/>
      <c r="S92" s="51"/>
      <c r="T92" s="57">
        <v>25852</v>
      </c>
      <c r="U92" s="41">
        <v>8.1159420289855077E-3</v>
      </c>
    </row>
    <row r="93" spans="1:21" x14ac:dyDescent="0.25">
      <c r="A93" s="16" t="s">
        <v>16</v>
      </c>
      <c r="B93" s="49">
        <v>7.4806172747764483E-3</v>
      </c>
      <c r="C93" s="49">
        <v>2.0807014936464292E-3</v>
      </c>
      <c r="D93" s="49">
        <v>3.5173763344975351E-3</v>
      </c>
      <c r="E93" s="49">
        <v>7.9264818805578261E-4</v>
      </c>
      <c r="F93" s="49">
        <v>8.6695895568601224E-4</v>
      </c>
      <c r="G93" s="49">
        <v>3.963240940278913E-4</v>
      </c>
      <c r="H93" s="49">
        <v>4.2109434990463451E-4</v>
      </c>
      <c r="I93" s="49"/>
      <c r="J93" s="49"/>
      <c r="S93" s="51"/>
      <c r="T93" s="57">
        <v>25859</v>
      </c>
      <c r="U93" s="41">
        <v>2.5510204081632651E-3</v>
      </c>
    </row>
    <row r="94" spans="1:21" x14ac:dyDescent="0.25">
      <c r="A94" s="16" t="s">
        <v>38</v>
      </c>
      <c r="B94" s="49">
        <v>9.2842914058053495E-3</v>
      </c>
      <c r="C94" s="49">
        <v>9.3198634035287428E-3</v>
      </c>
      <c r="D94" s="49">
        <v>2.3121798520204895E-3</v>
      </c>
      <c r="E94" s="49">
        <v>8.5372794536141153E-4</v>
      </c>
      <c r="F94" s="49">
        <v>7.8258394991462721E-4</v>
      </c>
      <c r="G94" s="49">
        <v>1.3161639157655094E-3</v>
      </c>
      <c r="H94" s="49">
        <v>4.6243597040409787E-4</v>
      </c>
      <c r="I94" s="49"/>
      <c r="J94" s="49"/>
      <c r="S94" s="51"/>
      <c r="T94" s="57">
        <v>25866</v>
      </c>
      <c r="U94" s="41">
        <v>1.2482662968099861E-2</v>
      </c>
    </row>
    <row r="95" spans="1:21" x14ac:dyDescent="0.25">
      <c r="A95" s="16" t="s">
        <v>32</v>
      </c>
      <c r="B95" s="49">
        <v>1.0966197733489644E-2</v>
      </c>
      <c r="C95" s="49">
        <v>7.6445877295818676E-3</v>
      </c>
      <c r="D95" s="49">
        <v>2.9796795623290347E-3</v>
      </c>
      <c r="E95" s="49">
        <v>9.2809691285658459E-4</v>
      </c>
      <c r="F95" s="49">
        <v>3.9077764751856197E-4</v>
      </c>
      <c r="G95" s="49">
        <v>1.0990621336459555E-3</v>
      </c>
      <c r="H95" s="49">
        <v>5.6174286830793277E-4</v>
      </c>
      <c r="I95" s="49"/>
      <c r="J95" s="49"/>
      <c r="S95" s="51"/>
      <c r="T95" s="57">
        <v>25873</v>
      </c>
      <c r="U95" s="41">
        <v>1.8987341772151899E-2</v>
      </c>
    </row>
    <row r="96" spans="1:21" x14ac:dyDescent="0.25">
      <c r="A96" s="16" t="s">
        <v>23</v>
      </c>
      <c r="B96" s="49">
        <v>1.0762474686568522E-2</v>
      </c>
      <c r="C96" s="49">
        <v>2.8442057839768824E-3</v>
      </c>
      <c r="D96" s="49">
        <v>4.6189901931784566E-3</v>
      </c>
      <c r="E96" s="49">
        <v>5.915948030671915E-4</v>
      </c>
      <c r="F96" s="49">
        <v>7.0536303442626683E-4</v>
      </c>
      <c r="G96" s="49">
        <v>6.1434844933900656E-4</v>
      </c>
      <c r="H96" s="49">
        <v>2.2753646271815058E-4</v>
      </c>
      <c r="I96" s="49"/>
      <c r="J96" s="49"/>
      <c r="S96" s="51"/>
      <c r="T96" s="57">
        <v>25880</v>
      </c>
      <c r="U96" s="41">
        <v>1.0139416983523447E-2</v>
      </c>
    </row>
    <row r="97" spans="1:21" x14ac:dyDescent="0.25">
      <c r="A97" s="16" t="s">
        <v>12</v>
      </c>
      <c r="B97" s="49">
        <v>1.4734406370163678E-2</v>
      </c>
      <c r="C97" s="49">
        <v>6.5675298601422395E-3</v>
      </c>
      <c r="D97" s="49">
        <v>3.5389798210092899E-3</v>
      </c>
      <c r="E97" s="49">
        <v>4.5938680368870586E-3</v>
      </c>
      <c r="F97" s="49">
        <v>1.0889168680028585E-3</v>
      </c>
      <c r="G97" s="49">
        <v>1.1910028243781263E-3</v>
      </c>
      <c r="H97" s="49">
        <v>1.3951747371286623E-3</v>
      </c>
      <c r="I97" s="49"/>
      <c r="J97" s="49"/>
      <c r="S97" s="51"/>
      <c r="T97" s="57">
        <v>25887</v>
      </c>
      <c r="U97" s="41">
        <v>8.6455331412103754E-3</v>
      </c>
    </row>
    <row r="98" spans="1:21" x14ac:dyDescent="0.25">
      <c r="A98" s="16" t="s">
        <v>31</v>
      </c>
      <c r="B98" s="49">
        <v>9.8980285520054393E-3</v>
      </c>
      <c r="C98" s="49">
        <v>6.1182868796736912E-3</v>
      </c>
      <c r="D98" s="49">
        <v>7.8314072059823252E-3</v>
      </c>
      <c r="E98" s="49">
        <v>1.0333106730115568E-3</v>
      </c>
      <c r="F98" s="49">
        <v>2.8823929299796056E-3</v>
      </c>
      <c r="G98" s="49">
        <v>2.0394289598912306E-3</v>
      </c>
      <c r="H98" s="49">
        <v>4.0788579197824609E-4</v>
      </c>
      <c r="I98" s="49"/>
      <c r="J98" s="49"/>
      <c r="S98" s="51"/>
      <c r="T98" s="57">
        <v>25894</v>
      </c>
      <c r="U98" s="41">
        <v>2.2641509433962263E-2</v>
      </c>
    </row>
    <row r="99" spans="1:21" x14ac:dyDescent="0.25">
      <c r="A99" s="16" t="s">
        <v>43</v>
      </c>
      <c r="B99" s="49">
        <v>9.7864180387489258E-3</v>
      </c>
      <c r="C99" s="49">
        <v>9.0590491304635319E-3</v>
      </c>
      <c r="D99" s="49">
        <v>3.1739734179726245E-3</v>
      </c>
      <c r="E99" s="49">
        <v>9.257422469086821E-4</v>
      </c>
      <c r="F99" s="49">
        <v>1.6531111551940753E-3</v>
      </c>
      <c r="G99" s="49">
        <v>8.5961780070091911E-4</v>
      </c>
      <c r="H99" s="49">
        <v>9.918666931164452E-4</v>
      </c>
      <c r="I99" s="49"/>
      <c r="J99" s="49"/>
      <c r="S99" s="51"/>
      <c r="T99" s="57">
        <v>25901</v>
      </c>
      <c r="U99" s="41">
        <v>2.3178807947019868E-2</v>
      </c>
    </row>
    <row r="100" spans="1:21" x14ac:dyDescent="0.25">
      <c r="A100" s="16" t="s">
        <v>25</v>
      </c>
      <c r="B100" s="49">
        <v>8.7789948453608248E-3</v>
      </c>
      <c r="C100" s="49">
        <v>1.7719072164948454E-3</v>
      </c>
      <c r="D100" s="49">
        <v>7.2218642611683852E-3</v>
      </c>
      <c r="E100" s="49">
        <v>2.2014604810996563E-3</v>
      </c>
      <c r="F100" s="49">
        <v>1.55713058419244E-3</v>
      </c>
      <c r="G100" s="49">
        <v>1.8792955326460482E-3</v>
      </c>
      <c r="H100" s="49">
        <v>2.0672250859106529E-3</v>
      </c>
      <c r="I100" s="49"/>
      <c r="J100" s="49"/>
      <c r="S100" s="51"/>
      <c r="T100" s="57">
        <v>25908</v>
      </c>
      <c r="U100" s="41">
        <v>1.2057877813504822E-2</v>
      </c>
    </row>
    <row r="101" spans="1:21" x14ac:dyDescent="0.25">
      <c r="A101" s="16" t="s">
        <v>21</v>
      </c>
      <c r="B101" s="49">
        <v>8.8970331167343795E-3</v>
      </c>
      <c r="C101" s="49">
        <v>7.6553062725289037E-3</v>
      </c>
      <c r="D101" s="49">
        <v>4.8222401716717499E-3</v>
      </c>
      <c r="E101" s="49">
        <v>7.2333602575076251E-4</v>
      </c>
      <c r="F101" s="49">
        <v>3.1344561115866375E-4</v>
      </c>
      <c r="G101" s="49">
        <v>1.060892837767785E-3</v>
      </c>
      <c r="H101" s="49">
        <v>5.4250201931307191E-4</v>
      </c>
      <c r="I101" s="49"/>
      <c r="J101" s="49"/>
      <c r="S101" s="51"/>
      <c r="T101" s="57">
        <v>25915</v>
      </c>
      <c r="U101" s="41">
        <v>1.0869565217391304E-2</v>
      </c>
    </row>
    <row r="102" spans="1:21" x14ac:dyDescent="0.25">
      <c r="A102" s="16" t="s">
        <v>14</v>
      </c>
      <c r="B102" s="49">
        <v>8.1541690780778959E-3</v>
      </c>
      <c r="C102" s="49">
        <v>7.2644663079062619E-3</v>
      </c>
      <c r="D102" s="49">
        <v>6.2451951731465243E-3</v>
      </c>
      <c r="E102" s="49">
        <v>1.5202688111670653E-3</v>
      </c>
      <c r="F102" s="49">
        <v>1.1142879354576786E-3</v>
      </c>
      <c r="G102" s="49">
        <v>1.5289067021396056E-3</v>
      </c>
      <c r="H102" s="49">
        <v>5.5282502224256928E-4</v>
      </c>
      <c r="I102" s="49"/>
      <c r="J102" s="49"/>
      <c r="S102" s="51"/>
      <c r="T102" s="57">
        <v>25922</v>
      </c>
      <c r="U102" s="41">
        <v>3.3613445378151259E-2</v>
      </c>
    </row>
    <row r="103" spans="1:21" x14ac:dyDescent="0.25">
      <c r="A103" s="16" t="s">
        <v>42</v>
      </c>
      <c r="B103" s="49">
        <v>1.0457417995786939E-2</v>
      </c>
      <c r="C103" s="49">
        <v>8.2756545290400239E-3</v>
      </c>
      <c r="D103" s="49">
        <v>1.429431236834186E-3</v>
      </c>
      <c r="E103" s="49">
        <v>2.9340956966596447E-3</v>
      </c>
      <c r="F103" s="49">
        <v>1.8808305747818237E-3</v>
      </c>
      <c r="G103" s="49">
        <v>1.8055973517905506E-3</v>
      </c>
      <c r="H103" s="49">
        <v>7.5233222991272946E-4</v>
      </c>
      <c r="I103" s="49"/>
      <c r="J103" s="49"/>
      <c r="S103" s="51"/>
      <c r="T103" s="57">
        <v>25927</v>
      </c>
      <c r="U103" s="41">
        <v>8.8987764182424916E-3</v>
      </c>
    </row>
    <row r="104" spans="1:21" x14ac:dyDescent="0.25">
      <c r="A104" s="16" t="s">
        <v>41</v>
      </c>
      <c r="B104" s="49">
        <v>7.0866526562729099E-3</v>
      </c>
      <c r="C104" s="49">
        <v>8.7483505205024192E-3</v>
      </c>
      <c r="D104" s="49">
        <v>3.3722691950540053E-3</v>
      </c>
      <c r="E104" s="49">
        <v>1.515077464444553E-3</v>
      </c>
      <c r="F104" s="49">
        <v>4.3986119935487023E-4</v>
      </c>
      <c r="G104" s="49">
        <v>8.3084893211475487E-4</v>
      </c>
      <c r="H104" s="49">
        <v>1.9549386637994232E-4</v>
      </c>
      <c r="I104" s="49"/>
      <c r="J104" s="49"/>
      <c r="S104" s="51"/>
      <c r="T104" s="57">
        <v>25929</v>
      </c>
      <c r="U104" s="41">
        <v>2.4578651685393259E-2</v>
      </c>
    </row>
    <row r="105" spans="1:21" x14ac:dyDescent="0.25">
      <c r="A105" s="16" t="s">
        <v>28</v>
      </c>
      <c r="B105" s="49">
        <v>1.1032245632065776E-2</v>
      </c>
      <c r="C105" s="49">
        <v>5.2993319630010279E-3</v>
      </c>
      <c r="D105" s="49">
        <v>3.3723021582733815E-4</v>
      </c>
      <c r="E105" s="49">
        <v>1.0116906474820144E-3</v>
      </c>
      <c r="F105" s="49">
        <v>9.1533915724563203E-4</v>
      </c>
      <c r="G105" s="49">
        <v>1.7664439876670093E-3</v>
      </c>
      <c r="H105" s="49">
        <v>7.0657759506680367E-4</v>
      </c>
      <c r="I105" s="49"/>
      <c r="J105" s="49"/>
      <c r="S105" s="51"/>
      <c r="T105" s="57">
        <v>25936</v>
      </c>
      <c r="U105" s="41">
        <v>4.0376850605652759E-3</v>
      </c>
    </row>
    <row r="106" spans="1:21" x14ac:dyDescent="0.25">
      <c r="A106" s="16" t="s">
        <v>13</v>
      </c>
      <c r="B106" s="49">
        <v>1.1219823460597682E-2</v>
      </c>
      <c r="C106" s="49">
        <v>9.3587153036265025E-3</v>
      </c>
      <c r="D106" s="49">
        <v>6.3809422524726156E-4</v>
      </c>
      <c r="E106" s="49">
        <v>3.1372966074657022E-3</v>
      </c>
      <c r="F106" s="49">
        <v>3.7222163139423589E-4</v>
      </c>
      <c r="G106" s="49">
        <v>2.6587259385302562E-4</v>
      </c>
      <c r="H106" s="49">
        <v>1.4357120068063385E-3</v>
      </c>
      <c r="I106" s="49"/>
      <c r="J106" s="49"/>
      <c r="S106" s="51"/>
      <c r="T106" s="57">
        <v>25943</v>
      </c>
      <c r="U106" s="41">
        <v>2.0154119739181981E-2</v>
      </c>
    </row>
    <row r="107" spans="1:21" x14ac:dyDescent="0.25">
      <c r="A107" s="16" t="s">
        <v>29</v>
      </c>
      <c r="B107" s="49">
        <v>1.6064257028112448E-2</v>
      </c>
      <c r="C107" s="49">
        <v>4.9392974195633108E-3</v>
      </c>
      <c r="D107" s="49">
        <v>5.5855606333379496E-3</v>
      </c>
      <c r="E107" s="49">
        <v>9.2323316253519827E-4</v>
      </c>
      <c r="F107" s="49">
        <v>7.8474818815491855E-4</v>
      </c>
      <c r="G107" s="49">
        <v>9.6939482066195814E-4</v>
      </c>
      <c r="H107" s="49">
        <v>1.7541430088168768E-3</v>
      </c>
      <c r="I107" s="49"/>
      <c r="J107" s="49"/>
      <c r="S107" s="51"/>
      <c r="T107" s="57">
        <v>25950</v>
      </c>
      <c r="U107" s="41">
        <v>1.2396694214876033E-2</v>
      </c>
    </row>
    <row r="108" spans="1:21" x14ac:dyDescent="0.25">
      <c r="A108" s="16" t="s">
        <v>18</v>
      </c>
      <c r="B108" s="49">
        <v>5.7155017784939043E-3</v>
      </c>
      <c r="C108" s="49">
        <v>5.3810841212416013E-3</v>
      </c>
      <c r="D108" s="49">
        <v>1.7328914966710243E-3</v>
      </c>
      <c r="E108" s="49">
        <v>8.2084334052837994E-4</v>
      </c>
      <c r="F108" s="49">
        <v>3.3441765725230292E-4</v>
      </c>
      <c r="G108" s="49">
        <v>1.3072690238044569E-3</v>
      </c>
      <c r="H108" s="49">
        <v>3.3441765725230292E-4</v>
      </c>
      <c r="I108" s="49"/>
      <c r="J108" s="49"/>
      <c r="S108" s="51"/>
      <c r="T108" s="57">
        <v>25971</v>
      </c>
      <c r="U108" s="41">
        <v>1.0094637223974764E-2</v>
      </c>
    </row>
    <row r="109" spans="1:21" x14ac:dyDescent="0.25">
      <c r="A109" s="16" t="s">
        <v>40</v>
      </c>
      <c r="B109" s="49">
        <v>1.3532128676768495E-2</v>
      </c>
      <c r="C109" s="49">
        <v>9.6426545660805441E-3</v>
      </c>
      <c r="D109" s="49">
        <v>3.6463819787699537E-3</v>
      </c>
      <c r="E109" s="49">
        <v>3.7679280447289521E-3</v>
      </c>
      <c r="F109" s="49">
        <v>1.1344299489506524E-3</v>
      </c>
      <c r="G109" s="49">
        <v>3.1601977149339601E-3</v>
      </c>
      <c r="H109" s="49">
        <v>1.5395835021473139E-3</v>
      </c>
      <c r="I109" s="49"/>
      <c r="J109" s="49"/>
      <c r="S109" s="51"/>
      <c r="T109" s="57">
        <v>26027</v>
      </c>
      <c r="U109" s="41">
        <v>1.4672686230248307E-2</v>
      </c>
    </row>
    <row r="110" spans="1:21" x14ac:dyDescent="0.25">
      <c r="A110" s="16" t="s">
        <v>37</v>
      </c>
      <c r="B110" s="49">
        <v>1.1268567526037221E-2</v>
      </c>
      <c r="C110" s="49">
        <v>6.8721188321666385E-3</v>
      </c>
      <c r="D110" s="49">
        <v>7.0855386716749185E-3</v>
      </c>
      <c r="E110" s="49">
        <v>1.7927266518695578E-3</v>
      </c>
      <c r="F110" s="49">
        <v>2.1341983950828071E-3</v>
      </c>
      <c r="G110" s="49">
        <v>1.8354106197712139E-3</v>
      </c>
      <c r="H110" s="49">
        <v>1.3658869728529965E-3</v>
      </c>
      <c r="I110" s="49"/>
      <c r="J110" s="49"/>
      <c r="S110" s="51"/>
      <c r="T110" s="57">
        <v>26055</v>
      </c>
      <c r="U110" s="41">
        <v>8.8062622309197647E-3</v>
      </c>
    </row>
    <row r="111" spans="1:21" x14ac:dyDescent="0.25">
      <c r="A111" s="16" t="s">
        <v>36</v>
      </c>
      <c r="B111" s="49">
        <v>1.3228232309504394E-2</v>
      </c>
      <c r="C111" s="49">
        <v>1.2548699827851771E-2</v>
      </c>
      <c r="D111" s="49">
        <v>6.79532481652623E-4</v>
      </c>
      <c r="E111" s="49">
        <v>7.2483464709613117E-4</v>
      </c>
      <c r="F111" s="49">
        <v>1.359064963305246E-3</v>
      </c>
      <c r="G111" s="49">
        <v>4.2584035516897711E-3</v>
      </c>
      <c r="H111" s="49">
        <v>1.0419498052006886E-3</v>
      </c>
      <c r="I111" s="49"/>
      <c r="J111" s="49"/>
      <c r="S111" s="51"/>
      <c r="T111" s="57">
        <v>26062</v>
      </c>
      <c r="U111" s="41">
        <v>1.7391304347826087E-2</v>
      </c>
    </row>
    <row r="112" spans="1:21" x14ac:dyDescent="0.25">
      <c r="A112" s="16" t="s">
        <v>39</v>
      </c>
      <c r="B112" s="49">
        <v>9.9923392066082663E-3</v>
      </c>
      <c r="C112" s="49">
        <v>3.2641641408253674E-3</v>
      </c>
      <c r="D112" s="49">
        <v>4.4299370482629987E-3</v>
      </c>
      <c r="E112" s="49">
        <v>5.329247576857742E-4</v>
      </c>
      <c r="F112" s="49">
        <v>3.6638577090896979E-4</v>
      </c>
      <c r="G112" s="49">
        <v>5.329247576857742E-4</v>
      </c>
      <c r="H112" s="49">
        <v>1.9984678413216534E-4</v>
      </c>
      <c r="I112" s="49"/>
      <c r="J112" s="49"/>
      <c r="S112" s="51"/>
      <c r="T112" s="57">
        <v>26069</v>
      </c>
      <c r="U112" s="41">
        <v>1.1086474501108648E-2</v>
      </c>
    </row>
    <row r="113" spans="1:21" x14ac:dyDescent="0.25">
      <c r="A113" s="16" t="s">
        <v>30</v>
      </c>
      <c r="B113" s="49">
        <v>9.1832986408718013E-3</v>
      </c>
      <c r="C113" s="49">
        <v>2.5713236194441044E-3</v>
      </c>
      <c r="D113" s="49">
        <v>3.6120974654095749E-3</v>
      </c>
      <c r="E113" s="49">
        <v>7.9588588220888946E-4</v>
      </c>
      <c r="F113" s="49">
        <v>5.5099791845230803E-4</v>
      </c>
      <c r="G113" s="49">
        <v>4.2855393657401737E-4</v>
      </c>
      <c r="H113" s="49">
        <v>9.183298640871801E-5</v>
      </c>
      <c r="I113" s="49"/>
      <c r="J113" s="49"/>
      <c r="S113" s="51"/>
      <c r="T113" s="57">
        <v>26076</v>
      </c>
      <c r="U113" s="41">
        <v>7.0175438596491229E-3</v>
      </c>
    </row>
    <row r="114" spans="1:21" x14ac:dyDescent="0.25">
      <c r="A114" s="16" t="s">
        <v>19</v>
      </c>
      <c r="B114" s="49">
        <v>1.1319255974051765E-2</v>
      </c>
      <c r="C114" s="49">
        <v>7.94333752565036E-3</v>
      </c>
      <c r="D114" s="49">
        <v>3.0228812250391651E-3</v>
      </c>
      <c r="E114" s="49">
        <v>3.9716687628251802E-4</v>
      </c>
      <c r="F114" s="49">
        <v>5.7368548796363716E-4</v>
      </c>
      <c r="G114" s="49">
        <v>7.2813927318461636E-4</v>
      </c>
      <c r="H114" s="49">
        <v>4.4129652920279783E-4</v>
      </c>
      <c r="I114" s="49"/>
      <c r="J114" s="49"/>
      <c r="S114" s="51"/>
      <c r="T114" s="57">
        <v>26083</v>
      </c>
      <c r="U114" s="41">
        <v>3.6713286713286712E-2</v>
      </c>
    </row>
    <row r="115" spans="1:21" x14ac:dyDescent="0.25">
      <c r="A115" s="16" t="s">
        <v>24</v>
      </c>
      <c r="B115" s="49">
        <v>1.3562944391927994E-2</v>
      </c>
      <c r="C115" s="49">
        <v>6.3704738810570873E-3</v>
      </c>
      <c r="D115" s="49">
        <v>4.8086802844108335E-3</v>
      </c>
      <c r="E115" s="49">
        <v>2.8358883728576713E-3</v>
      </c>
      <c r="F115" s="49">
        <v>2.4659898894414532E-3</v>
      </c>
      <c r="G115" s="49">
        <v>1.9727919115531626E-3</v>
      </c>
      <c r="H115" s="49">
        <v>2.8769882043483619E-4</v>
      </c>
      <c r="I115" s="49"/>
      <c r="J115" s="49"/>
      <c r="S115" s="51"/>
      <c r="T115" s="57">
        <v>26090</v>
      </c>
      <c r="U115" s="41">
        <v>1.8154311649016642E-2</v>
      </c>
    </row>
    <row r="116" spans="1:21" x14ac:dyDescent="0.25">
      <c r="A116" s="16" t="s">
        <v>22</v>
      </c>
      <c r="B116" s="49">
        <v>7.0041457560549858E-3</v>
      </c>
      <c r="C116" s="49">
        <v>7.1350643683176958E-3</v>
      </c>
      <c r="D116" s="49">
        <v>3.5784420685140736E-3</v>
      </c>
      <c r="E116" s="49">
        <v>1.1564477416539385E-3</v>
      </c>
      <c r="F116" s="49">
        <v>6.3277329260309843E-4</v>
      </c>
      <c r="G116" s="49">
        <v>2.0074187213615534E-3</v>
      </c>
      <c r="H116" s="49">
        <v>3.2729653065677506E-4</v>
      </c>
      <c r="I116" s="49"/>
      <c r="J116" s="49"/>
      <c r="S116" s="51"/>
      <c r="T116" s="57">
        <v>26097</v>
      </c>
      <c r="U116" s="41">
        <v>1.9895287958115182E-2</v>
      </c>
    </row>
    <row r="117" spans="1:21" x14ac:dyDescent="0.25">
      <c r="A117" s="16" t="s">
        <v>44</v>
      </c>
      <c r="B117" s="49">
        <v>6.8095477026736432E-3</v>
      </c>
      <c r="C117" s="49">
        <v>9.3900078847394455E-3</v>
      </c>
      <c r="D117" s="49">
        <v>6.4511504551645045E-4</v>
      </c>
      <c r="E117" s="49">
        <v>7.8847394452010605E-4</v>
      </c>
      <c r="F117" s="49">
        <v>1.7919862375456958E-3</v>
      </c>
      <c r="G117" s="49">
        <v>6.4511504551645045E-4</v>
      </c>
      <c r="H117" s="49">
        <v>1.4335889900365565E-4</v>
      </c>
      <c r="I117" s="49"/>
      <c r="J117" s="49"/>
      <c r="S117" s="51"/>
      <c r="T117" s="57">
        <v>26104</v>
      </c>
      <c r="U117" s="41">
        <v>1.3392857142857142E-2</v>
      </c>
    </row>
    <row r="118" spans="1:21" x14ac:dyDescent="0.25">
      <c r="A118" s="16" t="s">
        <v>27</v>
      </c>
      <c r="B118" s="49">
        <v>1.2785127375400527E-2</v>
      </c>
      <c r="C118" s="49">
        <v>4.7270073918974651E-3</v>
      </c>
      <c r="D118" s="49">
        <v>2.3159163732115098E-3</v>
      </c>
      <c r="E118" s="49">
        <v>5.8691031375908127E-4</v>
      </c>
      <c r="F118" s="49">
        <v>3.1724881824815202E-4</v>
      </c>
      <c r="G118" s="49">
        <v>1.395894800291869E-3</v>
      </c>
      <c r="H118" s="49">
        <v>4.2828590463500523E-4</v>
      </c>
      <c r="I118" s="49"/>
      <c r="J118" s="49"/>
      <c r="S118" s="51"/>
      <c r="T118" s="57">
        <v>26111</v>
      </c>
      <c r="U118" s="41">
        <v>9.1074681238615673E-3</v>
      </c>
    </row>
    <row r="119" spans="1:21" x14ac:dyDescent="0.25">
      <c r="A119" s="16" t="s">
        <v>35</v>
      </c>
      <c r="B119" s="49">
        <v>1.4092931105379238E-2</v>
      </c>
      <c r="C119" s="49">
        <v>7.2146835632312814E-3</v>
      </c>
      <c r="D119" s="49">
        <v>1.3831258644536654E-3</v>
      </c>
      <c r="E119" s="49">
        <v>7.8501738252775594E-4</v>
      </c>
      <c r="F119" s="49">
        <v>3.7381780120369332E-4</v>
      </c>
      <c r="G119" s="49">
        <v>1.3831258644536654E-3</v>
      </c>
      <c r="H119" s="49">
        <v>1.2335987439721879E-3</v>
      </c>
      <c r="I119" s="49"/>
      <c r="J119" s="49"/>
      <c r="S119" s="51"/>
      <c r="T119" s="57">
        <v>26118</v>
      </c>
      <c r="U119" s="41">
        <v>2.1356783919597989E-2</v>
      </c>
    </row>
    <row r="120" spans="1:21" x14ac:dyDescent="0.25">
      <c r="A120" s="16" t="s">
        <v>20</v>
      </c>
      <c r="B120" s="49">
        <v>1.0876984069357111E-2</v>
      </c>
      <c r="C120" s="49">
        <v>5.039136811838341E-3</v>
      </c>
      <c r="D120" s="49">
        <v>2.338043304628164E-3</v>
      </c>
      <c r="E120" s="49">
        <v>5.0827028361481827E-4</v>
      </c>
      <c r="F120" s="49">
        <v>1.2779367130886859E-3</v>
      </c>
      <c r="G120" s="49">
        <v>6.2444634844106243E-4</v>
      </c>
      <c r="H120" s="49">
        <v>4.9374827551153775E-4</v>
      </c>
      <c r="I120" s="49"/>
      <c r="J120" s="49"/>
      <c r="S120" s="51"/>
      <c r="T120" s="57">
        <v>26125</v>
      </c>
      <c r="U120" s="41">
        <v>3.6478984932593182E-2</v>
      </c>
    </row>
    <row r="121" spans="1:21" x14ac:dyDescent="0.25">
      <c r="A121" s="16" t="s">
        <v>26</v>
      </c>
      <c r="B121" s="49">
        <v>1.1665888940737284E-2</v>
      </c>
      <c r="C121" s="49">
        <v>1.1549230051329911E-2</v>
      </c>
      <c r="D121" s="49">
        <v>9.3327111525898275E-4</v>
      </c>
      <c r="E121" s="49">
        <v>1.2249183387774149E-3</v>
      </c>
      <c r="F121" s="49">
        <v>8.1661222585160986E-4</v>
      </c>
      <c r="G121" s="49">
        <v>2.2165188987400839E-3</v>
      </c>
      <c r="H121" s="49">
        <v>1.1665888940737283E-3</v>
      </c>
      <c r="I121" s="49"/>
      <c r="J121" s="49"/>
      <c r="T121" s="57">
        <v>26132</v>
      </c>
      <c r="U121" s="41">
        <v>3.1199999999999999E-2</v>
      </c>
    </row>
    <row r="122" spans="1:21" x14ac:dyDescent="0.25">
      <c r="A122" s="16" t="s">
        <v>297</v>
      </c>
      <c r="B122" s="49">
        <v>9.3005539654011996E-3</v>
      </c>
      <c r="C122" s="49">
        <v>6.6941800350573564E-3</v>
      </c>
      <c r="D122" s="49">
        <v>1.4581345640388441E-3</v>
      </c>
      <c r="E122" s="49">
        <v>3.6159370446796394E-3</v>
      </c>
      <c r="F122" s="49">
        <v>7.1593926349967083E-4</v>
      </c>
      <c r="G122" s="49">
        <v>1.2081475071556945E-3</v>
      </c>
      <c r="H122" s="49">
        <v>1.3453445457705592E-3</v>
      </c>
      <c r="I122" s="49"/>
      <c r="J122" s="49"/>
      <c r="T122" s="57">
        <v>26139</v>
      </c>
      <c r="U122" s="41">
        <v>1.4851485148514851E-2</v>
      </c>
    </row>
    <row r="123" spans="1:21" x14ac:dyDescent="0.25">
      <c r="T123" s="57">
        <v>26797</v>
      </c>
      <c r="U123" s="41">
        <v>2.3929471032745592E-2</v>
      </c>
    </row>
    <row r="124" spans="1:21" s="8" customFormat="1" ht="18.75" x14ac:dyDescent="0.3">
      <c r="A124" s="5"/>
      <c r="B124" s="6" t="str">
        <f>Sommaire!_Toc194351286</f>
        <v>Figure 10 : Chaque nom divin est utilisé différemment selon les corpus</v>
      </c>
      <c r="C124" s="7"/>
      <c r="D124" s="7"/>
      <c r="E124" s="7"/>
      <c r="F124" s="7"/>
      <c r="G124" s="6"/>
      <c r="H124" s="7"/>
      <c r="I124" s="7"/>
      <c r="J124" s="7"/>
    </row>
    <row r="125" spans="1:21" s="8" customFormat="1" x14ac:dyDescent="0.25">
      <c r="A125" s="16" t="s">
        <v>407</v>
      </c>
      <c r="B125" s="10"/>
      <c r="C125" s="10"/>
      <c r="D125" s="10"/>
      <c r="E125" s="10"/>
      <c r="F125" s="10"/>
      <c r="G125" s="10"/>
      <c r="H125" s="17"/>
      <c r="I125" s="10"/>
      <c r="K125" s="10"/>
    </row>
    <row r="126" spans="1:21" s="8" customFormat="1" x14ac:dyDescent="0.25">
      <c r="A126" s="16" t="s">
        <v>408</v>
      </c>
      <c r="B126" s="10"/>
      <c r="C126" s="10"/>
      <c r="D126" s="10"/>
      <c r="E126" s="10"/>
      <c r="F126" s="10"/>
      <c r="G126" s="10"/>
      <c r="H126" s="17"/>
      <c r="I126" s="10"/>
      <c r="K126" s="10"/>
    </row>
    <row r="127" spans="1:21" s="8" customFormat="1" x14ac:dyDescent="0.25">
      <c r="A127" s="9"/>
      <c r="B127" s="10"/>
      <c r="C127" s="10"/>
      <c r="D127" s="10"/>
      <c r="E127" s="10"/>
      <c r="F127" s="10"/>
      <c r="G127" s="10"/>
      <c r="H127" s="17"/>
      <c r="I127" s="10"/>
      <c r="K127" s="10"/>
    </row>
    <row r="128" spans="1:21" s="8" customFormat="1" x14ac:dyDescent="0.25">
      <c r="A128" s="10"/>
      <c r="B128" s="14" t="s">
        <v>2</v>
      </c>
      <c r="C128" s="14" t="s">
        <v>8</v>
      </c>
      <c r="D128" s="14" t="s">
        <v>1</v>
      </c>
      <c r="E128" s="14" t="s">
        <v>0</v>
      </c>
      <c r="F128" s="14" t="s">
        <v>6</v>
      </c>
      <c r="G128" s="14" t="s">
        <v>5</v>
      </c>
      <c r="H128" s="14" t="s">
        <v>4</v>
      </c>
    </row>
    <row r="129" spans="1:21" s="8" customFormat="1" x14ac:dyDescent="0.25">
      <c r="A129" s="9" t="s">
        <v>297</v>
      </c>
      <c r="B129" s="13">
        <v>9.3005539654011996E-3</v>
      </c>
      <c r="C129" s="13">
        <v>6.6941800350573564E-3</v>
      </c>
      <c r="D129" s="13">
        <v>1.4581345640388441E-3</v>
      </c>
      <c r="E129" s="13">
        <v>3.6159370446796394E-3</v>
      </c>
      <c r="F129" s="13">
        <v>7.1593926349967083E-4</v>
      </c>
      <c r="G129" s="13">
        <v>1.2081475071556945E-3</v>
      </c>
      <c r="H129" s="13">
        <v>1.3453445457705592E-3</v>
      </c>
    </row>
    <row r="130" spans="1:21" s="8" customFormat="1" x14ac:dyDescent="0.25">
      <c r="A130" s="9" t="s">
        <v>301</v>
      </c>
      <c r="B130" s="13">
        <v>4.5177955428600458E-3</v>
      </c>
      <c r="C130" s="13">
        <v>2.9879600151190775E-6</v>
      </c>
      <c r="D130" s="13">
        <v>0</v>
      </c>
      <c r="E130" s="13">
        <v>1.4118111071437641E-3</v>
      </c>
      <c r="F130" s="13">
        <v>3.4361540173869392E-5</v>
      </c>
      <c r="G130" s="13">
        <v>1.6433780083154926E-5</v>
      </c>
      <c r="H130" s="13">
        <v>3.2568764164797945E-4</v>
      </c>
    </row>
    <row r="131" spans="1:21" s="8" customFormat="1" x14ac:dyDescent="0.25">
      <c r="A131" s="9" t="s">
        <v>302</v>
      </c>
      <c r="B131" s="13">
        <v>1.2047696804204344E-2</v>
      </c>
      <c r="C131" s="13">
        <v>3.910698848745146E-3</v>
      </c>
      <c r="D131" s="13">
        <v>7.0118144270483141E-3</v>
      </c>
      <c r="E131" s="13">
        <v>4.7202821191871238E-3</v>
      </c>
      <c r="F131" s="13">
        <v>1.8936015478134391E-3</v>
      </c>
      <c r="G131" s="13">
        <v>9.05635522867297E-4</v>
      </c>
      <c r="H131" s="13">
        <v>8.2330502078845178E-4</v>
      </c>
    </row>
    <row r="132" spans="1:21" s="8" customFormat="1" x14ac:dyDescent="0.25">
      <c r="A132" s="9" t="s">
        <v>303</v>
      </c>
      <c r="B132" s="13">
        <v>3.7135092076285084E-3</v>
      </c>
      <c r="C132" s="13">
        <v>1.1855114568202053E-2</v>
      </c>
      <c r="D132" s="13">
        <v>5.7401246427065278E-4</v>
      </c>
      <c r="E132" s="13">
        <v>2.3897661777798605E-3</v>
      </c>
      <c r="F132" s="13">
        <v>6.0915608453212123E-4</v>
      </c>
      <c r="G132" s="13">
        <v>2.225762616559674E-3</v>
      </c>
      <c r="H132" s="13">
        <v>1.7806100932477391E-3</v>
      </c>
    </row>
    <row r="133" spans="1:21" s="8" customFormat="1" x14ac:dyDescent="0.25">
      <c r="A133" s="9" t="s">
        <v>208</v>
      </c>
      <c r="B133" s="13">
        <v>1.0742314706265469E-2</v>
      </c>
      <c r="C133" s="13">
        <v>4.5997785593330726E-3</v>
      </c>
      <c r="D133" s="13">
        <v>1.1242998567148626E-2</v>
      </c>
      <c r="E133" s="13">
        <v>1.935570535365377E-2</v>
      </c>
      <c r="F133" s="13">
        <v>2.3487364856063565E-3</v>
      </c>
      <c r="G133" s="13">
        <v>1.4654161781946073E-3</v>
      </c>
      <c r="H133" s="13">
        <v>5.4668164647648822E-3</v>
      </c>
    </row>
    <row r="134" spans="1:21" s="8" customFormat="1" x14ac:dyDescent="0.25">
      <c r="A134" s="9" t="s">
        <v>209</v>
      </c>
      <c r="B134" s="13">
        <v>1.0802931590065743E-2</v>
      </c>
      <c r="C134" s="13">
        <v>3.2556780134444705E-3</v>
      </c>
      <c r="D134" s="13">
        <v>6.8036271212777054E-3</v>
      </c>
      <c r="E134" s="13">
        <v>2.4898537534637825E-3</v>
      </c>
      <c r="F134" s="13">
        <v>3.8328209340096264E-3</v>
      </c>
      <c r="G134" s="13">
        <v>2.8302200912329769E-3</v>
      </c>
      <c r="H134" s="13">
        <v>1.9756046127038037E-3</v>
      </c>
    </row>
    <row r="135" spans="1:21" x14ac:dyDescent="0.25">
      <c r="T135" s="57">
        <v>26881</v>
      </c>
      <c r="U135" s="41">
        <v>1.7254901960784313E-2</v>
      </c>
    </row>
    <row r="136" spans="1:21" x14ac:dyDescent="0.25">
      <c r="T136" s="57">
        <v>26888</v>
      </c>
      <c r="U136" s="41">
        <v>3.3035099793530628E-2</v>
      </c>
    </row>
    <row r="137" spans="1:21" x14ac:dyDescent="0.25">
      <c r="T137" s="57">
        <v>26891</v>
      </c>
      <c r="U137" s="41">
        <v>2.564102564102564E-2</v>
      </c>
    </row>
    <row r="138" spans="1:21" x14ac:dyDescent="0.25">
      <c r="T138" s="57">
        <v>26895</v>
      </c>
      <c r="U138" s="41">
        <v>3.2182103610675042E-2</v>
      </c>
    </row>
    <row r="139" spans="1:21" x14ac:dyDescent="0.25">
      <c r="T139" s="57">
        <v>26902</v>
      </c>
      <c r="U139" s="41">
        <v>1.2972972972972972E-2</v>
      </c>
    </row>
    <row r="140" spans="1:21" x14ac:dyDescent="0.25">
      <c r="T140" s="57">
        <v>26909</v>
      </c>
      <c r="U140" s="41">
        <v>1.2437810945273632E-2</v>
      </c>
    </row>
    <row r="141" spans="1:21" x14ac:dyDescent="0.25">
      <c r="T141" s="57">
        <v>26916</v>
      </c>
      <c r="U141" s="41">
        <v>2.7872582480091012E-2</v>
      </c>
    </row>
    <row r="142" spans="1:21" x14ac:dyDescent="0.25">
      <c r="T142" s="57">
        <v>26923</v>
      </c>
      <c r="U142" s="41">
        <v>2.5280898876404494E-2</v>
      </c>
    </row>
    <row r="143" spans="1:21" x14ac:dyDescent="0.25">
      <c r="T143" s="57">
        <v>26930</v>
      </c>
      <c r="U143" s="41">
        <v>1.1027278003482298E-2</v>
      </c>
    </row>
    <row r="144" spans="1:21" x14ac:dyDescent="0.25">
      <c r="T144" s="57">
        <v>26937</v>
      </c>
      <c r="U144" s="41">
        <v>2.0642201834862386E-2</v>
      </c>
    </row>
    <row r="145" spans="20:21" x14ac:dyDescent="0.25">
      <c r="T145" s="57">
        <v>26944</v>
      </c>
      <c r="U145" s="41">
        <v>1.9069412662090009E-2</v>
      </c>
    </row>
    <row r="146" spans="20:21" x14ac:dyDescent="0.25">
      <c r="T146" s="57">
        <v>26951</v>
      </c>
      <c r="U146" s="41">
        <v>2.5773195876288658E-2</v>
      </c>
    </row>
    <row r="147" spans="20:21" x14ac:dyDescent="0.25">
      <c r="T147" s="57">
        <v>26958</v>
      </c>
      <c r="U147" s="41">
        <v>1.2452107279693486E-2</v>
      </c>
    </row>
    <row r="148" spans="20:21" x14ac:dyDescent="0.25">
      <c r="T148" s="57">
        <v>26965</v>
      </c>
      <c r="U148" s="41">
        <v>2.3956723338485315E-2</v>
      </c>
    </row>
    <row r="149" spans="20:21" x14ac:dyDescent="0.25">
      <c r="T149" s="57">
        <v>26972</v>
      </c>
      <c r="U149" s="41">
        <v>1.0810810810810811E-2</v>
      </c>
    </row>
    <row r="150" spans="20:21" x14ac:dyDescent="0.25">
      <c r="T150" s="57">
        <v>26979</v>
      </c>
      <c r="U150" s="41">
        <v>2.7486910994764399E-2</v>
      </c>
    </row>
    <row r="151" spans="20:21" x14ac:dyDescent="0.25">
      <c r="T151" s="57">
        <v>26986</v>
      </c>
      <c r="U151" s="41">
        <v>2.6183282980866064E-2</v>
      </c>
    </row>
    <row r="152" spans="20:21" x14ac:dyDescent="0.25">
      <c r="T152" s="57">
        <v>26993</v>
      </c>
      <c r="U152" s="41">
        <v>1.8619934282584884E-2</v>
      </c>
    </row>
    <row r="153" spans="20:21" x14ac:dyDescent="0.25">
      <c r="T153" s="57">
        <v>27000</v>
      </c>
      <c r="U153" s="41">
        <v>1.5356820234869015E-2</v>
      </c>
    </row>
    <row r="154" spans="20:21" x14ac:dyDescent="0.25">
      <c r="T154" s="57">
        <v>27021</v>
      </c>
      <c r="U154" s="41">
        <v>4.0042149631190724E-2</v>
      </c>
    </row>
    <row r="155" spans="20:21" x14ac:dyDescent="0.25">
      <c r="T155" s="57">
        <v>27022</v>
      </c>
      <c r="U155" s="41">
        <v>1.8210609659540775E-2</v>
      </c>
    </row>
    <row r="156" spans="20:21" x14ac:dyDescent="0.25">
      <c r="T156" s="57">
        <v>27023</v>
      </c>
      <c r="U156" s="41">
        <v>8.0645161290322578E-3</v>
      </c>
    </row>
    <row r="157" spans="20:21" x14ac:dyDescent="0.25">
      <c r="T157" s="57">
        <v>27028</v>
      </c>
      <c r="U157" s="41">
        <v>1.6821345707656612E-2</v>
      </c>
    </row>
    <row r="158" spans="20:21" x14ac:dyDescent="0.25">
      <c r="T158" s="57">
        <v>27035</v>
      </c>
      <c r="U158" s="41">
        <v>1.6280525986224169E-2</v>
      </c>
    </row>
    <row r="159" spans="20:21" x14ac:dyDescent="0.25">
      <c r="T159" s="57">
        <v>27042</v>
      </c>
      <c r="U159" s="41">
        <v>3.3898305084745763E-2</v>
      </c>
    </row>
    <row r="160" spans="20:21" x14ac:dyDescent="0.25">
      <c r="T160" s="57">
        <v>27049</v>
      </c>
      <c r="U160" s="41">
        <v>3.5786290322580648E-2</v>
      </c>
    </row>
    <row r="161" spans="20:21" x14ac:dyDescent="0.25">
      <c r="T161" s="57">
        <v>27056</v>
      </c>
      <c r="U161" s="41">
        <v>7.2273324572930354E-3</v>
      </c>
    </row>
    <row r="162" spans="20:21" x14ac:dyDescent="0.25">
      <c r="T162" s="57">
        <v>27063</v>
      </c>
      <c r="U162" s="41">
        <v>1.3043478260869565E-2</v>
      </c>
    </row>
    <row r="163" spans="20:21" x14ac:dyDescent="0.25">
      <c r="T163" s="57">
        <v>27070</v>
      </c>
      <c r="U163" s="41">
        <v>1.4125956444967627E-2</v>
      </c>
    </row>
    <row r="164" spans="20:21" x14ac:dyDescent="0.25">
      <c r="T164" s="57">
        <v>27077</v>
      </c>
      <c r="U164" s="41">
        <v>1.6231474947071278E-2</v>
      </c>
    </row>
    <row r="165" spans="20:21" x14ac:dyDescent="0.25">
      <c r="T165" s="57">
        <v>27084</v>
      </c>
      <c r="U165" s="41">
        <v>1.9166267369429803E-2</v>
      </c>
    </row>
    <row r="166" spans="20:21" x14ac:dyDescent="0.25">
      <c r="T166" s="57">
        <v>27091</v>
      </c>
      <c r="U166" s="41">
        <v>3.0136986301369864E-2</v>
      </c>
    </row>
    <row r="167" spans="20:21" x14ac:dyDescent="0.25">
      <c r="T167" s="57">
        <v>27098</v>
      </c>
      <c r="U167" s="41">
        <v>1.3669064748201438E-2</v>
      </c>
    </row>
    <row r="168" spans="20:21" x14ac:dyDescent="0.25">
      <c r="T168" s="57">
        <v>27105</v>
      </c>
      <c r="U168" s="41">
        <v>1.5151515151515152E-2</v>
      </c>
    </row>
    <row r="169" spans="20:21" x14ac:dyDescent="0.25">
      <c r="T169" s="57">
        <v>27112</v>
      </c>
      <c r="U169" s="41">
        <v>1.5234613040828763E-2</v>
      </c>
    </row>
    <row r="170" spans="20:21" x14ac:dyDescent="0.25">
      <c r="T170" s="57">
        <v>27119</v>
      </c>
      <c r="U170" s="41">
        <v>1.8671059857221308E-2</v>
      </c>
    </row>
    <row r="171" spans="20:21" x14ac:dyDescent="0.25">
      <c r="T171" s="57">
        <v>27126</v>
      </c>
      <c r="U171" s="41">
        <v>2.1788990825688075E-2</v>
      </c>
    </row>
    <row r="172" spans="20:21" x14ac:dyDescent="0.25">
      <c r="T172" s="57">
        <v>27133</v>
      </c>
      <c r="U172" s="41">
        <v>1.2704174228675136E-2</v>
      </c>
    </row>
    <row r="173" spans="20:21" x14ac:dyDescent="0.25">
      <c r="T173" s="57">
        <v>27140</v>
      </c>
      <c r="U173" s="41">
        <v>3.016505406943654E-2</v>
      </c>
    </row>
    <row r="174" spans="20:21" x14ac:dyDescent="0.25">
      <c r="T174" s="57">
        <v>27147</v>
      </c>
      <c r="U174" s="41">
        <v>3.1959629941126999E-2</v>
      </c>
    </row>
    <row r="175" spans="20:21" x14ac:dyDescent="0.25">
      <c r="T175" s="57">
        <v>27154</v>
      </c>
      <c r="U175" s="41">
        <v>1.406563965170797E-2</v>
      </c>
    </row>
    <row r="176" spans="20:21" x14ac:dyDescent="0.25">
      <c r="T176" s="57">
        <v>27161</v>
      </c>
      <c r="U176" s="41">
        <v>9.5238095238095247E-3</v>
      </c>
    </row>
    <row r="177" spans="20:21" x14ac:dyDescent="0.25">
      <c r="T177" s="57">
        <v>27168</v>
      </c>
      <c r="U177" s="41">
        <v>1.5498154981549815E-2</v>
      </c>
    </row>
    <row r="178" spans="20:21" x14ac:dyDescent="0.25">
      <c r="T178" s="57">
        <v>27175</v>
      </c>
      <c r="U178" s="41">
        <v>1.1695906432748537E-2</v>
      </c>
    </row>
    <row r="179" spans="20:21" x14ac:dyDescent="0.25">
      <c r="T179" s="57">
        <v>27182</v>
      </c>
      <c r="U179" s="41">
        <v>4.4816053511705686E-2</v>
      </c>
    </row>
    <row r="180" spans="20:21" x14ac:dyDescent="0.25">
      <c r="T180" s="57">
        <v>27189</v>
      </c>
      <c r="U180" s="41">
        <v>3.5147392290249435E-2</v>
      </c>
    </row>
    <row r="181" spans="20:21" x14ac:dyDescent="0.25">
      <c r="T181" s="57">
        <v>27196</v>
      </c>
      <c r="U181" s="41">
        <v>5.2710843373493972E-3</v>
      </c>
    </row>
    <row r="182" spans="20:21" x14ac:dyDescent="0.25">
      <c r="T182" s="57">
        <v>27203</v>
      </c>
      <c r="U182" s="41">
        <v>1.9675925925925927E-2</v>
      </c>
    </row>
    <row r="183" spans="20:21" x14ac:dyDescent="0.25">
      <c r="T183" s="57">
        <v>27210</v>
      </c>
      <c r="U183" s="41">
        <v>2.5089605734767026E-2</v>
      </c>
    </row>
    <row r="184" spans="20:21" x14ac:dyDescent="0.25">
      <c r="T184" s="57">
        <v>27217</v>
      </c>
      <c r="U184" s="41">
        <v>1.1235955056179775E-2</v>
      </c>
    </row>
    <row r="185" spans="20:21" x14ac:dyDescent="0.25">
      <c r="T185" s="57">
        <v>27224</v>
      </c>
      <c r="U185" s="41">
        <v>2.3105360443622922E-2</v>
      </c>
    </row>
    <row r="186" spans="20:21" x14ac:dyDescent="0.25">
      <c r="T186" s="57">
        <v>27231</v>
      </c>
      <c r="U186" s="41">
        <v>1.7310252996005325E-2</v>
      </c>
    </row>
    <row r="187" spans="20:21" x14ac:dyDescent="0.25">
      <c r="T187" s="57">
        <v>27238</v>
      </c>
      <c r="U187" s="41">
        <v>3.439153439153439E-2</v>
      </c>
    </row>
    <row r="188" spans="20:21" x14ac:dyDescent="0.25">
      <c r="T188" s="57">
        <v>27245</v>
      </c>
      <c r="U188" s="41">
        <v>2.6615969581749048E-2</v>
      </c>
    </row>
    <row r="189" spans="20:21" x14ac:dyDescent="0.25">
      <c r="T189" s="57">
        <v>27252</v>
      </c>
      <c r="U189" s="41">
        <v>3.0780243378668574E-2</v>
      </c>
    </row>
    <row r="190" spans="20:21" x14ac:dyDescent="0.25">
      <c r="T190" s="57">
        <v>27266</v>
      </c>
      <c r="U190" s="41">
        <v>1.5785319652722968E-2</v>
      </c>
    </row>
    <row r="191" spans="20:21" x14ac:dyDescent="0.25">
      <c r="T191" s="57">
        <v>27273</v>
      </c>
      <c r="U191" s="41">
        <v>2.5385312783318223E-2</v>
      </c>
    </row>
    <row r="192" spans="20:21" x14ac:dyDescent="0.25">
      <c r="T192" s="57">
        <v>27280</v>
      </c>
      <c r="U192" s="41">
        <v>6.8746694870438921E-3</v>
      </c>
    </row>
    <row r="193" spans="20:21" x14ac:dyDescent="0.25">
      <c r="T193" s="57">
        <v>27287</v>
      </c>
      <c r="U193" s="41">
        <v>2.1505376344086023E-2</v>
      </c>
    </row>
    <row r="194" spans="20:21" x14ac:dyDescent="0.25">
      <c r="T194" s="57">
        <v>27294</v>
      </c>
      <c r="U194" s="41">
        <v>1.2605042016806723E-2</v>
      </c>
    </row>
    <row r="195" spans="20:21" x14ac:dyDescent="0.25">
      <c r="T195" s="57">
        <v>27301</v>
      </c>
      <c r="U195" s="41">
        <v>1.4619883040935672E-2</v>
      </c>
    </row>
    <row r="196" spans="20:21" x14ac:dyDescent="0.25">
      <c r="T196" s="57">
        <v>27308</v>
      </c>
      <c r="U196" s="41">
        <v>2.4103468547912992E-2</v>
      </c>
    </row>
    <row r="197" spans="20:21" x14ac:dyDescent="0.25">
      <c r="T197" s="57">
        <v>27315</v>
      </c>
      <c r="U197" s="41">
        <v>2.1555042340261739E-2</v>
      </c>
    </row>
    <row r="198" spans="20:21" x14ac:dyDescent="0.25">
      <c r="T198" s="57">
        <v>27322</v>
      </c>
      <c r="U198" s="41">
        <v>4.6403712296983757E-3</v>
      </c>
    </row>
    <row r="199" spans="20:21" x14ac:dyDescent="0.25">
      <c r="T199" s="57">
        <v>27329</v>
      </c>
      <c r="U199" s="41">
        <v>3.8350910834132314E-2</v>
      </c>
    </row>
    <row r="200" spans="20:21" x14ac:dyDescent="0.25">
      <c r="T200" s="57">
        <v>27336</v>
      </c>
      <c r="U200" s="41">
        <v>2.6226734348561761E-2</v>
      </c>
    </row>
    <row r="201" spans="20:21" x14ac:dyDescent="0.25">
      <c r="T201" s="57">
        <v>27343</v>
      </c>
      <c r="U201" s="41">
        <v>3.5046728971962616E-3</v>
      </c>
    </row>
    <row r="202" spans="20:21" x14ac:dyDescent="0.25">
      <c r="T202" s="57">
        <v>27350</v>
      </c>
      <c r="U202" s="41">
        <v>1.0137149672033392E-2</v>
      </c>
    </row>
    <row r="203" spans="20:21" x14ac:dyDescent="0.25">
      <c r="T203" s="57">
        <v>27357</v>
      </c>
      <c r="U203" s="41">
        <v>1.6170212765957447E-2</v>
      </c>
    </row>
    <row r="204" spans="20:21" x14ac:dyDescent="0.25">
      <c r="T204" s="57">
        <v>27371</v>
      </c>
      <c r="U204" s="41">
        <v>1.7307692307692309E-2</v>
      </c>
    </row>
    <row r="205" spans="20:21" x14ac:dyDescent="0.25">
      <c r="T205" s="57">
        <v>27378</v>
      </c>
      <c r="U205" s="41">
        <v>1.8983807928531545E-2</v>
      </c>
    </row>
    <row r="206" spans="20:21" x14ac:dyDescent="0.25">
      <c r="T206" s="57">
        <v>27385</v>
      </c>
      <c r="U206" s="41">
        <v>1.8318965517241378E-2</v>
      </c>
    </row>
    <row r="207" spans="20:21" x14ac:dyDescent="0.25">
      <c r="T207" s="57">
        <v>27388</v>
      </c>
      <c r="U207" s="41">
        <v>1.0981912144702842E-2</v>
      </c>
    </row>
    <row r="208" spans="20:21" x14ac:dyDescent="0.25">
      <c r="T208" s="57">
        <v>27392</v>
      </c>
      <c r="U208" s="41">
        <v>5.7189542483660127E-3</v>
      </c>
    </row>
    <row r="209" spans="20:21" x14ac:dyDescent="0.25">
      <c r="T209" s="57">
        <v>27399</v>
      </c>
      <c r="U209" s="41">
        <v>7.659574468085106E-3</v>
      </c>
    </row>
    <row r="210" spans="20:21" x14ac:dyDescent="0.25">
      <c r="T210" s="57">
        <v>27406</v>
      </c>
      <c r="U210" s="41">
        <v>3.937007874015748E-2</v>
      </c>
    </row>
    <row r="211" spans="20:21" x14ac:dyDescent="0.25">
      <c r="T211" s="57">
        <v>27413</v>
      </c>
      <c r="U211" s="41">
        <v>1.0997067448680353E-2</v>
      </c>
    </row>
    <row r="212" spans="20:21" x14ac:dyDescent="0.25">
      <c r="T212" s="57">
        <v>27420</v>
      </c>
      <c r="U212" s="41">
        <v>2.1066491112574061E-2</v>
      </c>
    </row>
    <row r="213" spans="20:21" x14ac:dyDescent="0.25">
      <c r="T213" s="57">
        <v>27427</v>
      </c>
      <c r="U213" s="41">
        <v>2.0226537216828478E-2</v>
      </c>
    </row>
    <row r="214" spans="20:21" x14ac:dyDescent="0.25">
      <c r="T214" s="57">
        <v>27434</v>
      </c>
      <c r="U214" s="41">
        <v>1.3190954773869347E-2</v>
      </c>
    </row>
    <row r="215" spans="20:21" x14ac:dyDescent="0.25">
      <c r="T215" s="57">
        <v>27441</v>
      </c>
      <c r="U215" s="41">
        <v>1.8968133535660091E-2</v>
      </c>
    </row>
    <row r="216" spans="20:21" x14ac:dyDescent="0.25">
      <c r="T216" s="57">
        <v>27448</v>
      </c>
      <c r="U216" s="41">
        <v>3.2553407934893183E-2</v>
      </c>
    </row>
    <row r="217" spans="20:21" x14ac:dyDescent="0.25">
      <c r="T217" s="57">
        <v>27455</v>
      </c>
      <c r="U217" s="41">
        <v>1.4367816091954023E-2</v>
      </c>
    </row>
    <row r="218" spans="20:21" x14ac:dyDescent="0.25">
      <c r="T218" s="57">
        <v>27462</v>
      </c>
      <c r="U218" s="41">
        <v>3.1775700934579439E-2</v>
      </c>
    </row>
    <row r="219" spans="20:21" x14ac:dyDescent="0.25">
      <c r="T219" s="57">
        <v>27469</v>
      </c>
      <c r="U219" s="41">
        <v>2.9822926374650512E-2</v>
      </c>
    </row>
    <row r="220" spans="20:21" x14ac:dyDescent="0.25">
      <c r="T220" s="57">
        <v>27476</v>
      </c>
      <c r="U220" s="41">
        <v>2.3368251410153102E-2</v>
      </c>
    </row>
    <row r="221" spans="20:21" x14ac:dyDescent="0.25">
      <c r="T221" s="57">
        <v>27483</v>
      </c>
      <c r="U221" s="41">
        <v>1.7985611510791366E-2</v>
      </c>
    </row>
    <row r="222" spans="20:21" x14ac:dyDescent="0.25">
      <c r="T222" s="57">
        <v>27490</v>
      </c>
      <c r="U222" s="41">
        <v>2.2667829119442023E-2</v>
      </c>
    </row>
    <row r="223" spans="20:21" x14ac:dyDescent="0.25">
      <c r="T223" s="57">
        <v>27497</v>
      </c>
      <c r="U223" s="41">
        <v>8.201892744479496E-3</v>
      </c>
    </row>
    <row r="224" spans="20:21" x14ac:dyDescent="0.25">
      <c r="T224" s="57">
        <v>27504</v>
      </c>
      <c r="U224" s="41">
        <v>1.843817787418655E-2</v>
      </c>
    </row>
    <row r="225" spans="20:21" x14ac:dyDescent="0.25">
      <c r="T225" s="57">
        <v>27511</v>
      </c>
      <c r="U225" s="41">
        <v>3.7914691943127963E-3</v>
      </c>
    </row>
    <row r="226" spans="20:21" x14ac:dyDescent="0.25">
      <c r="T226" s="57">
        <v>27518</v>
      </c>
      <c r="U226" s="41">
        <v>6.3041765169424748E-3</v>
      </c>
    </row>
    <row r="227" spans="20:21" x14ac:dyDescent="0.25">
      <c r="T227" s="57">
        <v>27525</v>
      </c>
      <c r="U227" s="41">
        <v>3.3751205400192864E-2</v>
      </c>
    </row>
    <row r="228" spans="20:21" x14ac:dyDescent="0.25">
      <c r="T228" s="57">
        <v>27532</v>
      </c>
      <c r="U228" s="41">
        <v>2.9866117404737384E-2</v>
      </c>
    </row>
    <row r="229" spans="20:21" x14ac:dyDescent="0.25">
      <c r="T229" s="57">
        <v>27539</v>
      </c>
      <c r="U229" s="41">
        <v>3.483309143686502E-2</v>
      </c>
    </row>
    <row r="230" spans="20:21" x14ac:dyDescent="0.25">
      <c r="T230" s="57">
        <v>27546</v>
      </c>
      <c r="U230" s="41">
        <v>2.0676691729323307E-2</v>
      </c>
    </row>
    <row r="231" spans="20:21" x14ac:dyDescent="0.25">
      <c r="T231" s="57">
        <v>27553</v>
      </c>
      <c r="U231" s="41">
        <v>2.8178243774574049E-2</v>
      </c>
    </row>
    <row r="232" spans="20:21" x14ac:dyDescent="0.25">
      <c r="T232" s="57">
        <v>27560</v>
      </c>
      <c r="U232" s="41">
        <v>3.0534351145038167E-2</v>
      </c>
    </row>
    <row r="233" spans="20:21" x14ac:dyDescent="0.25">
      <c r="T233" s="57">
        <v>27567</v>
      </c>
      <c r="U233" s="41">
        <v>9.6153846153846159E-3</v>
      </c>
    </row>
    <row r="234" spans="20:21" x14ac:dyDescent="0.25">
      <c r="T234" s="57">
        <v>27574</v>
      </c>
      <c r="U234" s="41">
        <v>3.016970458830924E-2</v>
      </c>
    </row>
    <row r="235" spans="20:21" x14ac:dyDescent="0.25">
      <c r="T235" s="57">
        <v>27581</v>
      </c>
      <c r="U235" s="41">
        <v>2.1150592216582064E-2</v>
      </c>
    </row>
    <row r="236" spans="20:21" x14ac:dyDescent="0.25">
      <c r="T236" s="57">
        <v>27588</v>
      </c>
      <c r="U236" s="41">
        <v>3.4036759700476512E-3</v>
      </c>
    </row>
    <row r="237" spans="20:21" x14ac:dyDescent="0.25">
      <c r="T237" s="57">
        <v>27595</v>
      </c>
      <c r="U237" s="41">
        <v>1.4884979702300407E-2</v>
      </c>
    </row>
    <row r="238" spans="20:21" x14ac:dyDescent="0.25">
      <c r="T238" s="57">
        <v>27602</v>
      </c>
      <c r="U238" s="41">
        <v>4.0551500405515001E-2</v>
      </c>
    </row>
    <row r="239" spans="20:21" x14ac:dyDescent="0.25">
      <c r="T239" s="57">
        <v>27609</v>
      </c>
      <c r="U239" s="41">
        <v>1.495581237253569E-2</v>
      </c>
    </row>
    <row r="240" spans="20:21" x14ac:dyDescent="0.25">
      <c r="T240" s="57">
        <v>27616</v>
      </c>
      <c r="U240" s="41">
        <v>2.6102610261026102E-2</v>
      </c>
    </row>
    <row r="241" spans="20:21" x14ac:dyDescent="0.25">
      <c r="T241" s="57">
        <v>27623</v>
      </c>
      <c r="U241" s="41">
        <v>2.9635258358662615E-2</v>
      </c>
    </row>
    <row r="242" spans="20:21" x14ac:dyDescent="0.25">
      <c r="T242" s="57">
        <v>27630</v>
      </c>
      <c r="U242" s="41">
        <v>1.4330218068535825E-2</v>
      </c>
    </row>
    <row r="243" spans="20:21" x14ac:dyDescent="0.25">
      <c r="T243" s="57">
        <v>27637</v>
      </c>
      <c r="U243" s="41">
        <v>9.5057034220532317E-3</v>
      </c>
    </row>
    <row r="244" spans="20:21" x14ac:dyDescent="0.25">
      <c r="T244" s="57">
        <v>27644</v>
      </c>
      <c r="U244" s="41">
        <v>7.1289695398574207E-3</v>
      </c>
    </row>
    <row r="245" spans="20:21" x14ac:dyDescent="0.25">
      <c r="T245" s="57">
        <v>27651</v>
      </c>
      <c r="U245" s="41">
        <v>2.6535253980288095E-2</v>
      </c>
    </row>
    <row r="246" spans="20:21" x14ac:dyDescent="0.25">
      <c r="T246" s="57">
        <v>27658</v>
      </c>
      <c r="U246" s="41">
        <v>2.0809248554913295E-2</v>
      </c>
    </row>
    <row r="247" spans="20:21" x14ac:dyDescent="0.25">
      <c r="T247" s="57">
        <v>27665</v>
      </c>
      <c r="U247" s="41">
        <v>1.0116731517509728E-2</v>
      </c>
    </row>
    <row r="248" spans="20:21" x14ac:dyDescent="0.25">
      <c r="T248" s="57">
        <v>27672</v>
      </c>
      <c r="U248" s="41">
        <v>2.6424442609413706E-2</v>
      </c>
    </row>
    <row r="249" spans="20:21" x14ac:dyDescent="0.25">
      <c r="T249" s="57">
        <v>27679</v>
      </c>
      <c r="U249" s="41">
        <v>1.0901883052527254E-2</v>
      </c>
    </row>
    <row r="250" spans="20:21" x14ac:dyDescent="0.25">
      <c r="T250" s="57">
        <v>27686</v>
      </c>
      <c r="U250" s="41">
        <v>8.9047195013357075E-3</v>
      </c>
    </row>
    <row r="251" spans="20:21" x14ac:dyDescent="0.25">
      <c r="T251" s="57">
        <v>27693</v>
      </c>
      <c r="U251" s="41">
        <v>4.4776119402985072E-2</v>
      </c>
    </row>
    <row r="252" spans="20:21" x14ac:dyDescent="0.25">
      <c r="T252" s="57">
        <v>27700</v>
      </c>
      <c r="U252" s="41">
        <v>1.1560693641618497E-2</v>
      </c>
    </row>
    <row r="253" spans="20:21" x14ac:dyDescent="0.25">
      <c r="T253" s="57">
        <v>27707</v>
      </c>
      <c r="U253" s="41">
        <v>2.165196471531676E-2</v>
      </c>
    </row>
    <row r="254" spans="20:21" x14ac:dyDescent="0.25">
      <c r="T254" s="57">
        <v>27714</v>
      </c>
      <c r="U254" s="41">
        <v>5.3603335318642047E-3</v>
      </c>
    </row>
    <row r="255" spans="20:21" x14ac:dyDescent="0.25">
      <c r="T255" s="57">
        <v>27721</v>
      </c>
      <c r="U255" s="41">
        <v>7.2833211944646763E-4</v>
      </c>
    </row>
    <row r="256" spans="20:21" x14ac:dyDescent="0.25">
      <c r="T256" s="57">
        <v>27728</v>
      </c>
      <c r="U256" s="41">
        <v>3.7661050545094152E-2</v>
      </c>
    </row>
    <row r="257" spans="20:21" x14ac:dyDescent="0.25">
      <c r="T257" s="57">
        <v>27735</v>
      </c>
      <c r="U257" s="41">
        <v>2.3549201009251473E-2</v>
      </c>
    </row>
    <row r="258" spans="20:21" x14ac:dyDescent="0.25">
      <c r="T258" s="57">
        <v>27742</v>
      </c>
      <c r="U258" s="41">
        <v>1.2318029115341545E-2</v>
      </c>
    </row>
    <row r="259" spans="20:21" x14ac:dyDescent="0.25">
      <c r="T259" s="57">
        <v>27749</v>
      </c>
      <c r="U259" s="41">
        <v>9.4420600858369091E-3</v>
      </c>
    </row>
    <row r="260" spans="20:21" x14ac:dyDescent="0.25">
      <c r="T260" s="57">
        <v>27752</v>
      </c>
      <c r="U260" s="41">
        <v>1.8181818181818181E-2</v>
      </c>
    </row>
    <row r="261" spans="20:21" x14ac:dyDescent="0.25">
      <c r="T261" s="57">
        <v>27753</v>
      </c>
      <c r="U261" s="41">
        <v>3.0069390902081727E-2</v>
      </c>
    </row>
    <row r="262" spans="20:21" x14ac:dyDescent="0.25">
      <c r="T262" s="57">
        <v>27756</v>
      </c>
      <c r="U262" s="41">
        <v>1.7691659646166806E-2</v>
      </c>
    </row>
    <row r="263" spans="20:21" x14ac:dyDescent="0.25">
      <c r="T263" s="57">
        <v>27763</v>
      </c>
      <c r="U263" s="41">
        <v>1.2129380053908356E-2</v>
      </c>
    </row>
    <row r="264" spans="20:21" x14ac:dyDescent="0.25">
      <c r="T264" s="57">
        <v>27770</v>
      </c>
      <c r="U264" s="41">
        <v>1.7543859649122806E-2</v>
      </c>
    </row>
    <row r="265" spans="20:21" x14ac:dyDescent="0.25">
      <c r="T265" s="57">
        <v>27777</v>
      </c>
      <c r="U265" s="41">
        <v>7.1428571428571426E-3</v>
      </c>
    </row>
    <row r="266" spans="20:21" x14ac:dyDescent="0.25">
      <c r="T266" s="57">
        <v>27784</v>
      </c>
      <c r="U266" s="41">
        <v>1.6420361247947456E-2</v>
      </c>
    </row>
    <row r="267" spans="20:21" x14ac:dyDescent="0.25">
      <c r="T267" s="57">
        <v>27798</v>
      </c>
      <c r="U267" s="41">
        <v>3.1170483460559797E-2</v>
      </c>
    </row>
    <row r="268" spans="20:21" x14ac:dyDescent="0.25">
      <c r="T268" s="57">
        <v>27805</v>
      </c>
      <c r="U268" s="41">
        <v>2.1181716833890748E-2</v>
      </c>
    </row>
    <row r="269" spans="20:21" x14ac:dyDescent="0.25">
      <c r="T269" s="57">
        <v>27812</v>
      </c>
      <c r="U269" s="41">
        <v>7.832898172323759E-3</v>
      </c>
    </row>
    <row r="270" spans="20:21" x14ac:dyDescent="0.25">
      <c r="T270" s="57">
        <v>27819</v>
      </c>
      <c r="U270" s="41">
        <v>1.615798922800718E-2</v>
      </c>
    </row>
    <row r="271" spans="20:21" x14ac:dyDescent="0.25">
      <c r="T271" s="57">
        <v>27826</v>
      </c>
      <c r="U271" s="41">
        <v>1.2202562538133009E-2</v>
      </c>
    </row>
    <row r="272" spans="20:21" x14ac:dyDescent="0.25">
      <c r="T272" s="57">
        <v>27833</v>
      </c>
      <c r="U272" s="41">
        <v>2.6348808030112924E-2</v>
      </c>
    </row>
    <row r="273" spans="20:21" x14ac:dyDescent="0.25">
      <c r="T273" s="57">
        <v>27840</v>
      </c>
      <c r="U273" s="41">
        <v>5.2562417871222077E-3</v>
      </c>
    </row>
    <row r="274" spans="20:21" x14ac:dyDescent="0.25">
      <c r="T274" s="57">
        <v>27847</v>
      </c>
      <c r="U274" s="41">
        <v>1.8758085381630013E-2</v>
      </c>
    </row>
    <row r="275" spans="20:21" x14ac:dyDescent="0.25">
      <c r="T275" s="57">
        <v>27854</v>
      </c>
      <c r="U275" s="41">
        <v>1.2422360248447204E-2</v>
      </c>
    </row>
    <row r="276" spans="20:21" x14ac:dyDescent="0.25">
      <c r="T276" s="57">
        <v>27861</v>
      </c>
      <c r="U276" s="41">
        <v>3.2886723507917173E-2</v>
      </c>
    </row>
    <row r="277" spans="20:21" x14ac:dyDescent="0.25">
      <c r="T277" s="57">
        <v>27868</v>
      </c>
      <c r="U277" s="41">
        <v>2.0683453237410072E-2</v>
      </c>
    </row>
    <row r="278" spans="20:21" x14ac:dyDescent="0.25">
      <c r="T278" s="57">
        <v>27875</v>
      </c>
      <c r="U278" s="41">
        <v>4.7486033519553071E-2</v>
      </c>
    </row>
    <row r="279" spans="20:21" x14ac:dyDescent="0.25">
      <c r="T279" s="57">
        <v>27882</v>
      </c>
      <c r="U279" s="41">
        <v>1.2500000000000001E-2</v>
      </c>
    </row>
    <row r="280" spans="20:21" x14ac:dyDescent="0.25">
      <c r="T280" s="57">
        <v>27889</v>
      </c>
      <c r="U280" s="41">
        <v>8.4033613445378148E-3</v>
      </c>
    </row>
    <row r="281" spans="20:21" x14ac:dyDescent="0.25">
      <c r="T281" s="57">
        <v>27896</v>
      </c>
      <c r="U281" s="41">
        <v>2.1680216802168022E-2</v>
      </c>
    </row>
    <row r="282" spans="20:21" x14ac:dyDescent="0.25">
      <c r="T282" s="57">
        <v>27910</v>
      </c>
      <c r="U282" s="41">
        <v>2.8691983122362871E-2</v>
      </c>
    </row>
    <row r="283" spans="20:21" x14ac:dyDescent="0.25">
      <c r="T283" s="57">
        <v>27917</v>
      </c>
      <c r="U283" s="41">
        <v>2.7447392497712716E-2</v>
      </c>
    </row>
    <row r="284" spans="20:21" x14ac:dyDescent="0.25">
      <c r="T284" s="57">
        <v>27924</v>
      </c>
      <c r="U284" s="41">
        <v>3.6786060019361085E-2</v>
      </c>
    </row>
    <row r="285" spans="20:21" x14ac:dyDescent="0.25">
      <c r="T285" s="57">
        <v>27931</v>
      </c>
      <c r="U285" s="41">
        <v>1.11731843575419E-2</v>
      </c>
    </row>
    <row r="286" spans="20:21" x14ac:dyDescent="0.25">
      <c r="T286" s="57">
        <v>27938</v>
      </c>
      <c r="U286" s="41">
        <v>2.4544734758511481E-2</v>
      </c>
    </row>
    <row r="287" spans="20:21" x14ac:dyDescent="0.25">
      <c r="T287" s="57">
        <v>27945</v>
      </c>
      <c r="U287" s="41">
        <v>2.7671755725190841E-2</v>
      </c>
    </row>
    <row r="288" spans="20:21" x14ac:dyDescent="0.25">
      <c r="T288" s="57">
        <v>27952</v>
      </c>
      <c r="U288" s="41">
        <v>1.2127894156560088E-2</v>
      </c>
    </row>
    <row r="289" spans="20:21" x14ac:dyDescent="0.25">
      <c r="T289" s="57">
        <v>27959</v>
      </c>
      <c r="U289" s="41">
        <v>1.2218045112781954E-2</v>
      </c>
    </row>
    <row r="290" spans="20:21" x14ac:dyDescent="0.25">
      <c r="T290" s="57">
        <v>27966</v>
      </c>
      <c r="U290" s="41">
        <v>1.6085790884718499E-2</v>
      </c>
    </row>
    <row r="291" spans="20:21" x14ac:dyDescent="0.25">
      <c r="T291" s="57">
        <v>27973</v>
      </c>
      <c r="U291" s="41">
        <v>2.4495677233429394E-2</v>
      </c>
    </row>
    <row r="292" spans="20:21" x14ac:dyDescent="0.25">
      <c r="T292" s="57">
        <v>27994</v>
      </c>
      <c r="U292" s="41">
        <v>2.1505376344086023E-2</v>
      </c>
    </row>
    <row r="293" spans="20:21" x14ac:dyDescent="0.25">
      <c r="T293" s="57">
        <v>28001</v>
      </c>
      <c r="U293" s="41">
        <v>1.4790468364831553E-2</v>
      </c>
    </row>
    <row r="294" spans="20:21" x14ac:dyDescent="0.25">
      <c r="T294" s="57">
        <v>28008</v>
      </c>
      <c r="U294" s="41">
        <v>2.718589272593681E-2</v>
      </c>
    </row>
    <row r="295" spans="20:21" x14ac:dyDescent="0.25">
      <c r="T295" s="57">
        <v>28015</v>
      </c>
      <c r="U295" s="41">
        <v>3.4942820838627701E-2</v>
      </c>
    </row>
    <row r="296" spans="20:21" x14ac:dyDescent="0.25">
      <c r="T296" s="57">
        <v>28022</v>
      </c>
      <c r="U296" s="41">
        <v>1.4545454545454545E-2</v>
      </c>
    </row>
    <row r="297" spans="20:21" x14ac:dyDescent="0.25">
      <c r="T297" s="57">
        <v>28029</v>
      </c>
      <c r="U297" s="41">
        <v>2.7303754266211604E-2</v>
      </c>
    </row>
    <row r="298" spans="20:21" x14ac:dyDescent="0.25">
      <c r="T298" s="57">
        <v>28036</v>
      </c>
      <c r="U298" s="41">
        <v>8.2644628099173556E-3</v>
      </c>
    </row>
    <row r="299" spans="20:21" x14ac:dyDescent="0.25">
      <c r="T299" s="57">
        <v>28043</v>
      </c>
      <c r="U299" s="41">
        <v>2.9208301306687164E-2</v>
      </c>
    </row>
    <row r="300" spans="20:21" x14ac:dyDescent="0.25">
      <c r="T300" s="57">
        <v>28050</v>
      </c>
      <c r="U300" s="41">
        <v>6.0514372163388806E-3</v>
      </c>
    </row>
    <row r="301" spans="20:21" x14ac:dyDescent="0.25">
      <c r="T301" s="57">
        <v>28057</v>
      </c>
      <c r="U301" s="41">
        <v>1.5885623510722795E-2</v>
      </c>
    </row>
    <row r="302" spans="20:21" x14ac:dyDescent="0.25">
      <c r="T302" s="57">
        <v>28064</v>
      </c>
      <c r="U302" s="41">
        <v>2.9294935451837142E-2</v>
      </c>
    </row>
    <row r="303" spans="20:21" x14ac:dyDescent="0.25">
      <c r="T303" s="57">
        <v>28071</v>
      </c>
      <c r="U303" s="41">
        <v>2.643171806167401E-2</v>
      </c>
    </row>
    <row r="304" spans="20:21" x14ac:dyDescent="0.25">
      <c r="T304" s="57">
        <v>28078</v>
      </c>
      <c r="U304" s="41">
        <v>5.8922558922558923E-3</v>
      </c>
    </row>
    <row r="305" spans="20:21" x14ac:dyDescent="0.25">
      <c r="T305" s="57">
        <v>28085</v>
      </c>
      <c r="U305" s="41">
        <v>1.125703564727955E-2</v>
      </c>
    </row>
    <row r="306" spans="20:21" x14ac:dyDescent="0.25">
      <c r="T306" s="57">
        <v>28092</v>
      </c>
      <c r="U306" s="41">
        <v>2.336448598130841E-2</v>
      </c>
    </row>
    <row r="307" spans="20:21" x14ac:dyDescent="0.25">
      <c r="T307" s="57">
        <v>28099</v>
      </c>
      <c r="U307" s="41">
        <v>3.3106134371957155E-2</v>
      </c>
    </row>
    <row r="308" spans="20:21" x14ac:dyDescent="0.25">
      <c r="T308" s="57">
        <v>28106</v>
      </c>
      <c r="U308" s="41">
        <v>3.9215686274509803E-3</v>
      </c>
    </row>
    <row r="309" spans="20:21" x14ac:dyDescent="0.25">
      <c r="T309" s="57">
        <v>28113</v>
      </c>
      <c r="U309" s="41">
        <v>1.1247443762781187E-2</v>
      </c>
    </row>
    <row r="310" spans="20:21" x14ac:dyDescent="0.25">
      <c r="T310" s="57">
        <v>28118</v>
      </c>
      <c r="U310" s="41">
        <v>2.5933609958506226E-2</v>
      </c>
    </row>
    <row r="311" spans="20:21" x14ac:dyDescent="0.25">
      <c r="T311" s="57">
        <v>28119</v>
      </c>
      <c r="U311" s="41">
        <v>1.7655367231638418E-2</v>
      </c>
    </row>
    <row r="312" spans="20:21" x14ac:dyDescent="0.25">
      <c r="T312" s="57">
        <v>28120</v>
      </c>
      <c r="U312" s="41">
        <v>8.5409252669039152E-3</v>
      </c>
    </row>
    <row r="313" spans="20:21" x14ac:dyDescent="0.25">
      <c r="T313" s="57">
        <v>28127</v>
      </c>
      <c r="U313" s="41">
        <v>2.8773346794548207E-2</v>
      </c>
    </row>
    <row r="314" spans="20:21" x14ac:dyDescent="0.25">
      <c r="T314" s="57">
        <v>28134</v>
      </c>
      <c r="U314" s="41">
        <v>2.6229508196721311E-2</v>
      </c>
    </row>
    <row r="315" spans="20:21" x14ac:dyDescent="0.25">
      <c r="T315" s="57">
        <v>28141</v>
      </c>
      <c r="U315" s="41">
        <v>2.2383146807109941E-2</v>
      </c>
    </row>
    <row r="316" spans="20:21" x14ac:dyDescent="0.25">
      <c r="T316" s="57">
        <v>28148</v>
      </c>
      <c r="U316" s="41">
        <v>1.3768115942028985E-2</v>
      </c>
    </row>
    <row r="317" spans="20:21" x14ac:dyDescent="0.25">
      <c r="T317" s="57">
        <v>28155</v>
      </c>
      <c r="U317" s="41">
        <v>2.4675324675324677E-2</v>
      </c>
    </row>
    <row r="318" spans="20:21" x14ac:dyDescent="0.25">
      <c r="T318" s="57">
        <v>28162</v>
      </c>
      <c r="U318" s="41">
        <v>3.0483764082173626E-2</v>
      </c>
    </row>
    <row r="319" spans="20:21" x14ac:dyDescent="0.25">
      <c r="T319" s="57">
        <v>28169</v>
      </c>
      <c r="U319" s="41">
        <v>2.6730637422892393E-2</v>
      </c>
    </row>
    <row r="320" spans="20:21" x14ac:dyDescent="0.25">
      <c r="T320" s="57">
        <v>28176</v>
      </c>
      <c r="U320" s="41">
        <v>9.9255583126550868E-3</v>
      </c>
    </row>
    <row r="321" spans="20:21" x14ac:dyDescent="0.25">
      <c r="T321" s="57">
        <v>28183</v>
      </c>
      <c r="U321" s="41">
        <v>3.9037085230969423E-2</v>
      </c>
    </row>
    <row r="322" spans="20:21" x14ac:dyDescent="0.25">
      <c r="T322" s="57">
        <v>28190</v>
      </c>
      <c r="U322" s="41">
        <v>2.3843930635838149E-2</v>
      </c>
    </row>
    <row r="323" spans="20:21" x14ac:dyDescent="0.25">
      <c r="T323" s="57">
        <v>28197</v>
      </c>
      <c r="U323" s="41">
        <v>2.082018927444795E-2</v>
      </c>
    </row>
    <row r="324" spans="20:21" x14ac:dyDescent="0.25">
      <c r="T324" s="57">
        <v>28204</v>
      </c>
      <c r="U324" s="41">
        <v>9.0027700831024939E-3</v>
      </c>
    </row>
    <row r="325" spans="20:21" x14ac:dyDescent="0.25">
      <c r="T325" s="57">
        <v>28211</v>
      </c>
      <c r="U325" s="41">
        <v>1.6549968173138127E-2</v>
      </c>
    </row>
    <row r="326" spans="20:21" x14ac:dyDescent="0.25">
      <c r="T326" s="57">
        <v>28225</v>
      </c>
      <c r="U326" s="41">
        <v>3.2222222222222222E-2</v>
      </c>
    </row>
    <row r="327" spans="20:21" x14ac:dyDescent="0.25">
      <c r="T327" s="57">
        <v>28232</v>
      </c>
      <c r="U327" s="41">
        <v>2.231237322515213E-2</v>
      </c>
    </row>
    <row r="328" spans="20:21" x14ac:dyDescent="0.25">
      <c r="T328" s="57">
        <v>28239</v>
      </c>
      <c r="U328" s="41">
        <v>2.8037383177570093E-2</v>
      </c>
    </row>
    <row r="329" spans="20:21" x14ac:dyDescent="0.25">
      <c r="T329" s="57">
        <v>28253</v>
      </c>
      <c r="U329" s="41">
        <v>1.8032786885245903E-2</v>
      </c>
    </row>
    <row r="330" spans="20:21" x14ac:dyDescent="0.25">
      <c r="T330" s="57">
        <v>28260</v>
      </c>
      <c r="U330" s="41">
        <v>1.6362492133417242E-2</v>
      </c>
    </row>
    <row r="331" spans="20:21" x14ac:dyDescent="0.25">
      <c r="T331" s="57">
        <v>28267</v>
      </c>
      <c r="U331" s="41">
        <v>1.3848396501457727E-2</v>
      </c>
    </row>
    <row r="332" spans="20:21" x14ac:dyDescent="0.25">
      <c r="T332" s="57">
        <v>28274</v>
      </c>
      <c r="U332" s="41">
        <v>1.6549968173138127E-2</v>
      </c>
    </row>
    <row r="333" spans="20:21" x14ac:dyDescent="0.25">
      <c r="T333" s="57">
        <v>28281</v>
      </c>
      <c r="U333" s="41">
        <v>1.6449623029472241E-2</v>
      </c>
    </row>
    <row r="334" spans="20:21" x14ac:dyDescent="0.25">
      <c r="T334" s="57">
        <v>28288</v>
      </c>
      <c r="U334" s="41">
        <v>7.9404466501240695E-3</v>
      </c>
    </row>
    <row r="335" spans="20:21" x14ac:dyDescent="0.25">
      <c r="T335" s="57">
        <v>28295</v>
      </c>
      <c r="U335" s="41">
        <v>1.9302152932442463E-2</v>
      </c>
    </row>
    <row r="336" spans="20:21" x14ac:dyDescent="0.25">
      <c r="T336" s="57">
        <v>28302</v>
      </c>
      <c r="U336" s="41">
        <v>2.0761245674740483E-2</v>
      </c>
    </row>
    <row r="337" spans="20:21" x14ac:dyDescent="0.25">
      <c r="T337" s="57">
        <v>28309</v>
      </c>
      <c r="U337" s="41">
        <v>2.0719738276990186E-2</v>
      </c>
    </row>
    <row r="338" spans="20:21" x14ac:dyDescent="0.25">
      <c r="T338" s="57">
        <v>28316</v>
      </c>
      <c r="U338" s="41">
        <v>1.6245487364620937E-2</v>
      </c>
    </row>
    <row r="339" spans="20:21" x14ac:dyDescent="0.25">
      <c r="T339" s="57">
        <v>28323</v>
      </c>
      <c r="U339" s="41">
        <v>1.696165191740413E-2</v>
      </c>
    </row>
    <row r="340" spans="20:21" x14ac:dyDescent="0.25">
      <c r="T340" s="57">
        <v>28330</v>
      </c>
      <c r="U340" s="41">
        <v>3.7630104083266613E-2</v>
      </c>
    </row>
    <row r="341" spans="20:21" x14ac:dyDescent="0.25">
      <c r="T341" s="57">
        <v>28337</v>
      </c>
      <c r="U341" s="41">
        <v>1.2647554806070826E-2</v>
      </c>
    </row>
    <row r="342" spans="20:21" x14ac:dyDescent="0.25">
      <c r="T342" s="57">
        <v>28344</v>
      </c>
      <c r="U342" s="41">
        <v>2.3746701846965697E-2</v>
      </c>
    </row>
    <row r="343" spans="20:21" x14ac:dyDescent="0.25">
      <c r="T343" s="57">
        <v>28351</v>
      </c>
      <c r="U343" s="41">
        <v>1.2039660056657223E-2</v>
      </c>
    </row>
    <row r="344" spans="20:21" x14ac:dyDescent="0.25">
      <c r="T344" s="57">
        <v>28358</v>
      </c>
      <c r="U344" s="41">
        <v>1.4613778705636743E-2</v>
      </c>
    </row>
    <row r="345" spans="20:21" x14ac:dyDescent="0.25">
      <c r="T345" s="57">
        <v>28365</v>
      </c>
      <c r="U345" s="41">
        <v>3.5406698564593303E-2</v>
      </c>
    </row>
    <row r="346" spans="20:21" x14ac:dyDescent="0.25">
      <c r="T346" s="57">
        <v>28372</v>
      </c>
      <c r="U346" s="41">
        <v>1.6563146997929608E-2</v>
      </c>
    </row>
    <row r="347" spans="20:21" x14ac:dyDescent="0.25">
      <c r="T347" s="57">
        <v>28379</v>
      </c>
      <c r="U347" s="41">
        <v>2.7290448343079921E-2</v>
      </c>
    </row>
    <row r="348" spans="20:21" x14ac:dyDescent="0.25">
      <c r="T348" s="57">
        <v>28386</v>
      </c>
      <c r="U348" s="41">
        <v>6.2111801242236021E-3</v>
      </c>
    </row>
    <row r="349" spans="20:21" x14ac:dyDescent="0.25">
      <c r="T349" s="57">
        <v>28414</v>
      </c>
      <c r="U349" s="41">
        <v>2.6234567901234566E-2</v>
      </c>
    </row>
    <row r="350" spans="20:21" x14ac:dyDescent="0.25">
      <c r="T350" s="57">
        <v>28428</v>
      </c>
      <c r="U350" s="41">
        <v>1.0855683269476373E-2</v>
      </c>
    </row>
    <row r="351" spans="20:21" x14ac:dyDescent="0.25">
      <c r="T351" s="57">
        <v>28456</v>
      </c>
      <c r="U351" s="41">
        <v>2.5762711864406779E-2</v>
      </c>
    </row>
    <row r="352" spans="20:21" x14ac:dyDescent="0.25">
      <c r="T352" s="57">
        <v>28463</v>
      </c>
      <c r="U352" s="41">
        <v>2.7081922816519974E-2</v>
      </c>
    </row>
    <row r="353" spans="20:21" x14ac:dyDescent="0.25">
      <c r="T353" s="57">
        <v>28470</v>
      </c>
      <c r="U353" s="41">
        <v>1.4740108611326609E-2</v>
      </c>
    </row>
    <row r="354" spans="20:21" x14ac:dyDescent="0.25">
      <c r="T354" s="57">
        <v>28477</v>
      </c>
      <c r="U354" s="41">
        <v>2.1329987452948559E-2</v>
      </c>
    </row>
    <row r="355" spans="20:21" x14ac:dyDescent="0.25">
      <c r="T355" s="57">
        <v>28483</v>
      </c>
      <c r="U355" s="41">
        <v>1.2547051442910916E-2</v>
      </c>
    </row>
    <row r="356" spans="20:21" x14ac:dyDescent="0.25">
      <c r="T356" s="57">
        <v>28484</v>
      </c>
      <c r="U356" s="41">
        <v>2.0449897750511249E-2</v>
      </c>
    </row>
    <row r="357" spans="20:21" x14ac:dyDescent="0.25">
      <c r="T357" s="57">
        <v>28491</v>
      </c>
      <c r="U357" s="41">
        <v>1.0113027959547887E-2</v>
      </c>
    </row>
    <row r="358" spans="20:21" x14ac:dyDescent="0.25">
      <c r="T358" s="57">
        <v>28498</v>
      </c>
      <c r="U358" s="41">
        <v>2.9411764705882353E-2</v>
      </c>
    </row>
    <row r="359" spans="20:21" x14ac:dyDescent="0.25">
      <c r="T359" s="57">
        <v>28505</v>
      </c>
      <c r="U359" s="41">
        <v>1.2468827930174564E-2</v>
      </c>
    </row>
    <row r="360" spans="20:21" x14ac:dyDescent="0.25">
      <c r="T360" s="57">
        <v>28512</v>
      </c>
      <c r="U360" s="41">
        <v>1.8102372034956304E-2</v>
      </c>
    </row>
    <row r="361" spans="20:21" x14ac:dyDescent="0.25">
      <c r="T361" s="57">
        <v>28519</v>
      </c>
      <c r="U361" s="41">
        <v>1.2789768185451638E-2</v>
      </c>
    </row>
    <row r="362" spans="20:21" x14ac:dyDescent="0.25">
      <c r="T362" s="57">
        <v>28526</v>
      </c>
      <c r="U362" s="41">
        <v>1.0335917312661499E-2</v>
      </c>
    </row>
    <row r="363" spans="20:21" x14ac:dyDescent="0.25">
      <c r="T363" s="57">
        <v>28533</v>
      </c>
      <c r="U363" s="41">
        <v>1.8573551263001486E-2</v>
      </c>
    </row>
    <row r="364" spans="20:21" x14ac:dyDescent="0.25">
      <c r="T364" s="57">
        <v>28547</v>
      </c>
      <c r="U364" s="41">
        <v>9.6087851750171586E-3</v>
      </c>
    </row>
    <row r="365" spans="20:21" x14ac:dyDescent="0.25">
      <c r="T365" s="57">
        <v>28554</v>
      </c>
      <c r="U365" s="41">
        <v>9.1324200913242004E-3</v>
      </c>
    </row>
    <row r="366" spans="20:21" x14ac:dyDescent="0.25">
      <c r="T366" s="57">
        <v>28561</v>
      </c>
      <c r="U366" s="41">
        <v>6.4888248017303529E-3</v>
      </c>
    </row>
    <row r="367" spans="20:21" x14ac:dyDescent="0.25">
      <c r="T367" s="57">
        <v>28575</v>
      </c>
      <c r="U367" s="41">
        <v>2.046783625730994E-2</v>
      </c>
    </row>
    <row r="368" spans="20:21" x14ac:dyDescent="0.25">
      <c r="T368" s="57">
        <v>28582</v>
      </c>
      <c r="U368" s="41">
        <v>1.0506798516687269E-2</v>
      </c>
    </row>
    <row r="369" spans="20:21" x14ac:dyDescent="0.25">
      <c r="T369" s="57">
        <v>28589</v>
      </c>
      <c r="U369" s="41">
        <v>2.3218142548596114E-2</v>
      </c>
    </row>
    <row r="370" spans="20:21" x14ac:dyDescent="0.25">
      <c r="T370" s="57">
        <v>28596</v>
      </c>
      <c r="U370" s="41">
        <v>2.7005559968228753E-2</v>
      </c>
    </row>
    <row r="371" spans="20:21" x14ac:dyDescent="0.25">
      <c r="T371" s="57">
        <v>28603</v>
      </c>
      <c r="U371" s="41">
        <v>2.7315914489311165E-2</v>
      </c>
    </row>
    <row r="372" spans="20:21" x14ac:dyDescent="0.25">
      <c r="T372" s="57">
        <v>28610</v>
      </c>
      <c r="U372" s="41">
        <v>2.491506228765572E-2</v>
      </c>
    </row>
    <row r="373" spans="20:21" x14ac:dyDescent="0.25">
      <c r="T373" s="57">
        <v>28617</v>
      </c>
      <c r="U373" s="41">
        <v>6.4285714285714285E-3</v>
      </c>
    </row>
    <row r="374" spans="20:21" x14ac:dyDescent="0.25">
      <c r="T374" s="57">
        <v>28624</v>
      </c>
      <c r="U374" s="41">
        <v>2.5069637883008356E-2</v>
      </c>
    </row>
    <row r="375" spans="20:21" x14ac:dyDescent="0.25">
      <c r="T375" s="57">
        <v>28631</v>
      </c>
      <c r="U375" s="41">
        <v>2.5152439024390245E-2</v>
      </c>
    </row>
    <row r="376" spans="20:21" x14ac:dyDescent="0.25">
      <c r="T376" s="57">
        <v>28638</v>
      </c>
      <c r="U376" s="41">
        <v>4.4284243048403706E-2</v>
      </c>
    </row>
    <row r="377" spans="20:21" x14ac:dyDescent="0.25">
      <c r="T377" s="57">
        <v>28652</v>
      </c>
      <c r="U377" s="41">
        <v>8.0831408775981529E-3</v>
      </c>
    </row>
    <row r="378" spans="20:21" x14ac:dyDescent="0.25">
      <c r="T378" s="57">
        <v>28659</v>
      </c>
      <c r="U378" s="41">
        <v>1.4412416851441241E-2</v>
      </c>
    </row>
    <row r="379" spans="20:21" x14ac:dyDescent="0.25">
      <c r="T379" s="57">
        <v>28666</v>
      </c>
      <c r="U379" s="41">
        <v>2.4271844660194174E-2</v>
      </c>
    </row>
    <row r="380" spans="20:21" x14ac:dyDescent="0.25">
      <c r="T380" s="57">
        <v>28673</v>
      </c>
      <c r="U380" s="41">
        <v>2.8049575994781473E-2</v>
      </c>
    </row>
    <row r="381" spans="20:21" x14ac:dyDescent="0.25">
      <c r="T381" s="57">
        <v>28680</v>
      </c>
      <c r="U381" s="41">
        <v>3.0425963488843813E-2</v>
      </c>
    </row>
    <row r="382" spans="20:21" x14ac:dyDescent="0.25">
      <c r="T382" s="57">
        <v>28687</v>
      </c>
      <c r="U382" s="41">
        <v>1.6744186046511629E-2</v>
      </c>
    </row>
    <row r="383" spans="20:21" x14ac:dyDescent="0.25">
      <c r="T383" s="57">
        <v>28694</v>
      </c>
      <c r="U383" s="41">
        <v>1.9756838905775075E-2</v>
      </c>
    </row>
    <row r="384" spans="20:21" x14ac:dyDescent="0.25">
      <c r="T384" s="57">
        <v>28701</v>
      </c>
      <c r="U384" s="41">
        <v>2.2912047302291204E-2</v>
      </c>
    </row>
    <row r="385" spans="20:21" x14ac:dyDescent="0.25">
      <c r="T385" s="57">
        <v>28708</v>
      </c>
      <c r="U385" s="41">
        <v>4.2643923240938165E-2</v>
      </c>
    </row>
    <row r="386" spans="20:21" x14ac:dyDescent="0.25">
      <c r="T386" s="57">
        <v>28715</v>
      </c>
      <c r="U386" s="41">
        <v>2.8592927012791574E-2</v>
      </c>
    </row>
    <row r="387" spans="20:21" x14ac:dyDescent="0.25">
      <c r="T387" s="57">
        <v>28717</v>
      </c>
      <c r="U387" s="41">
        <v>1.9108280254777069E-2</v>
      </c>
    </row>
    <row r="388" spans="20:21" x14ac:dyDescent="0.25">
      <c r="T388" s="57">
        <v>28722</v>
      </c>
      <c r="U388" s="41">
        <v>2.0170674941815361E-2</v>
      </c>
    </row>
    <row r="389" spans="20:21" x14ac:dyDescent="0.25">
      <c r="T389" s="57">
        <v>28729</v>
      </c>
      <c r="U389" s="41">
        <v>1.8536585365853658E-2</v>
      </c>
    </row>
    <row r="390" spans="20:21" x14ac:dyDescent="0.25">
      <c r="T390" s="57">
        <v>28736</v>
      </c>
      <c r="U390" s="41">
        <v>2.0833333333333332E-2</v>
      </c>
    </row>
    <row r="391" spans="20:21" x14ac:dyDescent="0.25">
      <c r="T391" s="57">
        <v>28743</v>
      </c>
      <c r="U391" s="41">
        <v>1.6129032258064516E-3</v>
      </c>
    </row>
    <row r="392" spans="20:21" x14ac:dyDescent="0.25">
      <c r="T392" s="57">
        <v>28750</v>
      </c>
      <c r="U392" s="41">
        <v>3.4234234234234232E-2</v>
      </c>
    </row>
    <row r="393" spans="20:21" x14ac:dyDescent="0.25">
      <c r="T393" s="57">
        <v>28757</v>
      </c>
      <c r="U393" s="41">
        <v>2.577873254564984E-2</v>
      </c>
    </row>
    <row r="394" spans="20:21" x14ac:dyDescent="0.25">
      <c r="T394" s="57">
        <v>28764</v>
      </c>
      <c r="U394" s="41">
        <v>2.4657534246575342E-2</v>
      </c>
    </row>
    <row r="395" spans="20:21" x14ac:dyDescent="0.25">
      <c r="T395" s="57">
        <v>28771</v>
      </c>
      <c r="U395" s="41">
        <v>2.3872679045092837E-2</v>
      </c>
    </row>
    <row r="396" spans="20:21" x14ac:dyDescent="0.25">
      <c r="T396" s="57">
        <v>28778</v>
      </c>
      <c r="U396" s="41">
        <v>1.2251148545176111E-2</v>
      </c>
    </row>
    <row r="397" spans="20:21" x14ac:dyDescent="0.25">
      <c r="T397" s="57">
        <v>28785</v>
      </c>
      <c r="U397" s="41">
        <v>2.4912587412587412E-2</v>
      </c>
    </row>
    <row r="398" spans="20:21" x14ac:dyDescent="0.25">
      <c r="T398" s="57">
        <v>28792</v>
      </c>
      <c r="U398" s="41">
        <v>2.5367156208277702E-2</v>
      </c>
    </row>
    <row r="399" spans="20:21" x14ac:dyDescent="0.25">
      <c r="T399" s="57">
        <v>28799</v>
      </c>
      <c r="U399" s="41">
        <v>1.0970464135021098E-2</v>
      </c>
    </row>
    <row r="400" spans="20:21" x14ac:dyDescent="0.25">
      <c r="T400" s="57">
        <v>28806</v>
      </c>
      <c r="U400" s="41">
        <v>1.2427506213753107E-2</v>
      </c>
    </row>
    <row r="401" spans="20:21" x14ac:dyDescent="0.25">
      <c r="T401" s="57">
        <v>28813</v>
      </c>
      <c r="U401" s="41">
        <v>9.1093117408906875E-3</v>
      </c>
    </row>
    <row r="402" spans="20:21" x14ac:dyDescent="0.25">
      <c r="T402" s="57">
        <v>28820</v>
      </c>
      <c r="U402" s="41">
        <v>1.8593371059013743E-2</v>
      </c>
    </row>
    <row r="403" spans="20:21" x14ac:dyDescent="0.25">
      <c r="T403" s="57">
        <v>28827</v>
      </c>
      <c r="U403" s="41">
        <v>2.1097046413502109E-2</v>
      </c>
    </row>
    <row r="404" spans="20:21" x14ac:dyDescent="0.25">
      <c r="T404" s="57">
        <v>28834</v>
      </c>
      <c r="U404" s="41">
        <v>1.8376722817764167E-2</v>
      </c>
    </row>
    <row r="405" spans="20:21" x14ac:dyDescent="0.25">
      <c r="T405" s="57">
        <v>28841</v>
      </c>
      <c r="U405" s="41">
        <v>1.6190476190476189E-2</v>
      </c>
    </row>
    <row r="406" spans="20:21" x14ac:dyDescent="0.25">
      <c r="T406" s="57">
        <v>28848</v>
      </c>
      <c r="U406" s="41">
        <v>1.4245014245014245E-2</v>
      </c>
    </row>
    <row r="407" spans="20:21" x14ac:dyDescent="0.25">
      <c r="T407" s="57">
        <v>28849</v>
      </c>
      <c r="U407" s="41">
        <v>2.4977698483496878E-2</v>
      </c>
    </row>
    <row r="408" spans="20:21" x14ac:dyDescent="0.25">
      <c r="T408" s="57">
        <v>28855</v>
      </c>
      <c r="U408" s="41">
        <v>1.5113350125944584E-2</v>
      </c>
    </row>
    <row r="409" spans="20:21" x14ac:dyDescent="0.25">
      <c r="T409" s="57">
        <v>28862</v>
      </c>
      <c r="U409" s="41">
        <v>4.3706293706293704E-2</v>
      </c>
    </row>
    <row r="410" spans="20:21" x14ac:dyDescent="0.25">
      <c r="T410" s="57">
        <v>28869</v>
      </c>
      <c r="U410" s="41">
        <v>1.9187358916478554E-2</v>
      </c>
    </row>
    <row r="411" spans="20:21" x14ac:dyDescent="0.25">
      <c r="T411" s="57">
        <v>28876</v>
      </c>
      <c r="U411" s="41">
        <v>2.7795325331648767E-2</v>
      </c>
    </row>
    <row r="412" spans="20:21" x14ac:dyDescent="0.25">
      <c r="T412" s="57">
        <v>28890</v>
      </c>
      <c r="U412" s="41">
        <v>9.575923392612859E-3</v>
      </c>
    </row>
    <row r="413" spans="20:21" x14ac:dyDescent="0.25">
      <c r="T413" s="57">
        <v>28918</v>
      </c>
      <c r="U413" s="41">
        <v>1.8077239112571898E-2</v>
      </c>
    </row>
    <row r="414" spans="20:21" ht="15" customHeight="1" x14ac:dyDescent="0.25">
      <c r="T414" s="57">
        <v>28925</v>
      </c>
      <c r="U414" s="41">
        <v>3.3544877606527655E-2</v>
      </c>
    </row>
    <row r="415" spans="20:21" x14ac:dyDescent="0.25">
      <c r="T415" s="57">
        <v>28932</v>
      </c>
      <c r="U415" s="41">
        <v>3.3777777777777775E-2</v>
      </c>
    </row>
    <row r="416" spans="20:21" x14ac:dyDescent="0.25">
      <c r="T416" s="57">
        <v>28939</v>
      </c>
      <c r="U416" s="41">
        <v>2.2239872915011914E-2</v>
      </c>
    </row>
    <row r="417" spans="20:21" x14ac:dyDescent="0.25">
      <c r="T417" s="57">
        <v>28946</v>
      </c>
      <c r="U417" s="41">
        <v>2.1593447505584513E-2</v>
      </c>
    </row>
    <row r="418" spans="20:21" x14ac:dyDescent="0.25">
      <c r="T418" s="57">
        <v>28960</v>
      </c>
      <c r="U418" s="41">
        <v>1.3968775677896467E-2</v>
      </c>
    </row>
    <row r="419" spans="20:21" x14ac:dyDescent="0.25">
      <c r="T419" s="57">
        <v>28967</v>
      </c>
      <c r="U419" s="41">
        <v>2.0903010033444816E-2</v>
      </c>
    </row>
    <row r="420" spans="20:21" x14ac:dyDescent="0.25">
      <c r="T420" s="57">
        <v>28974</v>
      </c>
      <c r="U420" s="41">
        <v>2.7530364372469637E-2</v>
      </c>
    </row>
    <row r="421" spans="20:21" x14ac:dyDescent="0.25">
      <c r="T421" s="57">
        <v>28981</v>
      </c>
      <c r="U421" s="41">
        <v>6.8917987594762234E-3</v>
      </c>
    </row>
    <row r="422" spans="20:21" x14ac:dyDescent="0.25">
      <c r="T422" s="57">
        <v>28988</v>
      </c>
      <c r="U422" s="41">
        <v>1.8209408194233688E-2</v>
      </c>
    </row>
    <row r="423" spans="20:21" x14ac:dyDescent="0.25">
      <c r="T423" s="57">
        <v>28995</v>
      </c>
      <c r="U423" s="41">
        <v>1.4342629482071713E-2</v>
      </c>
    </row>
    <row r="424" spans="20:21" x14ac:dyDescent="0.25">
      <c r="T424" s="57">
        <v>29002</v>
      </c>
      <c r="U424" s="41">
        <v>3.9106145251396648E-2</v>
      </c>
    </row>
    <row r="425" spans="20:21" x14ac:dyDescent="0.25">
      <c r="T425" s="57">
        <v>29009</v>
      </c>
      <c r="U425" s="41">
        <v>1.6699410609037329E-2</v>
      </c>
    </row>
    <row r="426" spans="20:21" x14ac:dyDescent="0.25">
      <c r="T426" s="57">
        <v>29016</v>
      </c>
      <c r="U426" s="41">
        <v>1.5653220951234198E-2</v>
      </c>
    </row>
    <row r="427" spans="20:21" x14ac:dyDescent="0.25">
      <c r="T427" s="57">
        <v>29023</v>
      </c>
      <c r="U427" s="41">
        <v>2.5056947608200455E-2</v>
      </c>
    </row>
    <row r="428" spans="20:21" x14ac:dyDescent="0.25">
      <c r="T428" s="57">
        <v>29030</v>
      </c>
      <c r="U428" s="41">
        <v>2.2883295194508008E-2</v>
      </c>
    </row>
    <row r="429" spans="20:21" x14ac:dyDescent="0.25">
      <c r="T429" s="57">
        <v>29037</v>
      </c>
      <c r="U429" s="41">
        <v>2.0611702127659573E-2</v>
      </c>
    </row>
    <row r="430" spans="20:21" x14ac:dyDescent="0.25">
      <c r="T430" s="57">
        <v>29044</v>
      </c>
      <c r="U430" s="41">
        <v>3.2955715756951595E-2</v>
      </c>
    </row>
    <row r="431" spans="20:21" x14ac:dyDescent="0.25">
      <c r="T431" s="57">
        <v>29051</v>
      </c>
      <c r="U431" s="41">
        <v>2.2286125089863409E-2</v>
      </c>
    </row>
    <row r="432" spans="20:21" x14ac:dyDescent="0.25">
      <c r="T432" s="57">
        <v>29058</v>
      </c>
      <c r="U432" s="41">
        <v>3.4408602150537634E-2</v>
      </c>
    </row>
    <row r="433" spans="20:21" x14ac:dyDescent="0.25">
      <c r="T433" s="57">
        <v>29065</v>
      </c>
      <c r="U433" s="41">
        <v>1.6611295681063124E-2</v>
      </c>
    </row>
    <row r="434" spans="20:21" x14ac:dyDescent="0.25">
      <c r="T434" s="57">
        <v>29079</v>
      </c>
      <c r="U434" s="41">
        <v>1.2437810945273632E-2</v>
      </c>
    </row>
    <row r="435" spans="20:21" x14ac:dyDescent="0.25">
      <c r="T435" s="57">
        <v>29082</v>
      </c>
      <c r="U435" s="41">
        <v>1.3006503251625813E-2</v>
      </c>
    </row>
    <row r="436" spans="20:21" x14ac:dyDescent="0.25">
      <c r="T436" s="57">
        <v>29086</v>
      </c>
      <c r="U436" s="41">
        <v>1.3828867761452032E-2</v>
      </c>
    </row>
    <row r="437" spans="20:21" x14ac:dyDescent="0.25">
      <c r="T437" s="57">
        <v>29093</v>
      </c>
      <c r="U437" s="41">
        <v>2.1276595744680851E-2</v>
      </c>
    </row>
    <row r="438" spans="20:21" x14ac:dyDescent="0.25">
      <c r="T438" s="57">
        <v>29100</v>
      </c>
      <c r="U438" s="41">
        <v>2.1505376344086023E-2</v>
      </c>
    </row>
    <row r="439" spans="20:21" x14ac:dyDescent="0.25">
      <c r="T439" s="57">
        <v>29107</v>
      </c>
      <c r="U439" s="41">
        <v>1.1577424023154847E-2</v>
      </c>
    </row>
    <row r="440" spans="20:21" x14ac:dyDescent="0.25">
      <c r="T440" s="57">
        <v>29114</v>
      </c>
      <c r="U440" s="41">
        <v>1.637852593266606E-2</v>
      </c>
    </row>
    <row r="441" spans="20:21" x14ac:dyDescent="0.25">
      <c r="T441" s="57">
        <v>29121</v>
      </c>
      <c r="U441" s="41">
        <v>1.7828200972447326E-2</v>
      </c>
    </row>
    <row r="442" spans="20:21" x14ac:dyDescent="0.25">
      <c r="T442" s="57">
        <v>29128</v>
      </c>
      <c r="U442" s="41">
        <v>1.0446343779677113E-2</v>
      </c>
    </row>
    <row r="443" spans="20:21" x14ac:dyDescent="0.25">
      <c r="T443" s="57">
        <v>29135</v>
      </c>
      <c r="U443" s="41">
        <v>2.302158273381295E-2</v>
      </c>
    </row>
    <row r="444" spans="20:21" x14ac:dyDescent="0.25">
      <c r="T444" s="57">
        <v>29142</v>
      </c>
      <c r="U444" s="41">
        <v>1.9347037484885126E-2</v>
      </c>
    </row>
    <row r="445" spans="20:21" x14ac:dyDescent="0.25">
      <c r="T445" s="57">
        <v>29156</v>
      </c>
      <c r="U445" s="41">
        <v>2.3041474654377881E-2</v>
      </c>
    </row>
    <row r="446" spans="20:21" x14ac:dyDescent="0.25">
      <c r="T446" s="57">
        <v>29160</v>
      </c>
      <c r="U446" s="41">
        <v>1.2772351615326822E-2</v>
      </c>
    </row>
    <row r="447" spans="20:21" x14ac:dyDescent="0.25">
      <c r="T447" s="57">
        <v>29163</v>
      </c>
      <c r="U447" s="41">
        <v>3.9297658862876256E-2</v>
      </c>
    </row>
    <row r="448" spans="20:21" x14ac:dyDescent="0.25">
      <c r="T448" s="57">
        <v>29177</v>
      </c>
      <c r="U448" s="41">
        <v>1.9189765458422176E-2</v>
      </c>
    </row>
    <row r="449" spans="20:21" x14ac:dyDescent="0.25">
      <c r="T449" s="57">
        <v>29184</v>
      </c>
      <c r="U449" s="41">
        <v>6.6269052352551355E-3</v>
      </c>
    </row>
    <row r="450" spans="20:21" x14ac:dyDescent="0.25">
      <c r="T450" s="57">
        <v>29191</v>
      </c>
      <c r="U450" s="41">
        <v>3.814884302689181E-2</v>
      </c>
    </row>
    <row r="451" spans="20:21" x14ac:dyDescent="0.25">
      <c r="T451" s="57">
        <v>29198</v>
      </c>
      <c r="U451" s="41">
        <v>2.8571428571428571E-2</v>
      </c>
    </row>
    <row r="452" spans="20:21" x14ac:dyDescent="0.25">
      <c r="T452" s="57">
        <v>29205</v>
      </c>
      <c r="U452" s="41">
        <v>2.1739130434782608E-2</v>
      </c>
    </row>
    <row r="453" spans="20:21" x14ac:dyDescent="0.25">
      <c r="T453" s="57">
        <v>29212</v>
      </c>
      <c r="U453" s="41">
        <v>1.3930348258706468E-2</v>
      </c>
    </row>
    <row r="454" spans="20:21" x14ac:dyDescent="0.25">
      <c r="T454" s="57">
        <v>29213</v>
      </c>
      <c r="U454" s="41">
        <v>1.3738250180766449E-2</v>
      </c>
    </row>
    <row r="455" spans="20:21" x14ac:dyDescent="0.25">
      <c r="T455" s="57">
        <v>29214</v>
      </c>
      <c r="U455" s="41">
        <v>3.1446540880503145E-2</v>
      </c>
    </row>
    <row r="456" spans="20:21" x14ac:dyDescent="0.25">
      <c r="T456" s="57">
        <v>29219</v>
      </c>
      <c r="U456" s="41">
        <v>2.6138279932546374E-2</v>
      </c>
    </row>
    <row r="457" spans="20:21" x14ac:dyDescent="0.25">
      <c r="T457" s="57">
        <v>29226</v>
      </c>
      <c r="U457" s="41">
        <v>2.7410207939508508E-2</v>
      </c>
    </row>
    <row r="458" spans="20:21" x14ac:dyDescent="0.25">
      <c r="T458" s="57">
        <v>29233</v>
      </c>
      <c r="U458" s="41">
        <v>2.6016260162601626E-2</v>
      </c>
    </row>
    <row r="459" spans="20:21" x14ac:dyDescent="0.25">
      <c r="T459" s="57">
        <v>29240</v>
      </c>
      <c r="U459" s="41">
        <v>4.7449584816132859E-2</v>
      </c>
    </row>
    <row r="460" spans="20:21" x14ac:dyDescent="0.25">
      <c r="T460" s="57">
        <v>29254</v>
      </c>
      <c r="U460" s="41">
        <v>1.977401129943503E-2</v>
      </c>
    </row>
    <row r="461" spans="20:21" x14ac:dyDescent="0.25">
      <c r="T461" s="57">
        <v>29261</v>
      </c>
      <c r="U461" s="41">
        <v>4.2253521126760563E-2</v>
      </c>
    </row>
    <row r="462" spans="20:21" x14ac:dyDescent="0.25">
      <c r="T462" s="57">
        <v>29268</v>
      </c>
      <c r="U462" s="41">
        <v>1.2804097311139564E-2</v>
      </c>
    </row>
    <row r="463" spans="20:21" x14ac:dyDescent="0.25">
      <c r="T463" s="57">
        <v>29275</v>
      </c>
      <c r="U463" s="41">
        <v>2.5559105431309903E-2</v>
      </c>
    </row>
    <row r="464" spans="20:21" x14ac:dyDescent="0.25">
      <c r="T464" s="57">
        <v>29282</v>
      </c>
      <c r="U464" s="41">
        <v>1.7733990147783252E-2</v>
      </c>
    </row>
    <row r="465" spans="20:21" x14ac:dyDescent="0.25">
      <c r="T465" s="57">
        <v>29289</v>
      </c>
      <c r="U465" s="41">
        <v>2.4120603015075376E-2</v>
      </c>
    </row>
    <row r="466" spans="20:21" x14ac:dyDescent="0.25">
      <c r="T466" s="57">
        <v>29296</v>
      </c>
      <c r="U466" s="41">
        <v>1.998001998001998E-2</v>
      </c>
    </row>
    <row r="467" spans="20:21" x14ac:dyDescent="0.25">
      <c r="T467" s="57">
        <v>29303</v>
      </c>
      <c r="U467" s="41">
        <v>1.8458197611292075E-2</v>
      </c>
    </row>
    <row r="468" spans="20:21" x14ac:dyDescent="0.25">
      <c r="T468" s="57">
        <v>29310</v>
      </c>
      <c r="U468" s="41">
        <v>2.795425667090216E-2</v>
      </c>
    </row>
    <row r="469" spans="20:21" x14ac:dyDescent="0.25">
      <c r="T469" s="57">
        <v>29317</v>
      </c>
      <c r="U469" s="41">
        <v>5.3221288515406161E-2</v>
      </c>
    </row>
    <row r="470" spans="20:21" x14ac:dyDescent="0.25">
      <c r="T470" s="57">
        <v>29324</v>
      </c>
      <c r="U470" s="41">
        <v>3.6418816388467376E-2</v>
      </c>
    </row>
    <row r="471" spans="20:21" x14ac:dyDescent="0.25">
      <c r="T471" s="57">
        <v>29331</v>
      </c>
      <c r="U471" s="41">
        <v>1.8851756640959727E-2</v>
      </c>
    </row>
    <row r="472" spans="20:21" x14ac:dyDescent="0.25">
      <c r="T472" s="57">
        <v>29338</v>
      </c>
      <c r="U472" s="41">
        <v>3.8876889848812095E-2</v>
      </c>
    </row>
    <row r="473" spans="20:21" x14ac:dyDescent="0.25">
      <c r="T473" s="57">
        <v>29345</v>
      </c>
      <c r="U473" s="41">
        <v>1.5384615384615385E-2</v>
      </c>
    </row>
    <row r="474" spans="20:21" x14ac:dyDescent="0.25">
      <c r="T474" s="57">
        <v>29352</v>
      </c>
      <c r="U474" s="41">
        <v>2.6881720430107527E-2</v>
      </c>
    </row>
    <row r="475" spans="20:21" x14ac:dyDescent="0.25">
      <c r="T475" s="57">
        <v>29359</v>
      </c>
      <c r="U475" s="41">
        <v>2.336448598130841E-2</v>
      </c>
    </row>
    <row r="476" spans="20:21" x14ac:dyDescent="0.25">
      <c r="T476" s="57">
        <v>29366</v>
      </c>
      <c r="U476" s="41">
        <v>2.7338129496402876E-2</v>
      </c>
    </row>
    <row r="477" spans="20:21" x14ac:dyDescent="0.25">
      <c r="T477" s="57">
        <v>29373</v>
      </c>
      <c r="U477" s="41">
        <v>1.498847040737894E-2</v>
      </c>
    </row>
    <row r="478" spans="20:21" x14ac:dyDescent="0.25">
      <c r="T478" s="57">
        <v>29380</v>
      </c>
      <c r="U478" s="41">
        <v>1.3783597518952447E-2</v>
      </c>
    </row>
    <row r="479" spans="20:21" x14ac:dyDescent="0.25">
      <c r="T479" s="57">
        <v>29387</v>
      </c>
      <c r="U479" s="41">
        <v>1.9275250578257519E-2</v>
      </c>
    </row>
    <row r="480" spans="20:21" x14ac:dyDescent="0.25">
      <c r="T480" s="57">
        <v>29394</v>
      </c>
      <c r="U480" s="41">
        <v>2.7874564459930314E-2</v>
      </c>
    </row>
    <row r="481" spans="20:21" x14ac:dyDescent="0.25">
      <c r="T481" s="57">
        <v>29401</v>
      </c>
      <c r="U481" s="41">
        <v>1.602136181575434E-2</v>
      </c>
    </row>
    <row r="482" spans="20:21" x14ac:dyDescent="0.25">
      <c r="T482" s="57">
        <v>29408</v>
      </c>
      <c r="U482" s="41">
        <v>3.5587188612099648E-2</v>
      </c>
    </row>
    <row r="483" spans="20:21" x14ac:dyDescent="0.25">
      <c r="T483" s="57">
        <v>29415</v>
      </c>
      <c r="U483" s="41">
        <v>1.8518518518518517E-2</v>
      </c>
    </row>
    <row r="484" spans="20:21" x14ac:dyDescent="0.25">
      <c r="T484" s="57">
        <v>29422</v>
      </c>
      <c r="U484" s="41">
        <v>2.5834230355220669E-2</v>
      </c>
    </row>
    <row r="485" spans="20:21" x14ac:dyDescent="0.25">
      <c r="T485" s="57">
        <v>29429</v>
      </c>
      <c r="U485" s="41">
        <v>2.3222060957910014E-2</v>
      </c>
    </row>
    <row r="486" spans="20:21" x14ac:dyDescent="0.25">
      <c r="T486" s="57">
        <v>29436</v>
      </c>
      <c r="U486" s="41">
        <v>6.4051240992794231E-3</v>
      </c>
    </row>
    <row r="487" spans="20:21" x14ac:dyDescent="0.25">
      <c r="T487" s="57">
        <v>29443</v>
      </c>
      <c r="U487" s="41">
        <v>1.7857142857142856E-2</v>
      </c>
    </row>
    <row r="488" spans="20:21" x14ac:dyDescent="0.25">
      <c r="T488" s="57">
        <v>29448</v>
      </c>
      <c r="U488" s="41">
        <v>1.8609206660137122E-2</v>
      </c>
    </row>
    <row r="489" spans="20:21" x14ac:dyDescent="0.25">
      <c r="T489" s="57">
        <v>29450</v>
      </c>
      <c r="U489" s="41">
        <v>2.1910604732690624E-2</v>
      </c>
    </row>
    <row r="490" spans="20:21" x14ac:dyDescent="0.25">
      <c r="T490" s="57">
        <v>29457</v>
      </c>
      <c r="U490" s="41">
        <v>2.4282560706401765E-2</v>
      </c>
    </row>
    <row r="491" spans="20:21" x14ac:dyDescent="0.25">
      <c r="T491" s="57">
        <v>29464</v>
      </c>
      <c r="U491" s="41">
        <v>2.062780269058296E-2</v>
      </c>
    </row>
    <row r="492" spans="20:21" x14ac:dyDescent="0.25">
      <c r="T492" s="57">
        <v>29471</v>
      </c>
      <c r="U492" s="41">
        <v>1.4965986394557823E-2</v>
      </c>
    </row>
    <row r="493" spans="20:21" x14ac:dyDescent="0.25">
      <c r="T493" s="57">
        <v>29478</v>
      </c>
      <c r="U493" s="41">
        <v>1.6561514195583597E-2</v>
      </c>
    </row>
    <row r="494" spans="20:21" x14ac:dyDescent="0.25">
      <c r="T494" s="57">
        <v>29485</v>
      </c>
      <c r="U494" s="41">
        <v>1.0325655281969817E-2</v>
      </c>
    </row>
    <row r="495" spans="20:21" x14ac:dyDescent="0.25">
      <c r="T495" s="57">
        <v>29492</v>
      </c>
      <c r="U495" s="41">
        <v>1.7316017316017316E-2</v>
      </c>
    </row>
    <row r="496" spans="20:21" x14ac:dyDescent="0.25">
      <c r="T496" s="57">
        <v>29499</v>
      </c>
      <c r="U496" s="41">
        <v>1.0951979780960405E-2</v>
      </c>
    </row>
    <row r="497" spans="20:21" x14ac:dyDescent="0.25">
      <c r="T497" s="57">
        <v>29506</v>
      </c>
      <c r="U497" s="41">
        <v>2.2151898734177215E-2</v>
      </c>
    </row>
    <row r="498" spans="20:21" x14ac:dyDescent="0.25">
      <c r="T498" s="57">
        <v>29513</v>
      </c>
      <c r="U498" s="41">
        <v>1.5170670037926675E-2</v>
      </c>
    </row>
    <row r="499" spans="20:21" x14ac:dyDescent="0.25">
      <c r="T499" s="57">
        <v>29520</v>
      </c>
      <c r="U499" s="41">
        <v>2.0484171322160148E-2</v>
      </c>
    </row>
    <row r="500" spans="20:21" x14ac:dyDescent="0.25">
      <c r="T500" s="57">
        <v>29526</v>
      </c>
      <c r="U500" s="41">
        <v>1.8957345971563982E-2</v>
      </c>
    </row>
    <row r="501" spans="20:21" x14ac:dyDescent="0.25">
      <c r="T501" s="57">
        <v>29527</v>
      </c>
      <c r="U501" s="41">
        <v>9.0826521344232521E-3</v>
      </c>
    </row>
    <row r="502" spans="20:21" x14ac:dyDescent="0.25">
      <c r="T502" s="57">
        <v>29534</v>
      </c>
      <c r="U502" s="41">
        <v>3.2323232323232323E-2</v>
      </c>
    </row>
    <row r="503" spans="20:21" x14ac:dyDescent="0.25">
      <c r="T503" s="57">
        <v>29541</v>
      </c>
      <c r="U503" s="41">
        <v>1.4771048744460856E-2</v>
      </c>
    </row>
    <row r="504" spans="20:21" x14ac:dyDescent="0.25">
      <c r="T504" s="57">
        <v>29548</v>
      </c>
      <c r="U504" s="41">
        <v>2.4752475247524754E-2</v>
      </c>
    </row>
    <row r="505" spans="20:21" x14ac:dyDescent="0.25">
      <c r="T505" s="57">
        <v>29555</v>
      </c>
      <c r="U505" s="41">
        <v>1.3844515441959531E-2</v>
      </c>
    </row>
    <row r="506" spans="20:21" x14ac:dyDescent="0.25">
      <c r="T506" s="57">
        <v>29562</v>
      </c>
      <c r="U506" s="41">
        <v>1.7142857142857144E-2</v>
      </c>
    </row>
    <row r="507" spans="20:21" x14ac:dyDescent="0.25">
      <c r="T507" s="57">
        <v>29569</v>
      </c>
      <c r="U507" s="41">
        <v>4.7225501770956314E-3</v>
      </c>
    </row>
    <row r="508" spans="20:21" x14ac:dyDescent="0.25">
      <c r="T508" s="57">
        <v>29576</v>
      </c>
      <c r="U508" s="41">
        <v>3.4519956850053934E-2</v>
      </c>
    </row>
    <row r="509" spans="20:21" x14ac:dyDescent="0.25">
      <c r="T509" s="57">
        <v>29579</v>
      </c>
      <c r="U509" s="41">
        <v>9.5057034220532319E-4</v>
      </c>
    </row>
    <row r="510" spans="20:21" x14ac:dyDescent="0.25">
      <c r="T510" s="57">
        <v>29580</v>
      </c>
      <c r="U510" s="41">
        <v>2.0850040096230954E-2</v>
      </c>
    </row>
    <row r="511" spans="20:21" x14ac:dyDescent="0.25">
      <c r="T511" s="57">
        <v>29583</v>
      </c>
      <c r="U511" s="41">
        <v>1.9790454016298021E-2</v>
      </c>
    </row>
    <row r="512" spans="20:21" x14ac:dyDescent="0.25">
      <c r="T512" s="57">
        <v>29590</v>
      </c>
      <c r="U512" s="41">
        <v>4.0275049115913557E-2</v>
      </c>
    </row>
    <row r="513" spans="20:21" x14ac:dyDescent="0.25">
      <c r="T513" s="57">
        <v>29597</v>
      </c>
      <c r="U513" s="41">
        <v>2.3299161230195712E-2</v>
      </c>
    </row>
    <row r="514" spans="20:21" x14ac:dyDescent="0.25">
      <c r="T514" s="57">
        <v>29604</v>
      </c>
      <c r="U514" s="41">
        <v>5.1126516464471403E-2</v>
      </c>
    </row>
    <row r="515" spans="20:21" x14ac:dyDescent="0.25">
      <c r="T515" s="57">
        <v>29611</v>
      </c>
      <c r="U515" s="41">
        <v>4.9019607843137254E-2</v>
      </c>
    </row>
    <row r="516" spans="20:21" x14ac:dyDescent="0.25">
      <c r="T516" s="57">
        <v>29618</v>
      </c>
      <c r="U516" s="41">
        <v>7.2046109510086453E-3</v>
      </c>
    </row>
    <row r="517" spans="20:21" x14ac:dyDescent="0.25">
      <c r="T517" s="57">
        <v>29625</v>
      </c>
      <c r="U517" s="41">
        <v>3.3965244865718801E-2</v>
      </c>
    </row>
    <row r="518" spans="20:21" x14ac:dyDescent="0.25">
      <c r="T518" s="57">
        <v>29632</v>
      </c>
      <c r="U518" s="41">
        <v>1.4705882352941176E-2</v>
      </c>
    </row>
    <row r="519" spans="20:21" x14ac:dyDescent="0.25">
      <c r="T519" s="57">
        <v>29646</v>
      </c>
      <c r="U519" s="41">
        <v>2.4390243902439025E-2</v>
      </c>
    </row>
    <row r="520" spans="20:21" x14ac:dyDescent="0.25">
      <c r="T520" s="57">
        <v>29653</v>
      </c>
      <c r="U520" s="41">
        <v>9.9750623441396506E-3</v>
      </c>
    </row>
    <row r="521" spans="20:21" x14ac:dyDescent="0.25">
      <c r="T521" s="57">
        <v>29660</v>
      </c>
      <c r="U521" s="41">
        <v>4.7169811320754715E-3</v>
      </c>
    </row>
    <row r="522" spans="20:21" x14ac:dyDescent="0.25">
      <c r="T522" s="57">
        <v>29667</v>
      </c>
      <c r="U522" s="41">
        <v>9.1428571428571435E-3</v>
      </c>
    </row>
    <row r="523" spans="20:21" x14ac:dyDescent="0.25">
      <c r="T523" s="57">
        <v>29674</v>
      </c>
      <c r="U523" s="41">
        <v>1.1553273427471117E-2</v>
      </c>
    </row>
    <row r="524" spans="20:21" x14ac:dyDescent="0.25">
      <c r="T524" s="57">
        <v>29681</v>
      </c>
      <c r="U524" s="41">
        <v>1.5558698727015558E-2</v>
      </c>
    </row>
    <row r="525" spans="20:21" x14ac:dyDescent="0.25">
      <c r="T525" s="57">
        <v>29688</v>
      </c>
      <c r="U525" s="41">
        <v>1.3574660633484163E-2</v>
      </c>
    </row>
    <row r="526" spans="20:21" x14ac:dyDescent="0.25">
      <c r="T526" s="57">
        <v>29695</v>
      </c>
      <c r="U526" s="41">
        <v>3.046594982078853E-2</v>
      </c>
    </row>
    <row r="527" spans="20:21" x14ac:dyDescent="0.25">
      <c r="T527" s="57">
        <v>29702</v>
      </c>
      <c r="U527" s="41">
        <v>2.6865671641791045E-2</v>
      </c>
    </row>
    <row r="528" spans="20:21" x14ac:dyDescent="0.25">
      <c r="T528" s="57">
        <v>29709</v>
      </c>
      <c r="U528" s="41">
        <v>1.8924302788844622E-2</v>
      </c>
    </row>
    <row r="529" spans="20:21" x14ac:dyDescent="0.25">
      <c r="T529" s="57">
        <v>29716</v>
      </c>
      <c r="U529" s="41">
        <v>1.8292682926829267E-2</v>
      </c>
    </row>
    <row r="530" spans="20:21" x14ac:dyDescent="0.25">
      <c r="T530" s="57">
        <v>29723</v>
      </c>
      <c r="U530" s="41">
        <v>2.8449502133712661E-2</v>
      </c>
    </row>
    <row r="531" spans="20:21" x14ac:dyDescent="0.25">
      <c r="T531" s="57">
        <v>29730</v>
      </c>
      <c r="U531" s="41">
        <v>1.2048192771084338E-2</v>
      </c>
    </row>
    <row r="532" spans="20:21" x14ac:dyDescent="0.25">
      <c r="T532" s="57">
        <v>29737</v>
      </c>
      <c r="U532" s="41">
        <v>4.730831973898858E-2</v>
      </c>
    </row>
    <row r="533" spans="20:21" x14ac:dyDescent="0.25">
      <c r="T533" s="57">
        <v>29744</v>
      </c>
      <c r="U533" s="41">
        <v>1.6835016835016835E-2</v>
      </c>
    </row>
    <row r="534" spans="20:21" x14ac:dyDescent="0.25">
      <c r="T534" s="57">
        <v>29751</v>
      </c>
      <c r="U534" s="41">
        <v>1.8231540565177756E-2</v>
      </c>
    </row>
    <row r="535" spans="20:21" x14ac:dyDescent="0.25">
      <c r="T535" s="57">
        <v>29758</v>
      </c>
      <c r="U535" s="41">
        <v>1.611170784103115E-2</v>
      </c>
    </row>
    <row r="536" spans="20:21" x14ac:dyDescent="0.25">
      <c r="T536" s="57">
        <v>29765</v>
      </c>
      <c r="U536" s="41">
        <v>4.0451552210724363E-2</v>
      </c>
    </row>
    <row r="537" spans="20:21" x14ac:dyDescent="0.25">
      <c r="T537" s="57">
        <v>29772</v>
      </c>
      <c r="U537" s="41">
        <v>3.2948929159802305E-2</v>
      </c>
    </row>
    <row r="538" spans="20:21" x14ac:dyDescent="0.25">
      <c r="T538" s="57">
        <v>29779</v>
      </c>
      <c r="U538" s="41">
        <v>2.1528525296017224E-2</v>
      </c>
    </row>
    <row r="539" spans="20:21" x14ac:dyDescent="0.25">
      <c r="T539" s="57">
        <v>29786</v>
      </c>
      <c r="U539" s="41">
        <v>3.2258064516129031E-2</v>
      </c>
    </row>
    <row r="540" spans="20:21" x14ac:dyDescent="0.25">
      <c r="T540" s="57">
        <v>29793</v>
      </c>
      <c r="U540" s="41">
        <v>1.4886164623467601E-2</v>
      </c>
    </row>
    <row r="541" spans="20:21" x14ac:dyDescent="0.25">
      <c r="T541" s="57">
        <v>29800</v>
      </c>
      <c r="U541" s="41">
        <v>1.9569471624266144E-2</v>
      </c>
    </row>
    <row r="542" spans="20:21" x14ac:dyDescent="0.25">
      <c r="T542" s="57">
        <v>29807</v>
      </c>
      <c r="U542" s="41">
        <v>3.8487972508591067E-2</v>
      </c>
    </row>
    <row r="543" spans="20:21" x14ac:dyDescent="0.25">
      <c r="T543" s="57">
        <v>29813</v>
      </c>
      <c r="U543" s="41">
        <v>1.4652014652014652E-2</v>
      </c>
    </row>
    <row r="544" spans="20:21" x14ac:dyDescent="0.25">
      <c r="T544" s="57">
        <v>29814</v>
      </c>
      <c r="U544" s="41">
        <v>1.2127894156560088E-2</v>
      </c>
    </row>
    <row r="545" spans="20:21" x14ac:dyDescent="0.25">
      <c r="T545" s="57">
        <v>29821</v>
      </c>
      <c r="U545" s="41">
        <v>2.5065963060686015E-2</v>
      </c>
    </row>
    <row r="546" spans="20:21" x14ac:dyDescent="0.25">
      <c r="T546" s="57">
        <v>29828</v>
      </c>
      <c r="U546" s="41">
        <v>2.6981450252951095E-2</v>
      </c>
    </row>
    <row r="547" spans="20:21" x14ac:dyDescent="0.25">
      <c r="T547" s="57">
        <v>29835</v>
      </c>
      <c r="U547" s="41">
        <v>1.9672131147540985E-2</v>
      </c>
    </row>
    <row r="548" spans="20:21" x14ac:dyDescent="0.25">
      <c r="T548" s="57">
        <v>29842</v>
      </c>
      <c r="U548" s="41">
        <v>1.680672268907563E-2</v>
      </c>
    </row>
    <row r="549" spans="20:21" x14ac:dyDescent="0.25">
      <c r="T549" s="57">
        <v>29849</v>
      </c>
      <c r="U549" s="41">
        <v>1.1538461538461539E-2</v>
      </c>
    </row>
    <row r="550" spans="20:21" x14ac:dyDescent="0.25">
      <c r="T550" s="57">
        <v>29856</v>
      </c>
      <c r="U550" s="41">
        <v>2.1765417170495769E-2</v>
      </c>
    </row>
    <row r="551" spans="20:21" x14ac:dyDescent="0.25">
      <c r="T551" s="57">
        <v>29863</v>
      </c>
      <c r="U551" s="41">
        <v>9.1575091575091579E-3</v>
      </c>
    </row>
    <row r="552" spans="20:21" x14ac:dyDescent="0.25">
      <c r="T552" s="57">
        <v>29870</v>
      </c>
      <c r="U552" s="41">
        <v>4.2929292929292928E-2</v>
      </c>
    </row>
    <row r="553" spans="20:21" x14ac:dyDescent="0.25">
      <c r="T553" s="57">
        <v>29877</v>
      </c>
      <c r="U553" s="41">
        <v>1.3961605584642234E-2</v>
      </c>
    </row>
    <row r="554" spans="20:21" x14ac:dyDescent="0.25">
      <c r="T554" s="57">
        <v>29884</v>
      </c>
      <c r="U554" s="41">
        <v>2.8346456692913385E-2</v>
      </c>
    </row>
    <row r="555" spans="20:21" x14ac:dyDescent="0.25">
      <c r="T555" s="57">
        <v>29891</v>
      </c>
      <c r="U555" s="41">
        <v>6.8259385665529011E-3</v>
      </c>
    </row>
    <row r="556" spans="20:21" x14ac:dyDescent="0.25">
      <c r="T556" s="57">
        <v>29898</v>
      </c>
      <c r="U556" s="41">
        <v>2.2292993630573247E-2</v>
      </c>
    </row>
    <row r="557" spans="20:21" x14ac:dyDescent="0.25">
      <c r="T557" s="57">
        <v>29905</v>
      </c>
      <c r="U557" s="41">
        <v>1.4566642388929352E-2</v>
      </c>
    </row>
    <row r="558" spans="20:21" x14ac:dyDescent="0.25">
      <c r="T558" s="57">
        <v>29912</v>
      </c>
      <c r="U558" s="41">
        <v>6.3380281690140844E-2</v>
      </c>
    </row>
    <row r="559" spans="20:21" x14ac:dyDescent="0.25">
      <c r="T559" s="57">
        <v>29919</v>
      </c>
      <c r="U559" s="41">
        <v>2.2608695652173914E-2</v>
      </c>
    </row>
    <row r="560" spans="20:21" x14ac:dyDescent="0.25">
      <c r="T560" s="57">
        <v>29926</v>
      </c>
      <c r="U560" s="41">
        <v>1.5521064301552107E-2</v>
      </c>
    </row>
    <row r="561" spans="20:21" x14ac:dyDescent="0.25">
      <c r="T561" s="57">
        <v>29933</v>
      </c>
      <c r="U561" s="41">
        <v>1.6666666666666666E-2</v>
      </c>
    </row>
    <row r="562" spans="20:21" x14ac:dyDescent="0.25">
      <c r="T562" s="57">
        <v>29940</v>
      </c>
      <c r="U562" s="41">
        <v>1.3250194855806703E-2</v>
      </c>
    </row>
    <row r="563" spans="20:21" x14ac:dyDescent="0.25">
      <c r="T563" s="57">
        <v>29944</v>
      </c>
      <c r="U563" s="41">
        <v>9.4637223974763408E-3</v>
      </c>
    </row>
    <row r="564" spans="20:21" x14ac:dyDescent="0.25">
      <c r="T564" s="57">
        <v>29945</v>
      </c>
      <c r="U564" s="41">
        <v>6.7567567567567571E-3</v>
      </c>
    </row>
    <row r="565" spans="20:21" x14ac:dyDescent="0.25">
      <c r="T565" s="57">
        <v>29947</v>
      </c>
      <c r="U565" s="41">
        <v>9.7613882863340565E-3</v>
      </c>
    </row>
    <row r="566" spans="20:21" x14ac:dyDescent="0.25">
      <c r="T566" s="57">
        <v>29954</v>
      </c>
      <c r="U566" s="41">
        <v>2.7921406411582212E-2</v>
      </c>
    </row>
    <row r="567" spans="20:21" x14ac:dyDescent="0.25">
      <c r="T567" s="57">
        <v>29961</v>
      </c>
      <c r="U567" s="41">
        <v>1.5090543259557344E-2</v>
      </c>
    </row>
    <row r="568" spans="20:21" x14ac:dyDescent="0.25">
      <c r="T568" s="57">
        <v>29968</v>
      </c>
      <c r="U568" s="41">
        <v>2.8495102404274265E-2</v>
      </c>
    </row>
    <row r="569" spans="20:21" x14ac:dyDescent="0.25">
      <c r="T569" s="57">
        <v>29975</v>
      </c>
      <c r="U569" s="41">
        <v>2.8828828828828829E-2</v>
      </c>
    </row>
    <row r="570" spans="20:21" x14ac:dyDescent="0.25">
      <c r="T570" s="57">
        <v>29982</v>
      </c>
      <c r="U570" s="41">
        <v>2.1068472535741158E-2</v>
      </c>
    </row>
    <row r="571" spans="20:21" x14ac:dyDescent="0.25">
      <c r="T571" s="57">
        <v>29989</v>
      </c>
      <c r="U571" s="41">
        <v>5.434782608695652E-3</v>
      </c>
    </row>
    <row r="572" spans="20:21" x14ac:dyDescent="0.25">
      <c r="T572" s="57">
        <v>29996</v>
      </c>
      <c r="U572" s="41">
        <v>6.4655172413793103E-3</v>
      </c>
    </row>
    <row r="573" spans="20:21" x14ac:dyDescent="0.25">
      <c r="T573" s="57">
        <v>30003</v>
      </c>
      <c r="U573" s="41">
        <v>1.0956175298804782E-2</v>
      </c>
    </row>
    <row r="574" spans="20:21" x14ac:dyDescent="0.25">
      <c r="T574" s="57">
        <v>30010</v>
      </c>
      <c r="U574" s="41">
        <v>3.8461538461538464E-2</v>
      </c>
    </row>
    <row r="575" spans="20:21" x14ac:dyDescent="0.25">
      <c r="T575" s="57">
        <v>30017</v>
      </c>
      <c r="U575" s="41">
        <v>3.6264732547597461E-2</v>
      </c>
    </row>
    <row r="576" spans="20:21" x14ac:dyDescent="0.25">
      <c r="T576" s="57">
        <v>30024</v>
      </c>
      <c r="U576" s="41">
        <v>3.7181996086105673E-2</v>
      </c>
    </row>
    <row r="577" spans="20:21" x14ac:dyDescent="0.25">
      <c r="T577" s="57">
        <v>30031</v>
      </c>
      <c r="U577" s="41">
        <v>3.4229828850855744E-2</v>
      </c>
    </row>
    <row r="578" spans="20:21" x14ac:dyDescent="0.25">
      <c r="T578" s="57">
        <v>30038</v>
      </c>
      <c r="U578" s="41">
        <v>3.889585947302384E-2</v>
      </c>
    </row>
    <row r="579" spans="20:21" x14ac:dyDescent="0.25">
      <c r="T579" s="57">
        <v>30045</v>
      </c>
      <c r="U579" s="41">
        <v>2.9726516052318668E-2</v>
      </c>
    </row>
    <row r="580" spans="20:21" x14ac:dyDescent="0.25">
      <c r="T580" s="57">
        <v>30052</v>
      </c>
      <c r="U580" s="41">
        <v>4.0836653386454182E-2</v>
      </c>
    </row>
    <row r="581" spans="20:21" x14ac:dyDescent="0.25">
      <c r="T581" s="57">
        <v>30059</v>
      </c>
      <c r="U581" s="41">
        <v>3.039288361749444E-2</v>
      </c>
    </row>
    <row r="582" spans="20:21" x14ac:dyDescent="0.25">
      <c r="T582" s="57">
        <v>30066</v>
      </c>
      <c r="U582" s="41">
        <v>2.6548672566371681E-2</v>
      </c>
    </row>
    <row r="583" spans="20:21" x14ac:dyDescent="0.25">
      <c r="T583" s="57">
        <v>30073</v>
      </c>
      <c r="U583" s="41">
        <v>2.2620904836193449E-2</v>
      </c>
    </row>
    <row r="584" spans="20:21" x14ac:dyDescent="0.25">
      <c r="T584" s="57">
        <v>30080</v>
      </c>
      <c r="U584" s="41">
        <v>1.0526315789473684E-2</v>
      </c>
    </row>
    <row r="585" spans="20:21" x14ac:dyDescent="0.25">
      <c r="T585" s="57">
        <v>30087</v>
      </c>
      <c r="U585" s="41">
        <v>3.4375000000000003E-2</v>
      </c>
    </row>
    <row r="586" spans="20:21" x14ac:dyDescent="0.25">
      <c r="T586" s="57">
        <v>30094</v>
      </c>
      <c r="U586" s="41">
        <v>3.5149384885764502E-2</v>
      </c>
    </row>
    <row r="587" spans="20:21" x14ac:dyDescent="0.25">
      <c r="T587" s="57">
        <v>30101</v>
      </c>
      <c r="U587" s="41">
        <v>2.8184892897406989E-2</v>
      </c>
    </row>
    <row r="588" spans="20:21" x14ac:dyDescent="0.25">
      <c r="T588" s="57">
        <v>30108</v>
      </c>
      <c r="U588" s="41">
        <v>3.6742800397219465E-2</v>
      </c>
    </row>
    <row r="589" spans="20:21" x14ac:dyDescent="0.25">
      <c r="T589" s="57">
        <v>30115</v>
      </c>
      <c r="U589" s="41">
        <v>2.9393370856785492E-2</v>
      </c>
    </row>
    <row r="590" spans="20:21" x14ac:dyDescent="0.25">
      <c r="T590" s="57">
        <v>30122</v>
      </c>
      <c r="U590" s="41">
        <v>1.4455782312925171E-2</v>
      </c>
    </row>
    <row r="591" spans="20:21" x14ac:dyDescent="0.25">
      <c r="T591" s="57">
        <v>30129</v>
      </c>
      <c r="U591" s="41">
        <v>1.8617021276595744E-2</v>
      </c>
    </row>
    <row r="592" spans="20:21" x14ac:dyDescent="0.25">
      <c r="T592" s="57">
        <v>30136</v>
      </c>
      <c r="U592" s="41">
        <v>1.0550996483001172E-2</v>
      </c>
    </row>
    <row r="593" spans="20:21" x14ac:dyDescent="0.25">
      <c r="T593" s="57">
        <v>30143</v>
      </c>
      <c r="U593" s="41">
        <v>2.2369511184755591E-2</v>
      </c>
    </row>
    <row r="594" spans="20:21" x14ac:dyDescent="0.25">
      <c r="T594" s="57">
        <v>30150</v>
      </c>
      <c r="U594" s="41">
        <v>1.5609756097560976E-2</v>
      </c>
    </row>
    <row r="595" spans="20:21" x14ac:dyDescent="0.25">
      <c r="T595" s="57">
        <v>30157</v>
      </c>
      <c r="U595" s="41">
        <v>2.2332506203473945E-2</v>
      </c>
    </row>
    <row r="596" spans="20:21" x14ac:dyDescent="0.25">
      <c r="T596" s="57">
        <v>30164</v>
      </c>
      <c r="U596" s="41">
        <v>2.8081123244929798E-2</v>
      </c>
    </row>
    <row r="597" spans="20:21" x14ac:dyDescent="0.25">
      <c r="T597" s="57">
        <v>30171</v>
      </c>
      <c r="U597" s="41">
        <v>1.924500370096225E-2</v>
      </c>
    </row>
    <row r="598" spans="20:21" x14ac:dyDescent="0.25">
      <c r="T598" s="57">
        <v>30178</v>
      </c>
      <c r="U598" s="41">
        <v>7.0011668611435242E-3</v>
      </c>
    </row>
    <row r="599" spans="20:21" x14ac:dyDescent="0.25">
      <c r="T599" s="57">
        <v>30185</v>
      </c>
      <c r="U599" s="41">
        <v>1.3582342954159592E-2</v>
      </c>
    </row>
    <row r="600" spans="20:21" x14ac:dyDescent="0.25">
      <c r="T600" s="57">
        <v>30192</v>
      </c>
      <c r="U600" s="41">
        <v>1.0840108401084011E-2</v>
      </c>
    </row>
    <row r="601" spans="20:21" x14ac:dyDescent="0.25">
      <c r="T601" s="57">
        <v>30199</v>
      </c>
      <c r="U601" s="41">
        <v>7.1942446043165471E-3</v>
      </c>
    </row>
    <row r="602" spans="20:21" x14ac:dyDescent="0.25">
      <c r="T602" s="57">
        <v>30206</v>
      </c>
      <c r="U602" s="41">
        <v>3.870162297128589E-2</v>
      </c>
    </row>
    <row r="603" spans="20:21" x14ac:dyDescent="0.25">
      <c r="T603" s="57">
        <v>30213</v>
      </c>
      <c r="U603" s="41">
        <v>2.0480854853072127E-2</v>
      </c>
    </row>
    <row r="604" spans="20:21" x14ac:dyDescent="0.25">
      <c r="T604" s="57">
        <v>30220</v>
      </c>
      <c r="U604" s="41">
        <v>2.4390243902439025E-2</v>
      </c>
    </row>
    <row r="605" spans="20:21" x14ac:dyDescent="0.25">
      <c r="T605" s="57">
        <v>30227</v>
      </c>
      <c r="U605" s="41">
        <v>2.4171888988361683E-2</v>
      </c>
    </row>
    <row r="606" spans="20:21" x14ac:dyDescent="0.25">
      <c r="T606" s="57">
        <v>30234</v>
      </c>
      <c r="U606" s="41">
        <v>2.2810890360559236E-2</v>
      </c>
    </row>
    <row r="607" spans="20:21" x14ac:dyDescent="0.25">
      <c r="T607" s="57">
        <v>30241</v>
      </c>
      <c r="U607" s="41">
        <v>1.7060367454068241E-2</v>
      </c>
    </row>
    <row r="608" spans="20:21" x14ac:dyDescent="0.25">
      <c r="T608" s="57">
        <v>30248</v>
      </c>
      <c r="U608" s="41">
        <v>3.9309683604985615E-2</v>
      </c>
    </row>
    <row r="609" spans="20:21" x14ac:dyDescent="0.25">
      <c r="T609" s="57">
        <v>30255</v>
      </c>
      <c r="U609" s="41">
        <v>3.4129692832764505E-3</v>
      </c>
    </row>
    <row r="610" spans="20:21" x14ac:dyDescent="0.25">
      <c r="T610" s="57">
        <v>30256</v>
      </c>
      <c r="U610" s="41">
        <v>1.0506208213944603E-2</v>
      </c>
    </row>
    <row r="611" spans="20:21" x14ac:dyDescent="0.25">
      <c r="T611" s="57">
        <v>30262</v>
      </c>
      <c r="U611" s="41">
        <v>3.1007751937984496E-2</v>
      </c>
    </row>
    <row r="612" spans="20:21" x14ac:dyDescent="0.25">
      <c r="T612" s="57">
        <v>30269</v>
      </c>
      <c r="U612" s="41">
        <v>2.5246981339187707E-2</v>
      </c>
    </row>
    <row r="613" spans="20:21" x14ac:dyDescent="0.25">
      <c r="T613" s="57">
        <v>30276</v>
      </c>
      <c r="U613" s="41">
        <v>2.7720739219712527E-2</v>
      </c>
    </row>
    <row r="614" spans="20:21" x14ac:dyDescent="0.25">
      <c r="T614" s="57">
        <v>30283</v>
      </c>
      <c r="U614" s="41">
        <v>2.2105263157894735E-2</v>
      </c>
    </row>
    <row r="615" spans="20:21" x14ac:dyDescent="0.25">
      <c r="T615" s="57">
        <v>30290</v>
      </c>
      <c r="U615" s="41">
        <v>1.3793103448275862E-2</v>
      </c>
    </row>
    <row r="616" spans="20:21" x14ac:dyDescent="0.25">
      <c r="T616" s="57">
        <v>30297</v>
      </c>
      <c r="U616" s="41">
        <v>1.3552758954501452E-2</v>
      </c>
    </row>
    <row r="617" spans="20:21" x14ac:dyDescent="0.25">
      <c r="T617" s="57">
        <v>30304</v>
      </c>
      <c r="U617" s="41">
        <v>1.6319129646418858E-2</v>
      </c>
    </row>
    <row r="618" spans="20:21" x14ac:dyDescent="0.25">
      <c r="T618" s="57">
        <v>30309</v>
      </c>
      <c r="U618" s="41">
        <v>1.3460015835312747E-2</v>
      </c>
    </row>
    <row r="619" spans="20:21" x14ac:dyDescent="0.25">
      <c r="T619" s="57">
        <v>30311</v>
      </c>
      <c r="U619" s="41">
        <v>1.1244377811094454E-2</v>
      </c>
    </row>
    <row r="620" spans="20:21" x14ac:dyDescent="0.25">
      <c r="T620" s="57">
        <v>30318</v>
      </c>
      <c r="U620" s="41">
        <v>2.0948180815876516E-2</v>
      </c>
    </row>
    <row r="621" spans="20:21" x14ac:dyDescent="0.25">
      <c r="T621" s="57">
        <v>30325</v>
      </c>
      <c r="U621" s="41">
        <v>3.8596491228070177E-2</v>
      </c>
    </row>
    <row r="622" spans="20:21" x14ac:dyDescent="0.25">
      <c r="T622" s="57">
        <v>30332</v>
      </c>
      <c r="U622" s="41">
        <v>2.4082568807339451E-2</v>
      </c>
    </row>
    <row r="623" spans="20:21" x14ac:dyDescent="0.25">
      <c r="T623" s="57">
        <v>30339</v>
      </c>
      <c r="U623" s="41">
        <v>1.2915129151291513E-2</v>
      </c>
    </row>
    <row r="624" spans="20:21" x14ac:dyDescent="0.25">
      <c r="T624" s="57">
        <v>30346</v>
      </c>
      <c r="U624" s="41">
        <v>2.8403525954946131E-2</v>
      </c>
    </row>
    <row r="625" spans="20:21" x14ac:dyDescent="0.25">
      <c r="T625" s="57">
        <v>30353</v>
      </c>
      <c r="U625" s="41">
        <v>1.556420233463035E-2</v>
      </c>
    </row>
    <row r="626" spans="20:21" x14ac:dyDescent="0.25">
      <c r="T626" s="57">
        <v>30360</v>
      </c>
      <c r="U626" s="41">
        <v>3.9870689655172417E-2</v>
      </c>
    </row>
    <row r="627" spans="20:21" x14ac:dyDescent="0.25">
      <c r="T627" s="57">
        <v>30367</v>
      </c>
      <c r="U627" s="41">
        <v>8.8202866593164279E-3</v>
      </c>
    </row>
    <row r="628" spans="20:21" x14ac:dyDescent="0.25">
      <c r="T628" s="57">
        <v>30374</v>
      </c>
      <c r="U628" s="41">
        <v>8.438818565400844E-4</v>
      </c>
    </row>
    <row r="629" spans="20:21" x14ac:dyDescent="0.25">
      <c r="T629" s="57">
        <v>30381</v>
      </c>
      <c r="U629" s="41">
        <v>1.1591148577449948E-2</v>
      </c>
    </row>
    <row r="630" spans="20:21" x14ac:dyDescent="0.25">
      <c r="T630" s="57">
        <v>30388</v>
      </c>
      <c r="U630" s="41">
        <v>7.0984915705412602E-3</v>
      </c>
    </row>
    <row r="631" spans="20:21" x14ac:dyDescent="0.25">
      <c r="T631" s="57">
        <v>30395</v>
      </c>
      <c r="U631" s="41">
        <v>1.932367149758454E-2</v>
      </c>
    </row>
    <row r="632" spans="20:21" x14ac:dyDescent="0.25">
      <c r="T632" s="57">
        <v>30402</v>
      </c>
      <c r="U632" s="41">
        <v>1.5360983102918587E-2</v>
      </c>
    </row>
    <row r="633" spans="20:21" x14ac:dyDescent="0.25">
      <c r="T633" s="57">
        <v>30409</v>
      </c>
      <c r="U633" s="41">
        <v>2.8213166144200628E-2</v>
      </c>
    </row>
    <row r="634" spans="20:21" x14ac:dyDescent="0.25">
      <c r="T634" s="57">
        <v>30416</v>
      </c>
      <c r="U634" s="41">
        <v>3.7165082108902334E-2</v>
      </c>
    </row>
    <row r="635" spans="20:21" x14ac:dyDescent="0.25">
      <c r="T635" s="57">
        <v>30423</v>
      </c>
      <c r="U635" s="41">
        <v>1.5580736543909348E-2</v>
      </c>
    </row>
    <row r="636" spans="20:21" x14ac:dyDescent="0.25">
      <c r="T636" s="57">
        <v>30430</v>
      </c>
      <c r="U636" s="41">
        <v>1.6934046345811051E-2</v>
      </c>
    </row>
    <row r="637" spans="20:21" x14ac:dyDescent="0.25">
      <c r="T637" s="57">
        <v>30444</v>
      </c>
      <c r="U637" s="41">
        <v>5.2202283849918436E-2</v>
      </c>
    </row>
    <row r="638" spans="20:21" x14ac:dyDescent="0.25">
      <c r="T638" s="57">
        <v>30451</v>
      </c>
      <c r="U638" s="41">
        <v>4.1372351160443993E-2</v>
      </c>
    </row>
    <row r="639" spans="20:21" x14ac:dyDescent="0.25">
      <c r="T639" s="57">
        <v>30458</v>
      </c>
      <c r="U639" s="41">
        <v>3.888888888888889E-2</v>
      </c>
    </row>
    <row r="640" spans="20:21" x14ac:dyDescent="0.25">
      <c r="T640" s="57">
        <v>30465</v>
      </c>
      <c r="U640" s="41">
        <v>5.4515866558177382E-2</v>
      </c>
    </row>
    <row r="641" spans="20:21" x14ac:dyDescent="0.25">
      <c r="T641" s="57">
        <v>30472</v>
      </c>
      <c r="U641" s="41">
        <v>2.5347506132461162E-2</v>
      </c>
    </row>
    <row r="642" spans="20:21" x14ac:dyDescent="0.25">
      <c r="T642" s="57">
        <v>30479</v>
      </c>
      <c r="U642" s="41">
        <v>1.2E-2</v>
      </c>
    </row>
    <row r="643" spans="20:21" x14ac:dyDescent="0.25">
      <c r="T643" s="57">
        <v>30486</v>
      </c>
      <c r="U643" s="41">
        <v>1.5337423312883436E-2</v>
      </c>
    </row>
    <row r="644" spans="20:21" x14ac:dyDescent="0.25">
      <c r="T644" s="57">
        <v>30493</v>
      </c>
      <c r="U644" s="41">
        <v>2.4638912489379779E-2</v>
      </c>
    </row>
    <row r="645" spans="20:21" x14ac:dyDescent="0.25">
      <c r="T645" s="57">
        <v>30500</v>
      </c>
      <c r="U645" s="41">
        <v>1.7875920084121977E-2</v>
      </c>
    </row>
    <row r="646" spans="20:21" x14ac:dyDescent="0.25">
      <c r="T646" s="57">
        <v>30507</v>
      </c>
      <c r="U646" s="41">
        <v>1.4270032930845226E-2</v>
      </c>
    </row>
    <row r="647" spans="20:21" x14ac:dyDescent="0.25">
      <c r="T647" s="57">
        <v>30514</v>
      </c>
      <c r="U647" s="41">
        <v>1.097560975609756E-2</v>
      </c>
    </row>
    <row r="648" spans="20:21" x14ac:dyDescent="0.25">
      <c r="T648" s="57">
        <v>30521</v>
      </c>
      <c r="U648" s="41">
        <v>2.6927784577723379E-2</v>
      </c>
    </row>
    <row r="649" spans="20:21" x14ac:dyDescent="0.25">
      <c r="T649" s="57">
        <v>30528</v>
      </c>
      <c r="U649" s="41">
        <v>2.4E-2</v>
      </c>
    </row>
    <row r="650" spans="20:21" x14ac:dyDescent="0.25">
      <c r="T650" s="57">
        <v>30535</v>
      </c>
      <c r="U650" s="41">
        <v>1.7801047120418849E-2</v>
      </c>
    </row>
    <row r="651" spans="20:21" x14ac:dyDescent="0.25">
      <c r="T651" s="57">
        <v>30542</v>
      </c>
      <c r="U651" s="41">
        <v>1.8949181739879414E-2</v>
      </c>
    </row>
    <row r="652" spans="20:21" x14ac:dyDescent="0.25">
      <c r="T652" s="57">
        <v>30543</v>
      </c>
      <c r="U652" s="41">
        <v>2.3694390715667313E-2</v>
      </c>
    </row>
    <row r="653" spans="20:21" x14ac:dyDescent="0.25">
      <c r="T653" s="57">
        <v>30549</v>
      </c>
      <c r="U653" s="41">
        <v>2.1005251312828207E-2</v>
      </c>
    </row>
    <row r="654" spans="20:21" x14ac:dyDescent="0.25">
      <c r="T654" s="57">
        <v>30556</v>
      </c>
      <c r="U654" s="41">
        <v>2.2364217252396165E-2</v>
      </c>
    </row>
    <row r="655" spans="20:21" x14ac:dyDescent="0.25">
      <c r="T655" s="57">
        <v>30563</v>
      </c>
      <c r="U655" s="41">
        <v>2.8999064546304958E-2</v>
      </c>
    </row>
    <row r="656" spans="20:21" x14ac:dyDescent="0.25">
      <c r="T656" s="57">
        <v>30570</v>
      </c>
      <c r="U656" s="41">
        <v>1.9561815336463225E-2</v>
      </c>
    </row>
    <row r="657" spans="20:21" x14ac:dyDescent="0.25">
      <c r="T657" s="57">
        <v>30577</v>
      </c>
      <c r="U657" s="41">
        <v>1.6145307769929364E-2</v>
      </c>
    </row>
    <row r="658" spans="20:21" x14ac:dyDescent="0.25">
      <c r="T658" s="57">
        <v>30584</v>
      </c>
      <c r="U658" s="41">
        <v>1.3251783893985729E-2</v>
      </c>
    </row>
    <row r="659" spans="20:21" x14ac:dyDescent="0.25">
      <c r="T659" s="57">
        <v>30591</v>
      </c>
      <c r="U659" s="41">
        <v>3.5776614310645723E-2</v>
      </c>
    </row>
    <row r="660" spans="20:21" x14ac:dyDescent="0.25">
      <c r="T660" s="57">
        <v>30598</v>
      </c>
      <c r="U660" s="41">
        <v>2.2875816993464051E-2</v>
      </c>
    </row>
    <row r="661" spans="20:21" x14ac:dyDescent="0.25">
      <c r="T661" s="57">
        <v>30605</v>
      </c>
      <c r="U661" s="41">
        <v>3.0927835051546393E-2</v>
      </c>
    </row>
    <row r="662" spans="20:21" x14ac:dyDescent="0.25">
      <c r="T662" s="57">
        <v>30612</v>
      </c>
      <c r="U662" s="41">
        <v>1.8090452261306532E-2</v>
      </c>
    </row>
    <row r="663" spans="20:21" x14ac:dyDescent="0.25">
      <c r="T663" s="57">
        <v>30619</v>
      </c>
      <c r="U663" s="41">
        <v>1.8456375838926176E-2</v>
      </c>
    </row>
    <row r="664" spans="20:21" x14ac:dyDescent="0.25">
      <c r="T664" s="57">
        <v>30621</v>
      </c>
      <c r="U664" s="41">
        <v>1.0232558139534883E-2</v>
      </c>
    </row>
    <row r="665" spans="20:21" x14ac:dyDescent="0.25">
      <c r="T665" s="57">
        <v>30626</v>
      </c>
      <c r="U665" s="41">
        <v>1.6357688113413305E-2</v>
      </c>
    </row>
    <row r="666" spans="20:21" x14ac:dyDescent="0.25">
      <c r="T666" s="57">
        <v>30633</v>
      </c>
      <c r="U666" s="41">
        <v>2.4267782426778243E-2</v>
      </c>
    </row>
    <row r="667" spans="20:21" x14ac:dyDescent="0.25">
      <c r="T667" s="57">
        <v>30640</v>
      </c>
      <c r="U667" s="41">
        <v>2.7429467084639499E-2</v>
      </c>
    </row>
    <row r="668" spans="20:21" x14ac:dyDescent="0.25">
      <c r="T668" s="57">
        <v>30647</v>
      </c>
      <c r="U668" s="41">
        <v>9.0805902383654935E-3</v>
      </c>
    </row>
    <row r="669" spans="20:21" x14ac:dyDescent="0.25">
      <c r="T669" s="57">
        <v>30654</v>
      </c>
      <c r="U669" s="41">
        <v>1.1178861788617886E-2</v>
      </c>
    </row>
    <row r="670" spans="20:21" x14ac:dyDescent="0.25">
      <c r="T670" s="57">
        <v>30661</v>
      </c>
      <c r="U670" s="41">
        <v>1.7733990147783252E-2</v>
      </c>
    </row>
    <row r="671" spans="20:21" x14ac:dyDescent="0.25">
      <c r="T671" s="57">
        <v>30668</v>
      </c>
      <c r="U671" s="41">
        <v>2.2686025408348458E-2</v>
      </c>
    </row>
    <row r="672" spans="20:21" x14ac:dyDescent="0.25">
      <c r="T672" s="57">
        <v>30675</v>
      </c>
      <c r="U672" s="41">
        <v>2.2351797862001945E-2</v>
      </c>
    </row>
    <row r="673" spans="20:21" x14ac:dyDescent="0.25">
      <c r="T673" s="57">
        <v>30682</v>
      </c>
      <c r="U673" s="41">
        <v>1.3986013986013986E-2</v>
      </c>
    </row>
    <row r="674" spans="20:21" x14ac:dyDescent="0.25">
      <c r="T674" s="57">
        <v>30689</v>
      </c>
      <c r="U674" s="41">
        <v>3.8518518518518521E-2</v>
      </c>
    </row>
    <row r="675" spans="20:21" x14ac:dyDescent="0.25">
      <c r="T675" s="57">
        <v>30696</v>
      </c>
      <c r="U675" s="41">
        <v>3.3018867924528301E-2</v>
      </c>
    </row>
    <row r="676" spans="20:21" x14ac:dyDescent="0.25">
      <c r="T676" s="57">
        <v>30703</v>
      </c>
      <c r="U676" s="41">
        <v>3.1971580817051509E-2</v>
      </c>
    </row>
    <row r="677" spans="20:21" x14ac:dyDescent="0.25">
      <c r="T677" s="57">
        <v>30710</v>
      </c>
      <c r="U677" s="41">
        <v>2.4669603524229075E-2</v>
      </c>
    </row>
    <row r="678" spans="20:21" x14ac:dyDescent="0.25">
      <c r="T678" s="57">
        <v>30717</v>
      </c>
      <c r="U678" s="41">
        <v>6.8965517241379309E-3</v>
      </c>
    </row>
    <row r="679" spans="20:21" x14ac:dyDescent="0.25">
      <c r="T679" s="57">
        <v>30724</v>
      </c>
      <c r="U679" s="41">
        <v>2.348178137651822E-2</v>
      </c>
    </row>
    <row r="680" spans="20:21" x14ac:dyDescent="0.25">
      <c r="T680" s="57">
        <v>30731</v>
      </c>
      <c r="U680" s="41">
        <v>3.7533512064343161E-2</v>
      </c>
    </row>
    <row r="681" spans="20:21" x14ac:dyDescent="0.25">
      <c r="T681" s="57">
        <v>30738</v>
      </c>
      <c r="U681" s="41">
        <v>2.2764227642276424E-2</v>
      </c>
    </row>
    <row r="682" spans="20:21" x14ac:dyDescent="0.25">
      <c r="T682" s="57">
        <v>30745</v>
      </c>
      <c r="U682" s="41">
        <v>1.7897091722595078E-2</v>
      </c>
    </row>
    <row r="683" spans="20:21" x14ac:dyDescent="0.25">
      <c r="T683" s="57">
        <v>30752</v>
      </c>
      <c r="U683" s="41">
        <v>1.2768427161926872E-2</v>
      </c>
    </row>
    <row r="684" spans="20:21" x14ac:dyDescent="0.25">
      <c r="T684" s="57">
        <v>30759</v>
      </c>
      <c r="U684" s="41">
        <v>1.4755197853789403E-2</v>
      </c>
    </row>
    <row r="685" spans="20:21" x14ac:dyDescent="0.25">
      <c r="T685" s="57">
        <v>30766</v>
      </c>
      <c r="U685" s="41">
        <v>1.192368839427663E-2</v>
      </c>
    </row>
    <row r="686" spans="20:21" x14ac:dyDescent="0.25">
      <c r="T686" s="57">
        <v>30773</v>
      </c>
      <c r="U686" s="41">
        <v>8.717310087173101E-3</v>
      </c>
    </row>
    <row r="687" spans="20:21" x14ac:dyDescent="0.25">
      <c r="T687" s="57">
        <v>30780</v>
      </c>
      <c r="U687" s="41">
        <v>1.5698587127158554E-2</v>
      </c>
    </row>
    <row r="688" spans="20:21" x14ac:dyDescent="0.25">
      <c r="T688" s="57">
        <v>30787</v>
      </c>
      <c r="U688" s="41">
        <v>3.5564853556485358E-2</v>
      </c>
    </row>
    <row r="689" spans="20:21" x14ac:dyDescent="0.25">
      <c r="T689" s="57">
        <v>30794</v>
      </c>
      <c r="U689" s="41">
        <v>2.0210896309314587E-2</v>
      </c>
    </row>
    <row r="690" spans="20:21" x14ac:dyDescent="0.25">
      <c r="T690" s="57">
        <v>30801</v>
      </c>
      <c r="U690" s="41">
        <v>2.5119617224880382E-2</v>
      </c>
    </row>
    <row r="691" spans="20:21" x14ac:dyDescent="0.25">
      <c r="T691" s="57">
        <v>30808</v>
      </c>
      <c r="U691" s="41">
        <v>2.8070175438596492E-2</v>
      </c>
    </row>
    <row r="692" spans="20:21" x14ac:dyDescent="0.25">
      <c r="T692" s="57">
        <v>30815</v>
      </c>
      <c r="U692" s="41">
        <v>3.833333333333333E-2</v>
      </c>
    </row>
    <row r="693" spans="20:21" x14ac:dyDescent="0.25">
      <c r="T693" s="57">
        <v>30822</v>
      </c>
      <c r="U693" s="41">
        <v>3.7037037037037035E-2</v>
      </c>
    </row>
    <row r="694" spans="20:21" x14ac:dyDescent="0.25">
      <c r="T694" s="57">
        <v>30829</v>
      </c>
      <c r="U694" s="41">
        <v>2.4509803921568627E-2</v>
      </c>
    </row>
    <row r="695" spans="20:21" x14ac:dyDescent="0.25">
      <c r="T695" s="57">
        <v>30836</v>
      </c>
      <c r="U695" s="41">
        <v>5.114638447971781E-2</v>
      </c>
    </row>
    <row r="696" spans="20:21" x14ac:dyDescent="0.25">
      <c r="T696" s="57">
        <v>30843</v>
      </c>
      <c r="U696" s="41">
        <v>2.9365079365079365E-2</v>
      </c>
    </row>
    <row r="697" spans="20:21" x14ac:dyDescent="0.25">
      <c r="T697" s="57">
        <v>30850</v>
      </c>
      <c r="U697" s="41">
        <v>5.8278145695364242E-2</v>
      </c>
    </row>
    <row r="698" spans="20:21" x14ac:dyDescent="0.25">
      <c r="T698" s="57">
        <v>30857</v>
      </c>
      <c r="U698" s="41">
        <v>3.1456953642384107E-2</v>
      </c>
    </row>
    <row r="699" spans="20:21" x14ac:dyDescent="0.25">
      <c r="T699" s="57">
        <v>30864</v>
      </c>
      <c r="U699" s="41">
        <v>9.4178082191780817E-3</v>
      </c>
    </row>
    <row r="700" spans="20:21" x14ac:dyDescent="0.25">
      <c r="T700" s="57">
        <v>30871</v>
      </c>
      <c r="U700" s="41">
        <v>1.8115942028985508E-2</v>
      </c>
    </row>
    <row r="701" spans="20:21" x14ac:dyDescent="0.25">
      <c r="T701" s="57">
        <v>30878</v>
      </c>
      <c r="U701" s="41">
        <v>2.2526934378060724E-2</v>
      </c>
    </row>
    <row r="702" spans="20:21" x14ac:dyDescent="0.25">
      <c r="T702" s="57">
        <v>30885</v>
      </c>
      <c r="U702" s="41">
        <v>2.2999080036798528E-2</v>
      </c>
    </row>
    <row r="703" spans="20:21" x14ac:dyDescent="0.25">
      <c r="T703" s="57">
        <v>30892</v>
      </c>
      <c r="U703" s="41">
        <v>1.8099547511312219E-2</v>
      </c>
    </row>
    <row r="704" spans="20:21" x14ac:dyDescent="0.25">
      <c r="T704" s="57">
        <v>30899</v>
      </c>
      <c r="U704" s="41">
        <v>2.5510204081632654E-2</v>
      </c>
    </row>
    <row r="705" spans="20:21" x14ac:dyDescent="0.25">
      <c r="T705" s="57">
        <v>30906</v>
      </c>
      <c r="U705" s="41">
        <v>2.5936599423631124E-2</v>
      </c>
    </row>
    <row r="706" spans="20:21" x14ac:dyDescent="0.25">
      <c r="T706" s="57">
        <v>30909</v>
      </c>
      <c r="U706" s="41">
        <v>1.4973262032085561E-2</v>
      </c>
    </row>
    <row r="707" spans="20:21" x14ac:dyDescent="0.25">
      <c r="T707" s="57">
        <v>30913</v>
      </c>
      <c r="U707" s="41">
        <v>2.5141930251419302E-2</v>
      </c>
    </row>
    <row r="708" spans="20:21" x14ac:dyDescent="0.25">
      <c r="T708" s="57">
        <v>30920</v>
      </c>
      <c r="U708" s="41">
        <v>1.7031630170316302E-2</v>
      </c>
    </row>
    <row r="709" spans="20:21" x14ac:dyDescent="0.25">
      <c r="T709" s="57">
        <v>30927</v>
      </c>
      <c r="U709" s="41">
        <v>1.5789473684210527E-2</v>
      </c>
    </row>
    <row r="710" spans="20:21" x14ac:dyDescent="0.25">
      <c r="T710" s="57">
        <v>30934</v>
      </c>
      <c r="U710" s="41">
        <v>1.7126546146527116E-2</v>
      </c>
    </row>
    <row r="711" spans="20:21" x14ac:dyDescent="0.25">
      <c r="T711" s="57">
        <v>30941</v>
      </c>
      <c r="U711" s="41">
        <v>8.7976539589442824E-3</v>
      </c>
    </row>
    <row r="712" spans="20:21" x14ac:dyDescent="0.25">
      <c r="T712" s="57">
        <v>30948</v>
      </c>
      <c r="U712" s="41">
        <v>2.6425591098748261E-2</v>
      </c>
    </row>
    <row r="713" spans="20:21" x14ac:dyDescent="0.25">
      <c r="T713" s="57">
        <v>30955</v>
      </c>
      <c r="U713" s="41">
        <v>2.3233301064859633E-2</v>
      </c>
    </row>
    <row r="714" spans="20:21" x14ac:dyDescent="0.25">
      <c r="T714" s="57">
        <v>30962</v>
      </c>
      <c r="U714" s="41">
        <v>2.8109028960817718E-2</v>
      </c>
    </row>
    <row r="715" spans="20:21" x14ac:dyDescent="0.25">
      <c r="T715" s="57">
        <v>30969</v>
      </c>
      <c r="U715" s="41">
        <v>2.9850746268656716E-2</v>
      </c>
    </row>
    <row r="716" spans="20:21" x14ac:dyDescent="0.25">
      <c r="T716" s="57">
        <v>30976</v>
      </c>
      <c r="U716" s="41">
        <v>3.3834586466165412E-2</v>
      </c>
    </row>
    <row r="717" spans="20:21" x14ac:dyDescent="0.25">
      <c r="T717" s="57">
        <v>30983</v>
      </c>
      <c r="U717" s="41">
        <v>1.9167579408543262E-2</v>
      </c>
    </row>
    <row r="718" spans="20:21" x14ac:dyDescent="0.25">
      <c r="T718" s="57">
        <v>30987</v>
      </c>
      <c r="U718" s="41">
        <v>3.7558685446009389E-3</v>
      </c>
    </row>
    <row r="719" spans="20:21" x14ac:dyDescent="0.25">
      <c r="T719" s="57">
        <v>30990</v>
      </c>
      <c r="U719" s="41">
        <v>1.3282732447817837E-2</v>
      </c>
    </row>
    <row r="720" spans="20:21" x14ac:dyDescent="0.25">
      <c r="T720" s="57">
        <v>30997</v>
      </c>
      <c r="U720" s="41">
        <v>2.3386342376052385E-2</v>
      </c>
    </row>
    <row r="721" spans="20:21" x14ac:dyDescent="0.25">
      <c r="T721" s="57">
        <v>31004</v>
      </c>
      <c r="U721" s="41">
        <v>2.7800490596892886E-2</v>
      </c>
    </row>
    <row r="722" spans="20:21" x14ac:dyDescent="0.25">
      <c r="T722" s="57">
        <v>31011</v>
      </c>
      <c r="U722" s="41">
        <v>3.6809815950920248E-2</v>
      </c>
    </row>
    <row r="723" spans="20:21" x14ac:dyDescent="0.25">
      <c r="T723" s="57">
        <v>31018</v>
      </c>
      <c r="U723" s="41">
        <v>1.4834205933682374E-2</v>
      </c>
    </row>
    <row r="724" spans="20:21" x14ac:dyDescent="0.25">
      <c r="T724" s="57">
        <v>31025</v>
      </c>
      <c r="U724" s="41">
        <v>1.4084507042253521E-2</v>
      </c>
    </row>
    <row r="725" spans="20:21" x14ac:dyDescent="0.25">
      <c r="T725" s="57">
        <v>31032</v>
      </c>
      <c r="U725" s="41">
        <v>9.0452261306532659E-3</v>
      </c>
    </row>
    <row r="726" spans="20:21" x14ac:dyDescent="0.25">
      <c r="T726" s="57">
        <v>31039</v>
      </c>
      <c r="U726" s="41">
        <v>1.6607354685646499E-2</v>
      </c>
    </row>
    <row r="727" spans="20:21" x14ac:dyDescent="0.25">
      <c r="T727" s="57">
        <v>31040</v>
      </c>
      <c r="U727" s="41">
        <v>1.0905125408942203E-2</v>
      </c>
    </row>
    <row r="728" spans="20:21" x14ac:dyDescent="0.25">
      <c r="T728" s="57">
        <v>31041</v>
      </c>
      <c r="U728" s="41">
        <v>3.2806804374240585E-2</v>
      </c>
    </row>
    <row r="729" spans="20:21" x14ac:dyDescent="0.25">
      <c r="T729" s="57">
        <v>31046</v>
      </c>
      <c r="U729" s="41">
        <v>7.8909612625538018E-3</v>
      </c>
    </row>
    <row r="730" spans="20:21" x14ac:dyDescent="0.25">
      <c r="T730" s="57">
        <v>31053</v>
      </c>
      <c r="U730" s="41">
        <v>3.1194295900178252E-2</v>
      </c>
    </row>
    <row r="731" spans="20:21" x14ac:dyDescent="0.25">
      <c r="T731" s="57">
        <v>31060</v>
      </c>
      <c r="U731" s="41">
        <v>4.0880503144654086E-2</v>
      </c>
    </row>
    <row r="732" spans="20:21" x14ac:dyDescent="0.25">
      <c r="T732" s="57">
        <v>31067</v>
      </c>
      <c r="U732" s="41">
        <v>2.7397260273972601E-2</v>
      </c>
    </row>
    <row r="733" spans="20:21" x14ac:dyDescent="0.25">
      <c r="T733" s="57">
        <v>31074</v>
      </c>
      <c r="U733" s="41">
        <v>3.1666666666666669E-2</v>
      </c>
    </row>
    <row r="734" spans="20:21" x14ac:dyDescent="0.25">
      <c r="T734" s="57">
        <v>31081</v>
      </c>
      <c r="U734" s="41">
        <v>2.7422303473491772E-2</v>
      </c>
    </row>
    <row r="735" spans="20:21" x14ac:dyDescent="0.25">
      <c r="T735" s="57">
        <v>31088</v>
      </c>
      <c r="U735" s="41">
        <v>1.201716738197425E-2</v>
      </c>
    </row>
    <row r="736" spans="20:21" x14ac:dyDescent="0.25">
      <c r="T736" s="57">
        <v>31095</v>
      </c>
      <c r="U736" s="41">
        <v>2.454780361757106E-2</v>
      </c>
    </row>
    <row r="737" spans="20:21" x14ac:dyDescent="0.25">
      <c r="T737" s="57">
        <v>31102</v>
      </c>
      <c r="U737" s="41">
        <v>2.4640657084188913E-2</v>
      </c>
    </row>
    <row r="738" spans="20:21" x14ac:dyDescent="0.25">
      <c r="T738" s="57">
        <v>31109</v>
      </c>
      <c r="U738" s="41">
        <v>2.2653721682847898E-2</v>
      </c>
    </row>
    <row r="739" spans="20:21" x14ac:dyDescent="0.25">
      <c r="T739" s="57">
        <v>31116</v>
      </c>
      <c r="U739" s="41">
        <v>3.0993618960802188E-2</v>
      </c>
    </row>
    <row r="740" spans="20:21" x14ac:dyDescent="0.25">
      <c r="T740" s="57">
        <v>31123</v>
      </c>
      <c r="U740" s="41">
        <v>6.8359375E-3</v>
      </c>
    </row>
    <row r="741" spans="20:21" x14ac:dyDescent="0.25">
      <c r="T741" s="57">
        <v>31130</v>
      </c>
      <c r="U741" s="41">
        <v>2.6232948583420776E-2</v>
      </c>
    </row>
    <row r="742" spans="20:21" x14ac:dyDescent="0.25">
      <c r="T742" s="57">
        <v>31137</v>
      </c>
      <c r="U742" s="41">
        <v>2.1739130434782608E-2</v>
      </c>
    </row>
    <row r="743" spans="20:21" x14ac:dyDescent="0.25">
      <c r="T743" s="57">
        <v>31144</v>
      </c>
      <c r="U743" s="41">
        <v>2.2197558268590455E-2</v>
      </c>
    </row>
    <row r="744" spans="20:21" x14ac:dyDescent="0.25">
      <c r="T744" s="57">
        <v>31151</v>
      </c>
      <c r="U744" s="41">
        <v>2.9535864978902954E-2</v>
      </c>
    </row>
    <row r="745" spans="20:21" x14ac:dyDescent="0.25">
      <c r="T745" s="57">
        <v>31158</v>
      </c>
      <c r="U745" s="41">
        <v>1.8675721561969439E-2</v>
      </c>
    </row>
    <row r="746" spans="20:21" x14ac:dyDescent="0.25">
      <c r="T746" s="57">
        <v>31165</v>
      </c>
      <c r="U746" s="41">
        <v>1.9957234497505347E-2</v>
      </c>
    </row>
    <row r="747" spans="20:21" x14ac:dyDescent="0.25">
      <c r="T747" s="57">
        <v>31172</v>
      </c>
      <c r="U747" s="41">
        <v>3.4550839091806514E-2</v>
      </c>
    </row>
    <row r="748" spans="20:21" x14ac:dyDescent="0.25">
      <c r="T748" s="57">
        <v>31179</v>
      </c>
      <c r="U748" s="41">
        <v>1.9038984587488667E-2</v>
      </c>
    </row>
    <row r="749" spans="20:21" x14ac:dyDescent="0.25">
      <c r="T749" s="57">
        <v>31186</v>
      </c>
      <c r="U749" s="41">
        <v>2.1822849807445442E-2</v>
      </c>
    </row>
    <row r="750" spans="20:21" x14ac:dyDescent="0.25">
      <c r="T750" s="57">
        <v>31193</v>
      </c>
      <c r="U750" s="41">
        <v>2.6881720430107527E-2</v>
      </c>
    </row>
    <row r="751" spans="20:21" x14ac:dyDescent="0.25">
      <c r="T751" s="57">
        <v>31200</v>
      </c>
      <c r="U751" s="41">
        <v>3.1798245614035089E-2</v>
      </c>
    </row>
    <row r="752" spans="20:21" x14ac:dyDescent="0.25">
      <c r="T752" s="57">
        <v>31207</v>
      </c>
      <c r="U752" s="41">
        <v>3.2629558541266791E-2</v>
      </c>
    </row>
    <row r="753" spans="20:21" x14ac:dyDescent="0.25">
      <c r="T753" s="57">
        <v>31214</v>
      </c>
      <c r="U753" s="41">
        <v>1.4409221902017291E-2</v>
      </c>
    </row>
    <row r="754" spans="20:21" x14ac:dyDescent="0.25">
      <c r="T754" s="57">
        <v>31221</v>
      </c>
      <c r="U754" s="41">
        <v>2.4109014675052411E-2</v>
      </c>
    </row>
    <row r="755" spans="20:21" x14ac:dyDescent="0.25">
      <c r="T755" s="57">
        <v>31228</v>
      </c>
      <c r="U755" s="41">
        <v>4.588607594936709E-2</v>
      </c>
    </row>
    <row r="756" spans="20:21" x14ac:dyDescent="0.25">
      <c r="T756" s="57">
        <v>31235</v>
      </c>
      <c r="U756" s="41">
        <v>2.780191138140747E-2</v>
      </c>
    </row>
    <row r="757" spans="20:21" x14ac:dyDescent="0.25">
      <c r="T757" s="57">
        <v>31242</v>
      </c>
      <c r="U757" s="41">
        <v>1.6146393972012917E-2</v>
      </c>
    </row>
    <row r="758" spans="20:21" x14ac:dyDescent="0.25">
      <c r="T758" s="57">
        <v>31249</v>
      </c>
      <c r="U758" s="41">
        <v>2.8892455858747994E-2</v>
      </c>
    </row>
    <row r="759" spans="20:21" x14ac:dyDescent="0.25">
      <c r="T759" s="57">
        <v>31256</v>
      </c>
      <c r="U759" s="41">
        <v>1.6105417276720352E-2</v>
      </c>
    </row>
    <row r="760" spans="20:21" x14ac:dyDescent="0.25">
      <c r="T760" s="57">
        <v>31263</v>
      </c>
      <c r="U760" s="41">
        <v>2.3227383863080684E-2</v>
      </c>
    </row>
    <row r="761" spans="20:21" x14ac:dyDescent="0.25">
      <c r="T761" s="57">
        <v>31270</v>
      </c>
      <c r="U761" s="41">
        <v>3.2907991940899932E-2</v>
      </c>
    </row>
    <row r="762" spans="20:21" x14ac:dyDescent="0.25">
      <c r="T762" s="57">
        <v>31274</v>
      </c>
      <c r="U762" s="41">
        <v>2.0902090209020903E-2</v>
      </c>
    </row>
    <row r="763" spans="20:21" x14ac:dyDescent="0.25">
      <c r="T763" s="57">
        <v>31277</v>
      </c>
      <c r="U763" s="41">
        <v>2.184235517568851E-2</v>
      </c>
    </row>
    <row r="764" spans="20:21" x14ac:dyDescent="0.25">
      <c r="T764" s="57">
        <v>31284</v>
      </c>
      <c r="U764" s="41">
        <v>1.7321785476349102E-2</v>
      </c>
    </row>
    <row r="765" spans="20:21" x14ac:dyDescent="0.25">
      <c r="T765" s="57">
        <v>31291</v>
      </c>
      <c r="U765" s="41">
        <v>3.6525974025974024E-2</v>
      </c>
    </row>
    <row r="766" spans="20:21" x14ac:dyDescent="0.25">
      <c r="T766" s="57">
        <v>31298</v>
      </c>
      <c r="U766" s="41">
        <v>2.4813895781637719E-2</v>
      </c>
    </row>
    <row r="767" spans="20:21" x14ac:dyDescent="0.25">
      <c r="T767" s="57">
        <v>31305</v>
      </c>
      <c r="U767" s="41">
        <v>3.1791907514450865E-2</v>
      </c>
    </row>
    <row r="768" spans="20:21" x14ac:dyDescent="0.25">
      <c r="T768" s="57">
        <v>31312</v>
      </c>
      <c r="U768" s="41">
        <v>8.0080080080080079E-3</v>
      </c>
    </row>
    <row r="769" spans="20:21" x14ac:dyDescent="0.25">
      <c r="T769" s="57">
        <v>31319</v>
      </c>
      <c r="U769" s="41">
        <v>4.046242774566474E-2</v>
      </c>
    </row>
    <row r="770" spans="20:21" x14ac:dyDescent="0.25">
      <c r="T770" s="57">
        <v>31326</v>
      </c>
      <c r="U770" s="41">
        <v>2.176278563656148E-2</v>
      </c>
    </row>
    <row r="771" spans="20:21" x14ac:dyDescent="0.25">
      <c r="T771" s="57">
        <v>31333</v>
      </c>
      <c r="U771" s="41">
        <v>2.7540983606557379E-2</v>
      </c>
    </row>
    <row r="772" spans="20:21" x14ac:dyDescent="0.25">
      <c r="T772" s="57">
        <v>31340</v>
      </c>
      <c r="U772" s="41">
        <v>1.4778325123152709E-2</v>
      </c>
    </row>
    <row r="773" spans="20:21" x14ac:dyDescent="0.25">
      <c r="T773" s="57">
        <v>31347</v>
      </c>
      <c r="U773" s="41">
        <v>3.2345013477088951E-2</v>
      </c>
    </row>
    <row r="774" spans="20:21" x14ac:dyDescent="0.25">
      <c r="T774" s="57">
        <v>31352</v>
      </c>
      <c r="U774" s="41">
        <v>3.0444964871194378E-2</v>
      </c>
    </row>
    <row r="775" spans="20:21" x14ac:dyDescent="0.25">
      <c r="T775" s="57">
        <v>31354</v>
      </c>
      <c r="U775" s="41">
        <v>2.9475982532751091E-2</v>
      </c>
    </row>
    <row r="776" spans="20:21" x14ac:dyDescent="0.25">
      <c r="T776" s="57">
        <v>31361</v>
      </c>
      <c r="U776" s="41">
        <v>2.4937655860349128E-2</v>
      </c>
    </row>
    <row r="777" spans="20:21" x14ac:dyDescent="0.25">
      <c r="T777" s="57">
        <v>31368</v>
      </c>
      <c r="U777" s="41">
        <v>1.9658119658119658E-2</v>
      </c>
    </row>
    <row r="778" spans="20:21" x14ac:dyDescent="0.25">
      <c r="T778" s="57">
        <v>31382</v>
      </c>
      <c r="U778" s="41">
        <v>4.8367593712212817E-2</v>
      </c>
    </row>
    <row r="779" spans="20:21" x14ac:dyDescent="0.25">
      <c r="T779" s="57">
        <v>31389</v>
      </c>
      <c r="U779" s="41">
        <v>1.9536019536019536E-2</v>
      </c>
    </row>
    <row r="780" spans="20:21" x14ac:dyDescent="0.25">
      <c r="T780" s="57">
        <v>31396</v>
      </c>
      <c r="U780" s="41">
        <v>3.5294117647058823E-2</v>
      </c>
    </row>
    <row r="781" spans="20:21" x14ac:dyDescent="0.25">
      <c r="T781" s="57">
        <v>31403</v>
      </c>
      <c r="U781" s="41">
        <v>2.9288702928870293E-2</v>
      </c>
    </row>
    <row r="782" spans="20:21" x14ac:dyDescent="0.25">
      <c r="T782" s="57">
        <v>31405</v>
      </c>
      <c r="U782" s="41">
        <v>2.23463687150838E-2</v>
      </c>
    </row>
    <row r="783" spans="20:21" x14ac:dyDescent="0.25">
      <c r="T783" s="57">
        <v>31406</v>
      </c>
      <c r="U783" s="41">
        <v>1.4861995753715499E-2</v>
      </c>
    </row>
    <row r="784" spans="20:21" x14ac:dyDescent="0.25">
      <c r="T784" s="57">
        <v>31410</v>
      </c>
      <c r="U784" s="41">
        <v>4.3234587670136111E-2</v>
      </c>
    </row>
    <row r="785" spans="20:21" x14ac:dyDescent="0.25">
      <c r="T785" s="57">
        <v>31417</v>
      </c>
      <c r="U785" s="41">
        <v>6.8965517241379309E-3</v>
      </c>
    </row>
    <row r="786" spans="20:21" x14ac:dyDescent="0.25">
      <c r="T786" s="57">
        <v>31424</v>
      </c>
      <c r="U786" s="41">
        <v>1.9023986765922249E-2</v>
      </c>
    </row>
    <row r="787" spans="20:21" x14ac:dyDescent="0.25">
      <c r="T787" s="57">
        <v>31431</v>
      </c>
      <c r="U787" s="41">
        <v>1.7479300827966882E-2</v>
      </c>
    </row>
    <row r="788" spans="20:21" x14ac:dyDescent="0.25">
      <c r="T788" s="57">
        <v>31438</v>
      </c>
      <c r="U788" s="41">
        <v>3.0264817150063052E-2</v>
      </c>
    </row>
    <row r="789" spans="20:21" x14ac:dyDescent="0.25">
      <c r="T789" s="57">
        <v>31445</v>
      </c>
      <c r="U789" s="41">
        <v>1.2479201331114808E-2</v>
      </c>
    </row>
    <row r="790" spans="20:21" x14ac:dyDescent="0.25">
      <c r="T790" s="57">
        <v>31452</v>
      </c>
      <c r="U790" s="41">
        <v>2.2222222222222223E-2</v>
      </c>
    </row>
    <row r="791" spans="20:21" x14ac:dyDescent="0.25">
      <c r="T791" s="57">
        <v>31459</v>
      </c>
      <c r="U791" s="41">
        <v>2.7914614121510674E-2</v>
      </c>
    </row>
    <row r="792" spans="20:21" x14ac:dyDescent="0.25">
      <c r="T792" s="57">
        <v>31466</v>
      </c>
      <c r="U792" s="41">
        <v>1.8590998043052837E-2</v>
      </c>
    </row>
    <row r="793" spans="20:21" x14ac:dyDescent="0.25">
      <c r="T793" s="57">
        <v>31473</v>
      </c>
      <c r="U793" s="41">
        <v>2.9171528588098017E-2</v>
      </c>
    </row>
    <row r="794" spans="20:21" x14ac:dyDescent="0.25">
      <c r="T794" s="57">
        <v>31480</v>
      </c>
      <c r="U794" s="41">
        <v>5.5944055944055944E-3</v>
      </c>
    </row>
    <row r="795" spans="20:21" x14ac:dyDescent="0.25">
      <c r="T795" s="57">
        <v>31487</v>
      </c>
      <c r="U795" s="41">
        <v>4.0897097625329816E-2</v>
      </c>
    </row>
    <row r="796" spans="20:21" x14ac:dyDescent="0.25">
      <c r="T796" s="57">
        <v>31501</v>
      </c>
      <c r="U796" s="41">
        <v>2.5198938992042442E-2</v>
      </c>
    </row>
    <row r="797" spans="20:21" x14ac:dyDescent="0.25">
      <c r="T797" s="57">
        <v>31508</v>
      </c>
      <c r="U797" s="41">
        <v>1.630837657524092E-2</v>
      </c>
    </row>
    <row r="798" spans="20:21" x14ac:dyDescent="0.25">
      <c r="T798" s="57">
        <v>31515</v>
      </c>
      <c r="U798" s="41">
        <v>3.0726256983240222E-2</v>
      </c>
    </row>
    <row r="799" spans="20:21" x14ac:dyDescent="0.25">
      <c r="T799" s="57">
        <v>31522</v>
      </c>
      <c r="U799" s="41">
        <v>1.2405237767057202E-2</v>
      </c>
    </row>
    <row r="800" spans="20:21" x14ac:dyDescent="0.25">
      <c r="T800" s="57">
        <v>31529</v>
      </c>
      <c r="U800" s="41">
        <v>2.6223776223776224E-2</v>
      </c>
    </row>
    <row r="801" spans="20:21" x14ac:dyDescent="0.25">
      <c r="T801" s="57">
        <v>31536</v>
      </c>
      <c r="U801" s="41">
        <v>1.4214641080312722E-2</v>
      </c>
    </row>
    <row r="802" spans="20:21" x14ac:dyDescent="0.25">
      <c r="T802" s="57">
        <v>31543</v>
      </c>
      <c r="U802" s="41">
        <v>6.993006993006993E-3</v>
      </c>
    </row>
    <row r="803" spans="20:21" x14ac:dyDescent="0.25">
      <c r="T803" s="57">
        <v>31550</v>
      </c>
      <c r="U803" s="41">
        <v>1.8166804293971925E-2</v>
      </c>
    </row>
    <row r="804" spans="20:21" x14ac:dyDescent="0.25">
      <c r="T804" s="57">
        <v>31557</v>
      </c>
      <c r="U804" s="41">
        <v>2.0486555697823303E-2</v>
      </c>
    </row>
    <row r="805" spans="20:21" x14ac:dyDescent="0.25">
      <c r="T805" s="57">
        <v>31564</v>
      </c>
      <c r="U805" s="41">
        <v>1.8932874354561102E-2</v>
      </c>
    </row>
    <row r="806" spans="20:21" x14ac:dyDescent="0.25">
      <c r="T806" s="57">
        <v>31571</v>
      </c>
      <c r="U806" s="41">
        <v>2.4771838331160364E-2</v>
      </c>
    </row>
    <row r="807" spans="20:21" x14ac:dyDescent="0.25">
      <c r="T807" s="57">
        <v>31578</v>
      </c>
      <c r="U807" s="41">
        <v>1.8060200668896322E-2</v>
      </c>
    </row>
    <row r="808" spans="20:21" x14ac:dyDescent="0.25">
      <c r="T808" s="57">
        <v>31585</v>
      </c>
      <c r="U808" s="41">
        <v>5.3664921465968587E-2</v>
      </c>
    </row>
    <row r="809" spans="20:21" x14ac:dyDescent="0.25">
      <c r="T809" s="57">
        <v>31592</v>
      </c>
      <c r="U809" s="41">
        <v>1.8656716417910446E-2</v>
      </c>
    </row>
    <row r="810" spans="20:21" x14ac:dyDescent="0.25">
      <c r="T810" s="57">
        <v>31599</v>
      </c>
      <c r="U810" s="41">
        <v>8.2576383154417832E-3</v>
      </c>
    </row>
    <row r="811" spans="20:21" x14ac:dyDescent="0.25">
      <c r="T811" s="57">
        <v>31606</v>
      </c>
      <c r="U811" s="41">
        <v>1.2100259291270527E-2</v>
      </c>
    </row>
    <row r="812" spans="20:21" x14ac:dyDescent="0.25">
      <c r="T812" s="57">
        <v>31613</v>
      </c>
      <c r="U812" s="41">
        <v>1.6393442622950821E-2</v>
      </c>
    </row>
    <row r="813" spans="20:21" x14ac:dyDescent="0.25">
      <c r="T813" s="57">
        <v>31620</v>
      </c>
      <c r="U813" s="41">
        <v>2.6686434395848776E-2</v>
      </c>
    </row>
    <row r="814" spans="20:21" x14ac:dyDescent="0.25">
      <c r="T814" s="57">
        <v>31627</v>
      </c>
      <c r="U814" s="41">
        <v>2.5721455457967377E-2</v>
      </c>
    </row>
    <row r="815" spans="20:21" x14ac:dyDescent="0.25">
      <c r="T815" s="57">
        <v>31634</v>
      </c>
      <c r="U815" s="41">
        <v>9.9378881987577643E-3</v>
      </c>
    </row>
    <row r="816" spans="20:21" x14ac:dyDescent="0.25">
      <c r="T816" s="57">
        <v>31639</v>
      </c>
      <c r="U816" s="41">
        <v>2.1024967148488831E-2</v>
      </c>
    </row>
    <row r="817" spans="20:21" x14ac:dyDescent="0.25">
      <c r="T817" s="57">
        <v>31641</v>
      </c>
      <c r="U817" s="41">
        <v>1.0896898575020955E-2</v>
      </c>
    </row>
    <row r="818" spans="20:21" x14ac:dyDescent="0.25">
      <c r="T818" s="57">
        <v>31648</v>
      </c>
      <c r="U818" s="41">
        <v>2.6484751203852328E-2</v>
      </c>
    </row>
    <row r="819" spans="20:21" x14ac:dyDescent="0.25">
      <c r="T819" s="57">
        <v>31655</v>
      </c>
      <c r="U819" s="41">
        <v>3.0826140567200986E-2</v>
      </c>
    </row>
    <row r="820" spans="20:21" x14ac:dyDescent="0.25">
      <c r="T820" s="57">
        <v>31662</v>
      </c>
      <c r="U820" s="41">
        <v>2.7777777777777776E-2</v>
      </c>
    </row>
    <row r="821" spans="20:21" x14ac:dyDescent="0.25">
      <c r="T821" s="57">
        <v>31669</v>
      </c>
      <c r="U821" s="41">
        <v>2.4303073624017155E-2</v>
      </c>
    </row>
    <row r="822" spans="20:21" x14ac:dyDescent="0.25">
      <c r="T822" s="57">
        <v>31676</v>
      </c>
      <c r="U822" s="41">
        <v>2.7290448343079921E-2</v>
      </c>
    </row>
    <row r="823" spans="20:21" x14ac:dyDescent="0.25">
      <c r="T823" s="57">
        <v>31683</v>
      </c>
      <c r="U823" s="41">
        <v>1.2542759407069556E-2</v>
      </c>
    </row>
    <row r="824" spans="20:21" x14ac:dyDescent="0.25">
      <c r="T824" s="57">
        <v>31690</v>
      </c>
      <c r="U824" s="41">
        <v>2.6338147833474938E-2</v>
      </c>
    </row>
    <row r="825" spans="20:21" x14ac:dyDescent="0.25">
      <c r="T825" s="57">
        <v>31697</v>
      </c>
      <c r="U825" s="41">
        <v>3.7757437070938218E-2</v>
      </c>
    </row>
    <row r="826" spans="20:21" x14ac:dyDescent="0.25">
      <c r="T826" s="57">
        <v>31704</v>
      </c>
      <c r="U826" s="41">
        <v>3.1372549019607843E-2</v>
      </c>
    </row>
    <row r="827" spans="20:21" x14ac:dyDescent="0.25">
      <c r="T827" s="57">
        <v>31711</v>
      </c>
      <c r="U827" s="41">
        <v>1.2638230647709321E-2</v>
      </c>
    </row>
    <row r="828" spans="20:21" x14ac:dyDescent="0.25">
      <c r="T828" s="57">
        <v>31717</v>
      </c>
      <c r="U828" s="41">
        <v>1.2605042016806723E-2</v>
      </c>
    </row>
    <row r="829" spans="20:21" x14ac:dyDescent="0.25">
      <c r="T829" s="57">
        <v>31718</v>
      </c>
      <c r="U829" s="41">
        <v>3.4930950446791224E-2</v>
      </c>
    </row>
    <row r="830" spans="20:21" x14ac:dyDescent="0.25">
      <c r="T830" s="57">
        <v>31725</v>
      </c>
      <c r="U830" s="41">
        <v>2.5031289111389236E-2</v>
      </c>
    </row>
    <row r="831" spans="20:21" x14ac:dyDescent="0.25">
      <c r="T831" s="57">
        <v>31732</v>
      </c>
      <c r="U831" s="41">
        <v>1.6990291262135922E-2</v>
      </c>
    </row>
    <row r="832" spans="20:21" x14ac:dyDescent="0.25">
      <c r="T832" s="57">
        <v>31739</v>
      </c>
      <c r="U832" s="41">
        <v>3.0366492146596858E-2</v>
      </c>
    </row>
    <row r="833" spans="20:21" x14ac:dyDescent="0.25">
      <c r="T833" s="57">
        <v>31746</v>
      </c>
      <c r="U833" s="41">
        <v>2.1385799828913601E-2</v>
      </c>
    </row>
    <row r="834" spans="20:21" x14ac:dyDescent="0.25">
      <c r="T834" s="57">
        <v>31753</v>
      </c>
      <c r="U834" s="41">
        <v>2.2140221402214021E-2</v>
      </c>
    </row>
    <row r="835" spans="20:21" x14ac:dyDescent="0.25">
      <c r="T835" s="57">
        <v>31760</v>
      </c>
      <c r="U835" s="41">
        <v>2.2533022533022532E-2</v>
      </c>
    </row>
    <row r="836" spans="20:21" x14ac:dyDescent="0.25">
      <c r="T836" s="57">
        <v>31767</v>
      </c>
      <c r="U836" s="41">
        <v>3.5598705501618123E-2</v>
      </c>
    </row>
    <row r="837" spans="20:21" x14ac:dyDescent="0.25">
      <c r="T837" s="57">
        <v>31770</v>
      </c>
      <c r="U837" s="41">
        <v>2.4285714285714285E-2</v>
      </c>
    </row>
    <row r="838" spans="20:21" x14ac:dyDescent="0.25">
      <c r="T838" s="57">
        <v>31771</v>
      </c>
      <c r="U838" s="41">
        <v>3.8281979458450049E-2</v>
      </c>
    </row>
    <row r="839" spans="20:21" x14ac:dyDescent="0.25">
      <c r="T839" s="57">
        <v>31774</v>
      </c>
      <c r="U839" s="41">
        <v>7.4557315936626279E-3</v>
      </c>
    </row>
    <row r="840" spans="20:21" x14ac:dyDescent="0.25">
      <c r="T840" s="57">
        <v>31781</v>
      </c>
      <c r="U840" s="41">
        <v>2.3622047244094488E-2</v>
      </c>
    </row>
    <row r="841" spans="20:21" x14ac:dyDescent="0.25">
      <c r="T841" s="57">
        <v>31788</v>
      </c>
      <c r="U841" s="41">
        <v>6.8139963167587483E-2</v>
      </c>
    </row>
    <row r="842" spans="20:21" x14ac:dyDescent="0.25">
      <c r="T842" s="57">
        <v>31795</v>
      </c>
      <c r="U842" s="41">
        <v>5.1321928460342149E-2</v>
      </c>
    </row>
    <row r="843" spans="20:21" x14ac:dyDescent="0.25">
      <c r="T843" s="57">
        <v>31802</v>
      </c>
      <c r="U843" s="41">
        <v>3.1714568880079286E-2</v>
      </c>
    </row>
    <row r="844" spans="20:21" x14ac:dyDescent="0.25">
      <c r="T844" s="57">
        <v>31809</v>
      </c>
      <c r="U844" s="41">
        <v>1.5682656826568265E-2</v>
      </c>
    </row>
    <row r="845" spans="20:21" x14ac:dyDescent="0.25">
      <c r="T845" s="57">
        <v>31816</v>
      </c>
      <c r="U845" s="41">
        <v>1.5659955257270694E-2</v>
      </c>
    </row>
    <row r="846" spans="20:21" x14ac:dyDescent="0.25">
      <c r="T846" s="57">
        <v>31823</v>
      </c>
      <c r="U846" s="41">
        <v>2.1520803443328552E-2</v>
      </c>
    </row>
    <row r="847" spans="20:21" x14ac:dyDescent="0.25">
      <c r="T847" s="57">
        <v>31830</v>
      </c>
      <c r="U847" s="41">
        <v>2.5048169556840076E-2</v>
      </c>
    </row>
    <row r="848" spans="20:21" x14ac:dyDescent="0.25">
      <c r="T848" s="57">
        <v>31837</v>
      </c>
      <c r="U848" s="41">
        <v>2.072538860103627E-2</v>
      </c>
    </row>
    <row r="849" spans="20:21" x14ac:dyDescent="0.25">
      <c r="T849" s="57">
        <v>31844</v>
      </c>
      <c r="U849" s="41">
        <v>1.3114754098360656E-2</v>
      </c>
    </row>
    <row r="850" spans="20:21" x14ac:dyDescent="0.25">
      <c r="T850" s="57">
        <v>31851</v>
      </c>
      <c r="U850" s="41">
        <v>2.0967741935483872E-2</v>
      </c>
    </row>
    <row r="851" spans="20:21" x14ac:dyDescent="0.25">
      <c r="T851" s="57">
        <v>31858</v>
      </c>
      <c r="U851" s="41">
        <v>1.3574660633484163E-2</v>
      </c>
    </row>
    <row r="852" spans="20:21" x14ac:dyDescent="0.25">
      <c r="T852" s="57">
        <v>31865</v>
      </c>
      <c r="U852" s="41">
        <v>1.2711864406779662E-2</v>
      </c>
    </row>
    <row r="853" spans="20:21" x14ac:dyDescent="0.25">
      <c r="T853" s="57">
        <v>31872</v>
      </c>
      <c r="U853" s="41">
        <v>1.8741633199464525E-2</v>
      </c>
    </row>
    <row r="854" spans="20:21" x14ac:dyDescent="0.25">
      <c r="T854" s="57">
        <v>31879</v>
      </c>
      <c r="U854" s="41">
        <v>2.3861171366594359E-2</v>
      </c>
    </row>
    <row r="855" spans="20:21" x14ac:dyDescent="0.25">
      <c r="T855" s="57">
        <v>31886</v>
      </c>
      <c r="U855" s="41">
        <v>1.9197207678883072E-2</v>
      </c>
    </row>
    <row r="856" spans="20:21" x14ac:dyDescent="0.25">
      <c r="T856" s="57">
        <v>31893</v>
      </c>
      <c r="U856" s="41">
        <v>3.968253968253968E-3</v>
      </c>
    </row>
    <row r="857" spans="20:21" x14ac:dyDescent="0.25">
      <c r="T857" s="57">
        <v>31900</v>
      </c>
      <c r="U857" s="41">
        <v>2.3861171366594359E-2</v>
      </c>
    </row>
    <row r="858" spans="20:21" x14ac:dyDescent="0.25">
      <c r="T858" s="57">
        <v>31907</v>
      </c>
      <c r="U858" s="41">
        <v>1.740506329113924E-2</v>
      </c>
    </row>
    <row r="859" spans="20:21" x14ac:dyDescent="0.25">
      <c r="T859" s="57">
        <v>31914</v>
      </c>
      <c r="U859" s="41">
        <v>2.0920502092050208E-2</v>
      </c>
    </row>
    <row r="860" spans="20:21" x14ac:dyDescent="0.25">
      <c r="T860" s="57">
        <v>31921</v>
      </c>
      <c r="U860" s="41">
        <v>1.9723865877712032E-2</v>
      </c>
    </row>
    <row r="861" spans="20:21" x14ac:dyDescent="0.25">
      <c r="T861" s="57">
        <v>31928</v>
      </c>
      <c r="U861" s="41">
        <v>1.0266940451745379E-2</v>
      </c>
    </row>
    <row r="862" spans="20:21" x14ac:dyDescent="0.25">
      <c r="T862" s="57">
        <v>31935</v>
      </c>
      <c r="U862" s="41">
        <v>2.5069637883008356E-2</v>
      </c>
    </row>
    <row r="863" spans="20:21" x14ac:dyDescent="0.25">
      <c r="T863" s="57">
        <v>31942</v>
      </c>
      <c r="U863" s="41">
        <v>2.6097271648873072E-2</v>
      </c>
    </row>
    <row r="864" spans="20:21" x14ac:dyDescent="0.25">
      <c r="T864" s="57">
        <v>31949</v>
      </c>
      <c r="U864" s="41">
        <v>1.9626168224299065E-2</v>
      </c>
    </row>
    <row r="865" spans="20:21" x14ac:dyDescent="0.25">
      <c r="T865" s="57">
        <v>31956</v>
      </c>
      <c r="U865" s="41">
        <v>1.1353711790393014E-2</v>
      </c>
    </row>
    <row r="866" spans="20:21" x14ac:dyDescent="0.25">
      <c r="T866" s="57">
        <v>31963</v>
      </c>
      <c r="U866" s="41">
        <v>1.1896431070678797E-2</v>
      </c>
    </row>
    <row r="867" spans="20:21" x14ac:dyDescent="0.25">
      <c r="T867" s="57">
        <v>31970</v>
      </c>
      <c r="U867" s="41">
        <v>3.629536921151439E-2</v>
      </c>
    </row>
    <row r="868" spans="20:21" x14ac:dyDescent="0.25">
      <c r="T868" s="57">
        <v>31977</v>
      </c>
      <c r="U868" s="41">
        <v>1.5366430260047281E-2</v>
      </c>
    </row>
    <row r="869" spans="20:21" x14ac:dyDescent="0.25">
      <c r="T869" s="57">
        <v>31984</v>
      </c>
      <c r="U869" s="41">
        <v>2.1348314606741574E-2</v>
      </c>
    </row>
    <row r="870" spans="20:21" x14ac:dyDescent="0.25">
      <c r="T870" s="57">
        <v>31991</v>
      </c>
      <c r="U870" s="41">
        <v>2.0661157024793389E-2</v>
      </c>
    </row>
    <row r="871" spans="20:21" x14ac:dyDescent="0.25">
      <c r="T871" s="57">
        <v>31998</v>
      </c>
      <c r="U871" s="41">
        <v>2.4856596558317401E-2</v>
      </c>
    </row>
    <row r="872" spans="20:21" x14ac:dyDescent="0.25">
      <c r="T872" s="57">
        <v>32004</v>
      </c>
      <c r="U872" s="41">
        <v>2.037617554858934E-2</v>
      </c>
    </row>
    <row r="873" spans="20:21" x14ac:dyDescent="0.25">
      <c r="T873" s="57">
        <v>32005</v>
      </c>
      <c r="U873" s="41">
        <v>2.4475524475524476E-2</v>
      </c>
    </row>
    <row r="874" spans="20:21" x14ac:dyDescent="0.25">
      <c r="T874" s="57">
        <v>32012</v>
      </c>
      <c r="U874" s="41">
        <v>2.903225806451613E-2</v>
      </c>
    </row>
    <row r="875" spans="20:21" x14ac:dyDescent="0.25">
      <c r="T875" s="57">
        <v>32019</v>
      </c>
      <c r="U875" s="41">
        <v>3.6281179138321996E-2</v>
      </c>
    </row>
    <row r="876" spans="20:21" x14ac:dyDescent="0.25">
      <c r="T876" s="57">
        <v>32026</v>
      </c>
      <c r="U876" s="41">
        <v>1.2776831345826235E-2</v>
      </c>
    </row>
    <row r="877" spans="20:21" x14ac:dyDescent="0.25">
      <c r="T877" s="57">
        <v>32033</v>
      </c>
      <c r="U877" s="41">
        <v>3.2299741602067181E-2</v>
      </c>
    </row>
    <row r="878" spans="20:21" x14ac:dyDescent="0.25">
      <c r="T878" s="57">
        <v>32040</v>
      </c>
      <c r="U878" s="41">
        <v>1.8151815181518153E-2</v>
      </c>
    </row>
    <row r="879" spans="20:21" x14ac:dyDescent="0.25">
      <c r="T879" s="57">
        <v>32047</v>
      </c>
      <c r="U879" s="41">
        <v>1.5228426395939087E-2</v>
      </c>
    </row>
    <row r="880" spans="20:21" x14ac:dyDescent="0.25">
      <c r="T880" s="57">
        <v>32054</v>
      </c>
      <c r="U880" s="41">
        <v>3.5398230088495575E-2</v>
      </c>
    </row>
    <row r="881" spans="20:21" x14ac:dyDescent="0.25">
      <c r="T881" s="57">
        <v>32061</v>
      </c>
      <c r="U881" s="41">
        <v>2.3076923076923078E-2</v>
      </c>
    </row>
    <row r="882" spans="20:21" x14ac:dyDescent="0.25">
      <c r="T882" s="57">
        <v>32068</v>
      </c>
      <c r="U882" s="41">
        <v>1.001001001001001E-2</v>
      </c>
    </row>
    <row r="883" spans="20:21" x14ac:dyDescent="0.25">
      <c r="T883" s="57">
        <v>32075</v>
      </c>
      <c r="U883" s="41">
        <v>3.287671232876712E-2</v>
      </c>
    </row>
    <row r="884" spans="20:21" x14ac:dyDescent="0.25">
      <c r="T884" s="57">
        <v>32082</v>
      </c>
      <c r="U884" s="41">
        <v>1.1661807580174927E-2</v>
      </c>
    </row>
    <row r="885" spans="20:21" x14ac:dyDescent="0.25">
      <c r="T885" s="57">
        <v>32089</v>
      </c>
      <c r="U885" s="41">
        <v>1.9516728624535316E-2</v>
      </c>
    </row>
    <row r="886" spans="20:21" x14ac:dyDescent="0.25">
      <c r="T886" s="57">
        <v>32096</v>
      </c>
      <c r="U886" s="41">
        <v>3.1542056074766352E-2</v>
      </c>
    </row>
    <row r="887" spans="20:21" x14ac:dyDescent="0.25">
      <c r="T887" s="57">
        <v>32103</v>
      </c>
      <c r="U887" s="41">
        <v>2.7888446215139442E-2</v>
      </c>
    </row>
    <row r="888" spans="20:21" x14ac:dyDescent="0.25">
      <c r="T888" s="57">
        <v>32110</v>
      </c>
      <c r="U888" s="41">
        <v>9.2592592592592587E-3</v>
      </c>
    </row>
    <row r="889" spans="20:21" x14ac:dyDescent="0.25">
      <c r="T889" s="57">
        <v>32117</v>
      </c>
      <c r="U889" s="41">
        <v>1.0194624652455977E-2</v>
      </c>
    </row>
    <row r="890" spans="20:21" x14ac:dyDescent="0.25">
      <c r="T890" s="57">
        <v>32124</v>
      </c>
      <c r="U890" s="41">
        <v>4.1055718475073312E-2</v>
      </c>
    </row>
    <row r="891" spans="20:21" x14ac:dyDescent="0.25">
      <c r="T891" s="57">
        <v>32131</v>
      </c>
      <c r="U891" s="41">
        <v>3.6258158085569252E-2</v>
      </c>
    </row>
    <row r="892" spans="20:21" x14ac:dyDescent="0.25">
      <c r="T892" s="57">
        <v>32135</v>
      </c>
      <c r="U892" s="41">
        <v>1.437125748502994E-2</v>
      </c>
    </row>
    <row r="893" spans="20:21" x14ac:dyDescent="0.25">
      <c r="T893" s="57">
        <v>32136</v>
      </c>
      <c r="U893" s="41">
        <v>2.0912547528517109E-2</v>
      </c>
    </row>
    <row r="894" spans="20:21" x14ac:dyDescent="0.25">
      <c r="T894" s="57">
        <v>32138</v>
      </c>
      <c r="U894" s="41">
        <v>1.4873140857392825E-2</v>
      </c>
    </row>
    <row r="895" spans="20:21" x14ac:dyDescent="0.25">
      <c r="T895" s="57">
        <v>32145</v>
      </c>
      <c r="U895" s="41">
        <v>1.9644527595884004E-2</v>
      </c>
    </row>
    <row r="896" spans="20:21" x14ac:dyDescent="0.25">
      <c r="T896" s="57">
        <v>32152</v>
      </c>
      <c r="U896" s="41">
        <v>8.1081081081081086E-2</v>
      </c>
    </row>
    <row r="897" spans="20:21" x14ac:dyDescent="0.25">
      <c r="T897" s="57">
        <v>32159</v>
      </c>
      <c r="U897" s="41">
        <v>1.437125748502994E-2</v>
      </c>
    </row>
    <row r="898" spans="20:21" x14ac:dyDescent="0.25">
      <c r="T898" s="57">
        <v>32166</v>
      </c>
      <c r="U898" s="41">
        <v>2.5698324022346369E-2</v>
      </c>
    </row>
    <row r="899" spans="20:21" x14ac:dyDescent="0.25">
      <c r="T899" s="57">
        <v>32173</v>
      </c>
      <c r="U899" s="41">
        <v>1.6895459345300949E-2</v>
      </c>
    </row>
    <row r="900" spans="20:21" x14ac:dyDescent="0.25">
      <c r="T900" s="57">
        <v>32180</v>
      </c>
      <c r="U900" s="41">
        <v>1.8575851393188854E-2</v>
      </c>
    </row>
    <row r="901" spans="20:21" x14ac:dyDescent="0.25">
      <c r="T901" s="57">
        <v>32187</v>
      </c>
      <c r="U901" s="41">
        <v>2.5673940949935817E-2</v>
      </c>
    </row>
    <row r="902" spans="20:21" x14ac:dyDescent="0.25">
      <c r="T902" s="57">
        <v>32194</v>
      </c>
      <c r="U902" s="41">
        <v>2.0503261882572229E-2</v>
      </c>
    </row>
    <row r="903" spans="20:21" x14ac:dyDescent="0.25">
      <c r="T903" s="57">
        <v>32201</v>
      </c>
      <c r="U903" s="41">
        <v>1.9801980198019802E-2</v>
      </c>
    </row>
    <row r="904" spans="20:21" x14ac:dyDescent="0.25">
      <c r="T904" s="57">
        <v>32208</v>
      </c>
      <c r="U904" s="41">
        <v>1.0849909584086799E-2</v>
      </c>
    </row>
    <row r="905" spans="20:21" x14ac:dyDescent="0.25">
      <c r="T905" s="57">
        <v>32215</v>
      </c>
      <c r="U905" s="41">
        <v>1.9550342130987292E-2</v>
      </c>
    </row>
    <row r="906" spans="20:21" x14ac:dyDescent="0.25">
      <c r="T906" s="57">
        <v>32222</v>
      </c>
      <c r="U906" s="41">
        <v>1.6681299385425813E-2</v>
      </c>
    </row>
    <row r="907" spans="20:21" x14ac:dyDescent="0.25">
      <c r="T907" s="57">
        <v>32229</v>
      </c>
      <c r="U907" s="41">
        <v>2.2058823529411766E-2</v>
      </c>
    </row>
    <row r="908" spans="20:21" x14ac:dyDescent="0.25">
      <c r="T908" s="57">
        <v>32236</v>
      </c>
      <c r="U908" s="41">
        <v>1.7857142857142856E-2</v>
      </c>
    </row>
    <row r="909" spans="20:21" x14ac:dyDescent="0.25">
      <c r="T909" s="57">
        <v>32243</v>
      </c>
      <c r="U909" s="41">
        <v>1.9455252918287938E-2</v>
      </c>
    </row>
    <row r="910" spans="20:21" x14ac:dyDescent="0.25">
      <c r="T910" s="57">
        <v>32250</v>
      </c>
      <c r="U910" s="41">
        <v>3.095558546433378E-2</v>
      </c>
    </row>
    <row r="911" spans="20:21" x14ac:dyDescent="0.25">
      <c r="T911" s="57">
        <v>32257</v>
      </c>
      <c r="U911" s="41">
        <v>2.9085872576177285E-2</v>
      </c>
    </row>
    <row r="912" spans="20:21" x14ac:dyDescent="0.25">
      <c r="T912" s="57">
        <v>32264</v>
      </c>
      <c r="U912" s="41">
        <v>2.0886075949367089E-2</v>
      </c>
    </row>
    <row r="913" spans="20:21" x14ac:dyDescent="0.25">
      <c r="T913" s="57">
        <v>32271</v>
      </c>
      <c r="U913" s="41">
        <v>4.374240583232078E-2</v>
      </c>
    </row>
    <row r="914" spans="20:21" x14ac:dyDescent="0.25">
      <c r="T914" s="57">
        <v>32278</v>
      </c>
      <c r="U914" s="41">
        <v>1.1093502377179081E-2</v>
      </c>
    </row>
    <row r="915" spans="20:21" x14ac:dyDescent="0.25">
      <c r="T915" s="57">
        <v>32285</v>
      </c>
      <c r="U915" s="41">
        <v>3.7691401648998819E-2</v>
      </c>
    </row>
    <row r="916" spans="20:21" x14ac:dyDescent="0.25">
      <c r="T916" s="57">
        <v>32292</v>
      </c>
      <c r="U916" s="41">
        <v>2.6204564666103127E-2</v>
      </c>
    </row>
    <row r="917" spans="20:21" x14ac:dyDescent="0.25">
      <c r="T917" s="57">
        <v>32299</v>
      </c>
      <c r="U917" s="41">
        <v>1.5895953757225433E-2</v>
      </c>
    </row>
    <row r="918" spans="20:21" x14ac:dyDescent="0.25">
      <c r="T918" s="57">
        <v>32306</v>
      </c>
      <c r="U918" s="41">
        <v>4.4692737430167599E-2</v>
      </c>
    </row>
    <row r="919" spans="20:21" x14ac:dyDescent="0.25">
      <c r="T919" s="57">
        <v>32313</v>
      </c>
      <c r="U919" s="41">
        <v>1.1892963330029732E-2</v>
      </c>
    </row>
    <row r="920" spans="20:21" x14ac:dyDescent="0.25">
      <c r="T920" s="57">
        <v>32320</v>
      </c>
      <c r="U920" s="41">
        <v>1.9364833462432222E-2</v>
      </c>
    </row>
    <row r="921" spans="20:21" x14ac:dyDescent="0.25">
      <c r="T921" s="57">
        <v>32327</v>
      </c>
      <c r="U921" s="41">
        <v>9.2687950566426366E-3</v>
      </c>
    </row>
    <row r="922" spans="20:21" x14ac:dyDescent="0.25">
      <c r="T922" s="57">
        <v>32334</v>
      </c>
      <c r="U922" s="41">
        <v>3.5031847133757961E-2</v>
      </c>
    </row>
    <row r="923" spans="20:21" x14ac:dyDescent="0.25">
      <c r="T923" s="57">
        <v>32341</v>
      </c>
      <c r="U923" s="41">
        <v>3.4795763993948563E-2</v>
      </c>
    </row>
    <row r="924" spans="20:21" x14ac:dyDescent="0.25">
      <c r="T924" s="57">
        <v>32348</v>
      </c>
      <c r="U924" s="41">
        <v>2.5714285714285714E-2</v>
      </c>
    </row>
    <row r="925" spans="20:21" x14ac:dyDescent="0.25">
      <c r="T925" s="57">
        <v>32355</v>
      </c>
      <c r="U925" s="41">
        <v>1.3801756587202008E-2</v>
      </c>
    </row>
    <row r="926" spans="20:21" x14ac:dyDescent="0.25">
      <c r="T926" s="57">
        <v>32362</v>
      </c>
      <c r="U926" s="41">
        <v>2.9914529914529916E-2</v>
      </c>
    </row>
    <row r="927" spans="20:21" x14ac:dyDescent="0.25">
      <c r="T927" s="57">
        <v>32369</v>
      </c>
      <c r="U927" s="41">
        <v>8.5836909871244635E-3</v>
      </c>
    </row>
    <row r="928" spans="20:21" x14ac:dyDescent="0.25">
      <c r="T928" s="57">
        <v>32370</v>
      </c>
      <c r="U928" s="41">
        <v>1.037037037037037E-2</v>
      </c>
    </row>
    <row r="929" spans="20:21" x14ac:dyDescent="0.25">
      <c r="T929" s="57">
        <v>32376</v>
      </c>
      <c r="U929" s="41">
        <v>2.4858757062146894E-2</v>
      </c>
    </row>
    <row r="930" spans="20:21" x14ac:dyDescent="0.25">
      <c r="T930" s="57">
        <v>32383</v>
      </c>
      <c r="U930" s="41">
        <v>1.8666666666666668E-2</v>
      </c>
    </row>
    <row r="931" spans="20:21" x14ac:dyDescent="0.25">
      <c r="T931" s="57">
        <v>32390</v>
      </c>
      <c r="U931" s="41">
        <v>2.5611175785797437E-2</v>
      </c>
    </row>
    <row r="932" spans="20:21" x14ac:dyDescent="0.25">
      <c r="T932" s="57">
        <v>32397</v>
      </c>
      <c r="U932" s="41">
        <v>1.1959521619135235E-2</v>
      </c>
    </row>
    <row r="933" spans="20:21" x14ac:dyDescent="0.25">
      <c r="T933" s="57">
        <v>32404</v>
      </c>
      <c r="U933" s="41">
        <v>1.6778523489932886E-2</v>
      </c>
    </row>
    <row r="934" spans="20:21" x14ac:dyDescent="0.25">
      <c r="T934" s="57">
        <v>32411</v>
      </c>
      <c r="U934" s="41">
        <v>1.2345679012345678E-2</v>
      </c>
    </row>
    <row r="935" spans="20:21" x14ac:dyDescent="0.25">
      <c r="T935" s="57">
        <v>32418</v>
      </c>
      <c r="U935" s="41">
        <v>2.2494887525562373E-2</v>
      </c>
    </row>
    <row r="936" spans="20:21" x14ac:dyDescent="0.25">
      <c r="T936" s="57">
        <v>32425</v>
      </c>
      <c r="U936" s="41">
        <v>2.5995125913891144E-2</v>
      </c>
    </row>
    <row r="937" spans="20:21" x14ac:dyDescent="0.25">
      <c r="T937" s="57">
        <v>32432</v>
      </c>
      <c r="U937" s="41">
        <v>1.1523687580025609E-2</v>
      </c>
    </row>
    <row r="938" spans="20:21" x14ac:dyDescent="0.25">
      <c r="T938" s="57">
        <v>32439</v>
      </c>
      <c r="U938" s="41">
        <v>3.2634032634032632E-2</v>
      </c>
    </row>
    <row r="939" spans="20:21" x14ac:dyDescent="0.25">
      <c r="T939" s="57">
        <v>32446</v>
      </c>
      <c r="U939" s="41">
        <v>3.9134912461380018E-2</v>
      </c>
    </row>
    <row r="940" spans="20:21" x14ac:dyDescent="0.25">
      <c r="T940" s="57">
        <v>32448</v>
      </c>
      <c r="U940" s="41">
        <v>3.9641943734015347E-2</v>
      </c>
    </row>
    <row r="941" spans="20:21" x14ac:dyDescent="0.25">
      <c r="T941" s="57">
        <v>32453</v>
      </c>
      <c r="U941" s="41">
        <v>1.7021276595744681E-2</v>
      </c>
    </row>
    <row r="942" spans="20:21" x14ac:dyDescent="0.25">
      <c r="T942" s="57">
        <v>32460</v>
      </c>
      <c r="U942" s="41">
        <v>7.7586206896551723E-3</v>
      </c>
    </row>
    <row r="943" spans="20:21" x14ac:dyDescent="0.25">
      <c r="T943" s="57">
        <v>32467</v>
      </c>
      <c r="U943" s="41">
        <v>5.9147180192572216E-2</v>
      </c>
    </row>
    <row r="944" spans="20:21" x14ac:dyDescent="0.25">
      <c r="T944" s="57">
        <v>32474</v>
      </c>
      <c r="U944" s="41">
        <v>1.487778958554729E-2</v>
      </c>
    </row>
    <row r="945" spans="20:21" x14ac:dyDescent="0.25">
      <c r="T945" s="57">
        <v>32481</v>
      </c>
      <c r="U945" s="41">
        <v>2.2030651340996167E-2</v>
      </c>
    </row>
    <row r="946" spans="20:21" x14ac:dyDescent="0.25">
      <c r="T946" s="57">
        <v>32488</v>
      </c>
      <c r="U946" s="41">
        <v>1.9607843137254902E-2</v>
      </c>
    </row>
    <row r="947" spans="20:21" x14ac:dyDescent="0.25">
      <c r="T947" s="57">
        <v>32495</v>
      </c>
      <c r="U947" s="41">
        <v>1.9782393669634024E-2</v>
      </c>
    </row>
    <row r="948" spans="20:21" x14ac:dyDescent="0.25">
      <c r="T948" s="57">
        <v>32501</v>
      </c>
      <c r="U948" s="41">
        <v>2.4744027303754267E-2</v>
      </c>
    </row>
    <row r="949" spans="20:21" x14ac:dyDescent="0.25">
      <c r="T949" s="57">
        <v>32502</v>
      </c>
      <c r="U949" s="41">
        <v>1.5888778550148957E-2</v>
      </c>
    </row>
    <row r="950" spans="20:21" x14ac:dyDescent="0.25">
      <c r="T950" s="57">
        <v>32509</v>
      </c>
      <c r="U950" s="41">
        <v>2.5945945945945945E-2</v>
      </c>
    </row>
    <row r="951" spans="20:21" x14ac:dyDescent="0.25">
      <c r="T951" s="57">
        <v>32516</v>
      </c>
      <c r="U951" s="41">
        <v>4.4350580781414996E-2</v>
      </c>
    </row>
    <row r="952" spans="20:21" x14ac:dyDescent="0.25">
      <c r="T952" s="57">
        <v>32523</v>
      </c>
      <c r="U952" s="41">
        <v>3.5984848484848488E-2</v>
      </c>
    </row>
    <row r="953" spans="20:21" x14ac:dyDescent="0.25">
      <c r="T953" s="57">
        <v>32530</v>
      </c>
      <c r="U953" s="41">
        <v>3.7145650048875857E-2</v>
      </c>
    </row>
    <row r="954" spans="20:21" x14ac:dyDescent="0.25">
      <c r="T954" s="57">
        <v>32537</v>
      </c>
      <c r="U954" s="41">
        <v>1.7167381974248927E-2</v>
      </c>
    </row>
    <row r="955" spans="20:21" x14ac:dyDescent="0.25">
      <c r="T955" s="57">
        <v>32544</v>
      </c>
      <c r="U955" s="41">
        <v>2.142501245640259E-2</v>
      </c>
    </row>
    <row r="956" spans="20:21" x14ac:dyDescent="0.25">
      <c r="T956" s="57">
        <v>32551</v>
      </c>
      <c r="U956" s="41">
        <v>1.7426273458445041E-2</v>
      </c>
    </row>
    <row r="957" spans="20:21" x14ac:dyDescent="0.25">
      <c r="T957" s="57">
        <v>32558</v>
      </c>
      <c r="U957" s="41">
        <v>3.4090909090909088E-2</v>
      </c>
    </row>
    <row r="958" spans="20:21" x14ac:dyDescent="0.25">
      <c r="T958" s="57">
        <v>32565</v>
      </c>
      <c r="U958" s="41">
        <v>3.0690537084398978E-2</v>
      </c>
    </row>
    <row r="959" spans="20:21" x14ac:dyDescent="0.25">
      <c r="T959" s="57">
        <v>32572</v>
      </c>
      <c r="U959" s="41">
        <v>1.4405762304921969E-2</v>
      </c>
    </row>
    <row r="960" spans="20:21" x14ac:dyDescent="0.25">
      <c r="T960" s="57">
        <v>32579</v>
      </c>
      <c r="U960" s="41">
        <v>2.3391812865497075E-2</v>
      </c>
    </row>
    <row r="961" spans="20:21" x14ac:dyDescent="0.25">
      <c r="T961" s="57">
        <v>32586</v>
      </c>
      <c r="U961" s="41">
        <v>2.119460500963391E-2</v>
      </c>
    </row>
    <row r="962" spans="20:21" x14ac:dyDescent="0.25">
      <c r="T962" s="57">
        <v>32593</v>
      </c>
      <c r="U962" s="41">
        <v>1.6441005802707929E-2</v>
      </c>
    </row>
    <row r="963" spans="20:21" x14ac:dyDescent="0.25">
      <c r="T963" s="57">
        <v>32600</v>
      </c>
      <c r="U963" s="41">
        <v>1.3468013468013467E-2</v>
      </c>
    </row>
    <row r="964" spans="20:21" x14ac:dyDescent="0.25">
      <c r="T964" s="57">
        <v>32607</v>
      </c>
      <c r="U964" s="41">
        <v>2.3391812865497075E-2</v>
      </c>
    </row>
    <row r="965" spans="20:21" x14ac:dyDescent="0.25">
      <c r="T965" s="57">
        <v>32614</v>
      </c>
      <c r="U965" s="41">
        <v>2.7654867256637169E-2</v>
      </c>
    </row>
    <row r="966" spans="20:21" x14ac:dyDescent="0.25">
      <c r="T966" s="57">
        <v>32621</v>
      </c>
      <c r="U966" s="41">
        <v>3.2955715756951595E-2</v>
      </c>
    </row>
    <row r="967" spans="20:21" x14ac:dyDescent="0.25">
      <c r="T967" s="57">
        <v>32628</v>
      </c>
      <c r="U967" s="41">
        <v>7.5575027382256299E-2</v>
      </c>
    </row>
    <row r="968" spans="20:21" x14ac:dyDescent="0.25">
      <c r="T968" s="57">
        <v>32635</v>
      </c>
      <c r="U968" s="41">
        <v>2.430939226519337E-2</v>
      </c>
    </row>
    <row r="969" spans="20:21" x14ac:dyDescent="0.25">
      <c r="T969" s="57">
        <v>32642</v>
      </c>
      <c r="U969" s="41">
        <v>3.2347504621072089E-2</v>
      </c>
    </row>
    <row r="970" spans="20:21" x14ac:dyDescent="0.25">
      <c r="T970" s="57">
        <v>32649</v>
      </c>
      <c r="U970" s="41">
        <v>1.8065887353878853E-2</v>
      </c>
    </row>
    <row r="971" spans="20:21" x14ac:dyDescent="0.25">
      <c r="T971" s="57">
        <v>32656</v>
      </c>
      <c r="U971" s="41">
        <v>1.0810810810810811E-2</v>
      </c>
    </row>
    <row r="972" spans="20:21" x14ac:dyDescent="0.25">
      <c r="T972" s="57">
        <v>32663</v>
      </c>
      <c r="U972" s="41">
        <v>1.873536299765808E-2</v>
      </c>
    </row>
    <row r="973" spans="20:21" x14ac:dyDescent="0.25">
      <c r="T973" s="57">
        <v>32670</v>
      </c>
      <c r="U973" s="41">
        <v>2.5306122448979593E-2</v>
      </c>
    </row>
    <row r="974" spans="20:21" x14ac:dyDescent="0.25">
      <c r="T974" s="57">
        <v>32677</v>
      </c>
      <c r="U974" s="41">
        <v>1.8119068162208801E-2</v>
      </c>
    </row>
    <row r="975" spans="20:21" x14ac:dyDescent="0.25">
      <c r="T975" s="57">
        <v>32684</v>
      </c>
      <c r="U975" s="41">
        <v>1.068566340160285E-2</v>
      </c>
    </row>
    <row r="976" spans="20:21" x14ac:dyDescent="0.25">
      <c r="T976" s="57">
        <v>32691</v>
      </c>
      <c r="U976" s="41">
        <v>3.0830039525691699E-2</v>
      </c>
    </row>
    <row r="977" spans="20:21" x14ac:dyDescent="0.25">
      <c r="T977" s="57">
        <v>32698</v>
      </c>
      <c r="U977" s="41">
        <v>1.3431013431013432E-2</v>
      </c>
    </row>
    <row r="978" spans="20:21" x14ac:dyDescent="0.25">
      <c r="T978" s="57">
        <v>32705</v>
      </c>
      <c r="U978" s="41">
        <v>9.9778270509977823E-3</v>
      </c>
    </row>
    <row r="979" spans="20:21" x14ac:dyDescent="0.25">
      <c r="T979" s="57">
        <v>32712</v>
      </c>
      <c r="U979" s="41">
        <v>1.5503875968992248E-2</v>
      </c>
    </row>
    <row r="980" spans="20:21" x14ac:dyDescent="0.25">
      <c r="T980" s="57">
        <v>32719</v>
      </c>
      <c r="U980" s="41">
        <v>1.791277258566978E-2</v>
      </c>
    </row>
    <row r="981" spans="20:21" x14ac:dyDescent="0.25">
      <c r="T981" s="57">
        <v>32726</v>
      </c>
      <c r="U981" s="41">
        <v>2.8645833333333332E-2</v>
      </c>
    </row>
    <row r="982" spans="20:21" x14ac:dyDescent="0.25">
      <c r="T982" s="57">
        <v>32733</v>
      </c>
      <c r="U982" s="41">
        <v>1.6861219195849545E-2</v>
      </c>
    </row>
    <row r="983" spans="20:21" x14ac:dyDescent="0.25">
      <c r="T983" s="57">
        <v>32735</v>
      </c>
      <c r="U983" s="41">
        <v>1.7374517374517374E-2</v>
      </c>
    </row>
    <row r="984" spans="20:21" x14ac:dyDescent="0.25">
      <c r="T984" s="57">
        <v>32740</v>
      </c>
      <c r="U984" s="41">
        <v>2.3118544023610427E-2</v>
      </c>
    </row>
    <row r="985" spans="20:21" x14ac:dyDescent="0.25">
      <c r="T985" s="57">
        <v>32747</v>
      </c>
      <c r="U985" s="41">
        <v>2.3519163763066203E-2</v>
      </c>
    </row>
    <row r="986" spans="20:21" x14ac:dyDescent="0.25">
      <c r="T986" s="57">
        <v>32754</v>
      </c>
      <c r="U986" s="41">
        <v>1.634320735444331E-2</v>
      </c>
    </row>
    <row r="987" spans="20:21" x14ac:dyDescent="0.25">
      <c r="T987" s="57">
        <v>32761</v>
      </c>
      <c r="U987" s="41">
        <v>3.4449760765550237E-2</v>
      </c>
    </row>
    <row r="988" spans="20:21" x14ac:dyDescent="0.25">
      <c r="T988" s="57">
        <v>32768</v>
      </c>
      <c r="U988" s="41">
        <v>3.3707865168539325E-2</v>
      </c>
    </row>
    <row r="989" spans="20:21" x14ac:dyDescent="0.25">
      <c r="T989" s="57">
        <v>32775</v>
      </c>
      <c r="U989" s="41">
        <v>2.0746887966804978E-2</v>
      </c>
    </row>
    <row r="990" spans="20:21" x14ac:dyDescent="0.25">
      <c r="T990" s="57">
        <v>32782</v>
      </c>
      <c r="U990" s="41">
        <v>2.754399387911247E-2</v>
      </c>
    </row>
    <row r="991" spans="20:21" x14ac:dyDescent="0.25">
      <c r="T991" s="57">
        <v>32789</v>
      </c>
      <c r="U991" s="41">
        <v>6.2780269058295961E-3</v>
      </c>
    </row>
    <row r="992" spans="20:21" x14ac:dyDescent="0.25">
      <c r="T992" s="57">
        <v>32796</v>
      </c>
      <c r="U992" s="41">
        <v>2.7355623100303952E-2</v>
      </c>
    </row>
    <row r="993" spans="20:21" x14ac:dyDescent="0.25">
      <c r="T993" s="57">
        <v>32803</v>
      </c>
      <c r="U993" s="41">
        <v>2.7462121212121212E-2</v>
      </c>
    </row>
    <row r="994" spans="20:21" x14ac:dyDescent="0.25">
      <c r="T994" s="57">
        <v>32810</v>
      </c>
      <c r="U994" s="41">
        <v>2.0703933747412008E-2</v>
      </c>
    </row>
    <row r="995" spans="20:21" x14ac:dyDescent="0.25">
      <c r="T995" s="57">
        <v>32813</v>
      </c>
      <c r="U995" s="41">
        <v>2.4539877300613498E-2</v>
      </c>
    </row>
    <row r="996" spans="20:21" x14ac:dyDescent="0.25">
      <c r="T996" s="57">
        <v>32817</v>
      </c>
      <c r="U996" s="41">
        <v>3.096330275229358E-2</v>
      </c>
    </row>
    <row r="997" spans="20:21" x14ac:dyDescent="0.25">
      <c r="T997" s="57">
        <v>32824</v>
      </c>
      <c r="U997" s="41">
        <v>7.7310924369747902E-2</v>
      </c>
    </row>
    <row r="998" spans="20:21" x14ac:dyDescent="0.25">
      <c r="T998" s="57">
        <v>32831</v>
      </c>
      <c r="U998" s="41">
        <v>1.6488046166529265E-2</v>
      </c>
    </row>
    <row r="999" spans="20:21" x14ac:dyDescent="0.25">
      <c r="T999" s="57">
        <v>32838</v>
      </c>
      <c r="U999" s="41">
        <v>4.1062801932367152E-2</v>
      </c>
    </row>
    <row r="1000" spans="20:21" x14ac:dyDescent="0.25">
      <c r="T1000" s="57">
        <v>32845</v>
      </c>
      <c r="U1000" s="41">
        <v>2.8487229862475441E-2</v>
      </c>
    </row>
    <row r="1001" spans="20:21" x14ac:dyDescent="0.25">
      <c r="T1001" s="57">
        <v>32852</v>
      </c>
      <c r="U1001" s="41">
        <v>3.0581039755351681E-2</v>
      </c>
    </row>
    <row r="1002" spans="20:21" x14ac:dyDescent="0.25">
      <c r="T1002" s="57">
        <v>32859</v>
      </c>
      <c r="U1002" s="41">
        <v>2.6130653266331658E-2</v>
      </c>
    </row>
    <row r="1003" spans="20:21" x14ac:dyDescent="0.25">
      <c r="T1003" s="57">
        <v>32866</v>
      </c>
      <c r="U1003" s="41">
        <v>2.6536312849162011E-2</v>
      </c>
    </row>
    <row r="1004" spans="20:21" x14ac:dyDescent="0.25">
      <c r="T1004" s="57">
        <v>32867</v>
      </c>
      <c r="U1004" s="41">
        <v>2.2571148184494603E-2</v>
      </c>
    </row>
    <row r="1005" spans="20:21" x14ac:dyDescent="0.25">
      <c r="T1005" s="57">
        <v>32873</v>
      </c>
      <c r="U1005" s="41">
        <v>1.3904982618771726E-2</v>
      </c>
    </row>
    <row r="1006" spans="20:21" x14ac:dyDescent="0.25">
      <c r="T1006" s="57">
        <v>32880</v>
      </c>
      <c r="U1006" s="41">
        <v>3.1900138696255201E-2</v>
      </c>
    </row>
    <row r="1007" spans="20:21" x14ac:dyDescent="0.25">
      <c r="T1007" s="57">
        <v>32887</v>
      </c>
      <c r="U1007" s="41">
        <v>1.6166281755196306E-2</v>
      </c>
    </row>
    <row r="1008" spans="20:21" x14ac:dyDescent="0.25">
      <c r="T1008" s="57">
        <v>32894</v>
      </c>
      <c r="U1008" s="41">
        <v>3.1645569620253167E-2</v>
      </c>
    </row>
    <row r="1009" spans="20:21" x14ac:dyDescent="0.25">
      <c r="T1009" s="57">
        <v>32901</v>
      </c>
      <c r="U1009" s="41">
        <v>2.9813664596273291E-2</v>
      </c>
    </row>
    <row r="1010" spans="20:21" x14ac:dyDescent="0.25">
      <c r="T1010" s="57">
        <v>32908</v>
      </c>
      <c r="U1010" s="41">
        <v>7.6045627376425855E-3</v>
      </c>
    </row>
    <row r="1011" spans="20:21" x14ac:dyDescent="0.25">
      <c r="T1011" s="57">
        <v>32915</v>
      </c>
      <c r="U1011" s="41">
        <v>2.3633677991137372E-2</v>
      </c>
    </row>
    <row r="1012" spans="20:21" x14ac:dyDescent="0.25">
      <c r="T1012" s="57">
        <v>32922</v>
      </c>
      <c r="U1012" s="41">
        <v>2.4064171122994651E-2</v>
      </c>
    </row>
    <row r="1013" spans="20:21" x14ac:dyDescent="0.25">
      <c r="T1013" s="57">
        <v>32929</v>
      </c>
      <c r="U1013" s="41">
        <v>1.0443864229765013E-2</v>
      </c>
    </row>
    <row r="1014" spans="20:21" x14ac:dyDescent="0.25">
      <c r="T1014" s="57">
        <v>32936</v>
      </c>
      <c r="U1014" s="41">
        <v>2.7058823529411764E-2</v>
      </c>
    </row>
    <row r="1015" spans="20:21" x14ac:dyDescent="0.25">
      <c r="T1015" s="57">
        <v>32943</v>
      </c>
      <c r="U1015" s="41">
        <v>3.2994923857868022E-2</v>
      </c>
    </row>
    <row r="1016" spans="20:21" x14ac:dyDescent="0.25">
      <c r="T1016" s="57">
        <v>32950</v>
      </c>
      <c r="U1016" s="41">
        <v>4.4843049327354258E-2</v>
      </c>
    </row>
    <row r="1017" spans="20:21" x14ac:dyDescent="0.25">
      <c r="T1017" s="57">
        <v>32957</v>
      </c>
      <c r="U1017" s="41">
        <v>2.8785982478097622E-2</v>
      </c>
    </row>
    <row r="1018" spans="20:21" x14ac:dyDescent="0.25">
      <c r="T1018" s="57">
        <v>32964</v>
      </c>
      <c r="U1018" s="41">
        <v>2.9150823827629912E-2</v>
      </c>
    </row>
    <row r="1019" spans="20:21" x14ac:dyDescent="0.25">
      <c r="T1019" s="57">
        <v>32971</v>
      </c>
      <c r="U1019" s="41">
        <v>2.6064291920069503E-2</v>
      </c>
    </row>
    <row r="1020" spans="20:21" x14ac:dyDescent="0.25">
      <c r="T1020" s="57">
        <v>32978</v>
      </c>
      <c r="U1020" s="41">
        <v>3.9358600583090382E-2</v>
      </c>
    </row>
    <row r="1021" spans="20:21" x14ac:dyDescent="0.25">
      <c r="T1021" s="57">
        <v>32985</v>
      </c>
      <c r="U1021" s="41">
        <v>1.8094089264173704E-2</v>
      </c>
    </row>
    <row r="1022" spans="20:21" x14ac:dyDescent="0.25">
      <c r="T1022" s="57">
        <v>32992</v>
      </c>
      <c r="U1022" s="41">
        <v>2.0761245674740483E-2</v>
      </c>
    </row>
    <row r="1023" spans="20:21" x14ac:dyDescent="0.25">
      <c r="T1023" s="57">
        <v>32999</v>
      </c>
      <c r="U1023" s="41">
        <v>2.2617124394184167E-2</v>
      </c>
    </row>
    <row r="1024" spans="20:21" x14ac:dyDescent="0.25">
      <c r="T1024" s="57">
        <v>33006</v>
      </c>
      <c r="U1024" s="41">
        <v>1.5530629853321829E-2</v>
      </c>
    </row>
    <row r="1025" spans="20:21" x14ac:dyDescent="0.25">
      <c r="T1025" s="57">
        <v>33013</v>
      </c>
      <c r="U1025" s="41">
        <v>1.7757009345794394E-2</v>
      </c>
    </row>
    <row r="1026" spans="20:21" x14ac:dyDescent="0.25">
      <c r="T1026" s="57">
        <v>33020</v>
      </c>
      <c r="U1026" s="41">
        <v>9.2975206611570251E-3</v>
      </c>
    </row>
    <row r="1027" spans="20:21" x14ac:dyDescent="0.25">
      <c r="T1027" s="57">
        <v>33027</v>
      </c>
      <c r="U1027" s="41">
        <v>2.1428571428571429E-2</v>
      </c>
    </row>
    <row r="1028" spans="20:21" x14ac:dyDescent="0.25">
      <c r="T1028" s="57">
        <v>33034</v>
      </c>
      <c r="U1028" s="41">
        <v>3.0555555555555555E-2</v>
      </c>
    </row>
    <row r="1029" spans="20:21" x14ac:dyDescent="0.25">
      <c r="T1029" s="57">
        <v>33048</v>
      </c>
      <c r="U1029" s="41">
        <v>1.4492753623188406E-2</v>
      </c>
    </row>
    <row r="1030" spans="20:21" x14ac:dyDescent="0.25">
      <c r="T1030" s="57">
        <v>33055</v>
      </c>
      <c r="U1030" s="41">
        <v>1.3806706114398421E-2</v>
      </c>
    </row>
    <row r="1031" spans="20:21" x14ac:dyDescent="0.25">
      <c r="T1031" s="57">
        <v>33062</v>
      </c>
      <c r="U1031" s="41">
        <v>2.4367385192127462E-2</v>
      </c>
    </row>
    <row r="1032" spans="20:21" x14ac:dyDescent="0.25">
      <c r="T1032" s="57">
        <v>33069</v>
      </c>
      <c r="U1032" s="41">
        <v>1.9423978566644341E-2</v>
      </c>
    </row>
    <row r="1033" spans="20:21" x14ac:dyDescent="0.25">
      <c r="T1033" s="57">
        <v>33076</v>
      </c>
      <c r="U1033" s="41">
        <v>1.4037985136251032E-2</v>
      </c>
    </row>
    <row r="1034" spans="20:21" x14ac:dyDescent="0.25">
      <c r="T1034" s="57">
        <v>33083</v>
      </c>
      <c r="U1034" s="41">
        <v>1.8166804293971925E-2</v>
      </c>
    </row>
    <row r="1035" spans="20:21" x14ac:dyDescent="0.25">
      <c r="T1035" s="57">
        <v>33090</v>
      </c>
      <c r="U1035" s="41">
        <v>1.2610340479192938E-2</v>
      </c>
    </row>
    <row r="1036" spans="20:21" x14ac:dyDescent="0.25">
      <c r="T1036" s="57">
        <v>33097</v>
      </c>
      <c r="U1036" s="41">
        <v>1.277139208173691E-2</v>
      </c>
    </row>
    <row r="1037" spans="20:21" x14ac:dyDescent="0.25">
      <c r="T1037" s="57">
        <v>33100</v>
      </c>
      <c r="U1037" s="41">
        <v>1.3458950201884253E-2</v>
      </c>
    </row>
    <row r="1038" spans="20:21" x14ac:dyDescent="0.25">
      <c r="T1038" s="57">
        <v>33104</v>
      </c>
      <c r="U1038" s="41">
        <v>2.3162134944612285E-2</v>
      </c>
    </row>
    <row r="1039" spans="20:21" x14ac:dyDescent="0.25">
      <c r="T1039" s="57">
        <v>33111</v>
      </c>
      <c r="U1039" s="41">
        <v>2.5000000000000001E-2</v>
      </c>
    </row>
    <row r="1040" spans="20:21" x14ac:dyDescent="0.25">
      <c r="T1040" s="57">
        <v>33118</v>
      </c>
      <c r="U1040" s="41">
        <v>1.7333333333333333E-2</v>
      </c>
    </row>
    <row r="1041" spans="20:21" x14ac:dyDescent="0.25">
      <c r="T1041" s="57">
        <v>33125</v>
      </c>
      <c r="U1041" s="41">
        <v>1.1002444987775062E-2</v>
      </c>
    </row>
    <row r="1042" spans="20:21" x14ac:dyDescent="0.25">
      <c r="T1042" s="57">
        <v>33132</v>
      </c>
      <c r="U1042" s="41">
        <v>1.1111111111111112E-2</v>
      </c>
    </row>
    <row r="1043" spans="20:21" x14ac:dyDescent="0.25">
      <c r="T1043" s="57">
        <v>33139</v>
      </c>
      <c r="U1043" s="41">
        <v>3.811659192825112E-2</v>
      </c>
    </row>
    <row r="1044" spans="20:21" x14ac:dyDescent="0.25">
      <c r="T1044" s="57">
        <v>33146</v>
      </c>
      <c r="U1044" s="41">
        <v>2.5054466230936819E-2</v>
      </c>
    </row>
    <row r="1045" spans="20:21" x14ac:dyDescent="0.25">
      <c r="T1045" s="57">
        <v>33153</v>
      </c>
      <c r="U1045" s="41">
        <v>2.3001095290251915E-2</v>
      </c>
    </row>
    <row r="1046" spans="20:21" x14ac:dyDescent="0.25">
      <c r="T1046" s="57">
        <v>33160</v>
      </c>
      <c r="U1046" s="41">
        <v>1.7857142857142856E-2</v>
      </c>
    </row>
    <row r="1047" spans="20:21" x14ac:dyDescent="0.25">
      <c r="T1047" s="57">
        <v>33167</v>
      </c>
      <c r="U1047" s="41">
        <v>3.3333333333333333E-2</v>
      </c>
    </row>
    <row r="1048" spans="20:21" x14ac:dyDescent="0.25">
      <c r="T1048" s="57">
        <v>33174</v>
      </c>
      <c r="U1048" s="41">
        <v>6.1555075593952485E-2</v>
      </c>
    </row>
    <row r="1049" spans="20:21" x14ac:dyDescent="0.25">
      <c r="T1049" s="57">
        <v>33178</v>
      </c>
      <c r="U1049" s="41">
        <v>4.7461368653421633E-2</v>
      </c>
    </row>
    <row r="1050" spans="20:21" x14ac:dyDescent="0.25">
      <c r="T1050" s="57">
        <v>33181</v>
      </c>
      <c r="U1050" s="41">
        <v>2.0833333333333332E-2</v>
      </c>
    </row>
    <row r="1051" spans="20:21" x14ac:dyDescent="0.25">
      <c r="T1051" s="57">
        <v>33188</v>
      </c>
      <c r="U1051" s="41">
        <v>4.0515653775322284E-2</v>
      </c>
    </row>
    <row r="1052" spans="20:21" x14ac:dyDescent="0.25">
      <c r="T1052" s="57">
        <v>33195</v>
      </c>
      <c r="U1052" s="41">
        <v>1.4531043593130779E-2</v>
      </c>
    </row>
    <row r="1053" spans="20:21" x14ac:dyDescent="0.25">
      <c r="T1053" s="57">
        <v>33202</v>
      </c>
      <c r="U1053" s="41">
        <v>4.3995243757431628E-2</v>
      </c>
    </row>
    <row r="1054" spans="20:21" x14ac:dyDescent="0.25">
      <c r="T1054" s="57">
        <v>33209</v>
      </c>
      <c r="U1054" s="41">
        <v>8.9153046062407128E-3</v>
      </c>
    </row>
    <row r="1055" spans="20:21" x14ac:dyDescent="0.25">
      <c r="T1055" s="57">
        <v>33216</v>
      </c>
      <c r="U1055" s="41">
        <v>1.6928657799274487E-2</v>
      </c>
    </row>
    <row r="1056" spans="20:21" x14ac:dyDescent="0.25">
      <c r="T1056" s="57">
        <v>33223</v>
      </c>
      <c r="U1056" s="41">
        <v>7.9365079365079361E-3</v>
      </c>
    </row>
    <row r="1057" spans="20:21" x14ac:dyDescent="0.25">
      <c r="T1057" s="57">
        <v>33230</v>
      </c>
      <c r="U1057" s="41">
        <v>3.689064558629776E-2</v>
      </c>
    </row>
    <row r="1058" spans="20:21" x14ac:dyDescent="0.25">
      <c r="T1058" s="57">
        <v>33231</v>
      </c>
      <c r="U1058" s="41">
        <v>2.8144239226033423E-2</v>
      </c>
    </row>
    <row r="1059" spans="20:21" x14ac:dyDescent="0.25">
      <c r="T1059" s="57">
        <v>33232</v>
      </c>
      <c r="U1059" s="41">
        <v>1.6450216450216451E-2</v>
      </c>
    </row>
    <row r="1060" spans="20:21" x14ac:dyDescent="0.25">
      <c r="T1060" s="57">
        <v>33237</v>
      </c>
      <c r="U1060" s="41">
        <v>9.7181729834791061E-3</v>
      </c>
    </row>
    <row r="1061" spans="20:21" x14ac:dyDescent="0.25">
      <c r="T1061" s="57">
        <v>33244</v>
      </c>
      <c r="U1061" s="41">
        <v>3.1283710895361382E-2</v>
      </c>
    </row>
    <row r="1062" spans="20:21" x14ac:dyDescent="0.25">
      <c r="T1062" s="57">
        <v>33251</v>
      </c>
      <c r="U1062" s="41">
        <v>5.7347670250896057E-2</v>
      </c>
    </row>
    <row r="1063" spans="20:21" x14ac:dyDescent="0.25">
      <c r="T1063" s="57">
        <v>33258</v>
      </c>
      <c r="U1063" s="41">
        <v>9.7087378640776691E-3</v>
      </c>
    </row>
    <row r="1064" spans="20:21" x14ac:dyDescent="0.25">
      <c r="T1064" s="57">
        <v>33265</v>
      </c>
      <c r="U1064" s="41">
        <v>1.1666666666666667E-2</v>
      </c>
    </row>
    <row r="1065" spans="20:21" x14ac:dyDescent="0.25">
      <c r="T1065" s="57">
        <v>33272</v>
      </c>
      <c r="U1065" s="41">
        <v>5.4945054945054949E-3</v>
      </c>
    </row>
    <row r="1066" spans="20:21" x14ac:dyDescent="0.25">
      <c r="T1066" s="57">
        <v>33279</v>
      </c>
      <c r="U1066" s="41">
        <v>2.9300567107750471E-2</v>
      </c>
    </row>
    <row r="1067" spans="20:21" x14ac:dyDescent="0.25">
      <c r="T1067" s="57">
        <v>33286</v>
      </c>
      <c r="U1067" s="41">
        <v>1.8884892086330936E-2</v>
      </c>
    </row>
    <row r="1068" spans="20:21" x14ac:dyDescent="0.25">
      <c r="T1068" s="57">
        <v>33293</v>
      </c>
      <c r="U1068" s="41">
        <v>2.2458628841607566E-2</v>
      </c>
    </row>
    <row r="1069" spans="20:21" x14ac:dyDescent="0.25">
      <c r="T1069" s="57">
        <v>33300</v>
      </c>
      <c r="U1069" s="41">
        <v>2.688728024819028E-2</v>
      </c>
    </row>
    <row r="1070" spans="20:21" x14ac:dyDescent="0.25">
      <c r="T1070" s="57">
        <v>33307</v>
      </c>
      <c r="U1070" s="41">
        <v>9.1370558375634525E-3</v>
      </c>
    </row>
    <row r="1071" spans="20:21" x14ac:dyDescent="0.25">
      <c r="T1071" s="57">
        <v>33314</v>
      </c>
      <c r="U1071" s="41">
        <v>6.4995357474466105E-3</v>
      </c>
    </row>
    <row r="1072" spans="20:21" x14ac:dyDescent="0.25">
      <c r="T1072" s="57">
        <v>33321</v>
      </c>
      <c r="U1072" s="41">
        <v>2.8938906752411574E-2</v>
      </c>
    </row>
    <row r="1073" spans="20:21" x14ac:dyDescent="0.25">
      <c r="T1073" s="57">
        <v>33328</v>
      </c>
      <c r="U1073" s="41">
        <v>2.5386313465783666E-2</v>
      </c>
    </row>
    <row r="1074" spans="20:21" x14ac:dyDescent="0.25">
      <c r="T1074" s="57">
        <v>33335</v>
      </c>
      <c r="U1074" s="41">
        <v>1.596351197263398E-2</v>
      </c>
    </row>
    <row r="1075" spans="20:21" x14ac:dyDescent="0.25">
      <c r="T1075" s="57">
        <v>33342</v>
      </c>
      <c r="U1075" s="41">
        <v>3.0901287553648068E-2</v>
      </c>
    </row>
    <row r="1076" spans="20:21" x14ac:dyDescent="0.25">
      <c r="T1076" s="57">
        <v>33349</v>
      </c>
      <c r="U1076" s="41">
        <v>2.5227043390514632E-2</v>
      </c>
    </row>
    <row r="1077" spans="20:21" x14ac:dyDescent="0.25">
      <c r="T1077" s="57">
        <v>33356</v>
      </c>
      <c r="U1077" s="41">
        <v>2.132701421800948E-2</v>
      </c>
    </row>
    <row r="1078" spans="20:21" x14ac:dyDescent="0.25">
      <c r="T1078" s="57">
        <v>33363</v>
      </c>
      <c r="U1078" s="41">
        <v>1.7781541066892465E-2</v>
      </c>
    </row>
    <row r="1079" spans="20:21" x14ac:dyDescent="0.25">
      <c r="T1079" s="57">
        <v>33370</v>
      </c>
      <c r="U1079" s="41">
        <v>3.4013605442176874E-2</v>
      </c>
    </row>
    <row r="1080" spans="20:21" x14ac:dyDescent="0.25">
      <c r="T1080" s="57">
        <v>33377</v>
      </c>
      <c r="U1080" s="41">
        <v>2.3554603854389723E-2</v>
      </c>
    </row>
    <row r="1081" spans="20:21" x14ac:dyDescent="0.25">
      <c r="T1081" s="57">
        <v>33384</v>
      </c>
      <c r="U1081" s="41">
        <v>3.9653035935563817E-2</v>
      </c>
    </row>
    <row r="1082" spans="20:21" x14ac:dyDescent="0.25">
      <c r="T1082" s="57">
        <v>33391</v>
      </c>
      <c r="U1082" s="41">
        <v>3.035143769968051E-2</v>
      </c>
    </row>
    <row r="1083" spans="20:21" x14ac:dyDescent="0.25">
      <c r="T1083" s="57">
        <v>33398</v>
      </c>
      <c r="U1083" s="41">
        <v>1.2711864406779662E-2</v>
      </c>
    </row>
    <row r="1084" spans="20:21" x14ac:dyDescent="0.25">
      <c r="T1084" s="57">
        <v>33405</v>
      </c>
      <c r="U1084" s="41">
        <v>1.4084507042253521E-2</v>
      </c>
    </row>
    <row r="1085" spans="20:21" x14ac:dyDescent="0.25">
      <c r="T1085" s="57">
        <v>33412</v>
      </c>
      <c r="U1085" s="41">
        <v>3.1654676258992806E-2</v>
      </c>
    </row>
    <row r="1086" spans="20:21" x14ac:dyDescent="0.25">
      <c r="T1086" s="57">
        <v>33419</v>
      </c>
      <c r="U1086" s="41">
        <v>2.7533039647577091E-2</v>
      </c>
    </row>
    <row r="1087" spans="20:21" x14ac:dyDescent="0.25">
      <c r="T1087" s="57">
        <v>33426</v>
      </c>
      <c r="U1087" s="41">
        <v>1.7206477732793522E-2</v>
      </c>
    </row>
    <row r="1088" spans="20:21" x14ac:dyDescent="0.25">
      <c r="T1088" s="57">
        <v>33433</v>
      </c>
      <c r="U1088" s="41">
        <v>2.0022246941045607E-2</v>
      </c>
    </row>
    <row r="1089" spans="20:21" x14ac:dyDescent="0.25">
      <c r="T1089" s="57">
        <v>33440</v>
      </c>
      <c r="U1089" s="41">
        <v>2.1534320323014805E-2</v>
      </c>
    </row>
    <row r="1090" spans="20:21" x14ac:dyDescent="0.25">
      <c r="T1090" s="57">
        <v>33447</v>
      </c>
      <c r="U1090" s="41">
        <v>1.2903225806451613E-2</v>
      </c>
    </row>
    <row r="1091" spans="20:21" x14ac:dyDescent="0.25">
      <c r="T1091" s="57">
        <v>33454</v>
      </c>
      <c r="U1091" s="41">
        <v>2.276707530647986E-2</v>
      </c>
    </row>
    <row r="1092" spans="20:21" x14ac:dyDescent="0.25">
      <c r="T1092" s="57">
        <v>33461</v>
      </c>
      <c r="U1092" s="41">
        <v>2.3520485584218515E-2</v>
      </c>
    </row>
    <row r="1093" spans="20:21" x14ac:dyDescent="0.25">
      <c r="T1093" s="57">
        <v>33465</v>
      </c>
      <c r="U1093" s="41">
        <v>2.6495383380168606E-2</v>
      </c>
    </row>
    <row r="1094" spans="20:21" x14ac:dyDescent="0.25">
      <c r="T1094" s="57">
        <v>33468</v>
      </c>
      <c r="U1094" s="41">
        <v>2.0887728459530026E-2</v>
      </c>
    </row>
    <row r="1095" spans="20:21" x14ac:dyDescent="0.25">
      <c r="T1095" s="57">
        <v>33475</v>
      </c>
      <c r="U1095" s="41">
        <v>2.3864511162432642E-2</v>
      </c>
    </row>
    <row r="1096" spans="20:21" x14ac:dyDescent="0.25">
      <c r="T1096" s="57">
        <v>33482</v>
      </c>
      <c r="U1096" s="41">
        <v>3.0358785648574058E-2</v>
      </c>
    </row>
    <row r="1097" spans="20:21" x14ac:dyDescent="0.25">
      <c r="T1097" s="57">
        <v>33489</v>
      </c>
      <c r="U1097" s="41">
        <v>1.8181818181818181E-2</v>
      </c>
    </row>
    <row r="1098" spans="20:21" x14ac:dyDescent="0.25">
      <c r="T1098" s="57">
        <v>33496</v>
      </c>
      <c r="U1098" s="41">
        <v>2.8089887640449437E-2</v>
      </c>
    </row>
    <row r="1099" spans="20:21" x14ac:dyDescent="0.25">
      <c r="T1099" s="57">
        <v>33503</v>
      </c>
      <c r="U1099" s="41">
        <v>2.1468926553672316E-2</v>
      </c>
    </row>
    <row r="1100" spans="20:21" x14ac:dyDescent="0.25">
      <c r="T1100" s="57">
        <v>33510</v>
      </c>
      <c r="U1100" s="41">
        <v>1.278772378516624E-2</v>
      </c>
    </row>
    <row r="1101" spans="20:21" x14ac:dyDescent="0.25">
      <c r="T1101" s="57">
        <v>33517</v>
      </c>
      <c r="U1101" s="41">
        <v>2.0700636942675158E-2</v>
      </c>
    </row>
    <row r="1102" spans="20:21" x14ac:dyDescent="0.25">
      <c r="T1102" s="57">
        <v>33524</v>
      </c>
      <c r="U1102" s="41">
        <v>2.3157894736842106E-2</v>
      </c>
    </row>
    <row r="1103" spans="20:21" x14ac:dyDescent="0.25">
      <c r="T1103" s="57">
        <v>33531</v>
      </c>
      <c r="U1103" s="41">
        <v>1.5452538631346579E-2</v>
      </c>
    </row>
    <row r="1104" spans="20:21" x14ac:dyDescent="0.25">
      <c r="T1104" s="57">
        <v>33538</v>
      </c>
      <c r="U1104" s="41">
        <v>5.2109181141439205E-2</v>
      </c>
    </row>
    <row r="1105" spans="20:21" x14ac:dyDescent="0.25">
      <c r="T1105" s="57">
        <v>33543</v>
      </c>
      <c r="U1105" s="41">
        <v>1.570048309178744E-2</v>
      </c>
    </row>
    <row r="1106" spans="20:21" x14ac:dyDescent="0.25">
      <c r="T1106" s="57">
        <v>33545</v>
      </c>
      <c r="U1106" s="41">
        <v>2.59009009009009E-2</v>
      </c>
    </row>
    <row r="1107" spans="20:21" x14ac:dyDescent="0.25">
      <c r="T1107" s="57">
        <v>33552</v>
      </c>
      <c r="U1107" s="41">
        <v>2.0799999999999999E-2</v>
      </c>
    </row>
    <row r="1108" spans="20:21" x14ac:dyDescent="0.25">
      <c r="T1108" s="57">
        <v>33559</v>
      </c>
      <c r="U1108" s="41">
        <v>3.6452004860267312E-2</v>
      </c>
    </row>
    <row r="1109" spans="20:21" x14ac:dyDescent="0.25">
      <c r="T1109" s="57">
        <v>33566</v>
      </c>
      <c r="U1109" s="41">
        <v>2.20162224797219E-2</v>
      </c>
    </row>
    <row r="1110" spans="20:21" x14ac:dyDescent="0.25">
      <c r="T1110" s="57">
        <v>33573</v>
      </c>
      <c r="U1110" s="41">
        <v>1.7621145374449341E-2</v>
      </c>
    </row>
    <row r="1111" spans="20:21" x14ac:dyDescent="0.25">
      <c r="T1111" s="57">
        <v>33580</v>
      </c>
      <c r="U1111" s="41">
        <v>1.7287234042553192E-2</v>
      </c>
    </row>
    <row r="1112" spans="20:21" x14ac:dyDescent="0.25">
      <c r="T1112" s="57">
        <v>33587</v>
      </c>
      <c r="U1112" s="41">
        <v>2.6315789473684209E-2</v>
      </c>
    </row>
    <row r="1113" spans="20:21" x14ac:dyDescent="0.25">
      <c r="T1113" s="57">
        <v>33594</v>
      </c>
      <c r="U1113" s="41">
        <v>2.976190476190476E-2</v>
      </c>
    </row>
    <row r="1114" spans="20:21" x14ac:dyDescent="0.25">
      <c r="T1114" s="57">
        <v>33596</v>
      </c>
      <c r="U1114" s="41">
        <v>2.181818181818182E-2</v>
      </c>
    </row>
    <row r="1115" spans="20:21" x14ac:dyDescent="0.25">
      <c r="T1115" s="57">
        <v>33597</v>
      </c>
      <c r="U1115" s="41">
        <v>1.5015015015015015E-2</v>
      </c>
    </row>
    <row r="1116" spans="20:21" x14ac:dyDescent="0.25">
      <c r="T1116" s="57">
        <v>33601</v>
      </c>
      <c r="U1116" s="41">
        <v>1.9955654101995565E-2</v>
      </c>
    </row>
    <row r="1117" spans="20:21" x14ac:dyDescent="0.25">
      <c r="T1117" s="57">
        <v>33608</v>
      </c>
      <c r="U1117" s="41">
        <v>1.1904761904761904E-2</v>
      </c>
    </row>
    <row r="1118" spans="20:21" x14ac:dyDescent="0.25">
      <c r="T1118" s="57">
        <v>33615</v>
      </c>
      <c r="U1118" s="41">
        <v>2.1341463414634148E-2</v>
      </c>
    </row>
    <row r="1119" spans="20:21" x14ac:dyDescent="0.25">
      <c r="T1119" s="57">
        <v>33622</v>
      </c>
      <c r="U1119" s="41">
        <v>3.0508474576271188E-2</v>
      </c>
    </row>
    <row r="1120" spans="20:21" x14ac:dyDescent="0.25">
      <c r="T1120" s="57">
        <v>33629</v>
      </c>
      <c r="U1120" s="41">
        <v>2.070393374741201E-3</v>
      </c>
    </row>
    <row r="1121" spans="20:21" x14ac:dyDescent="0.25">
      <c r="T1121" s="57">
        <v>33636</v>
      </c>
      <c r="U1121" s="41">
        <v>2.0238095238095239E-2</v>
      </c>
    </row>
    <row r="1122" spans="20:21" x14ac:dyDescent="0.25">
      <c r="T1122" s="57">
        <v>33643</v>
      </c>
      <c r="U1122" s="41">
        <v>1.6250000000000001E-2</v>
      </c>
    </row>
    <row r="1123" spans="20:21" x14ac:dyDescent="0.25">
      <c r="T1123" s="57">
        <v>33650</v>
      </c>
      <c r="U1123" s="41">
        <v>2.2408963585434174E-2</v>
      </c>
    </row>
    <row r="1124" spans="20:21" x14ac:dyDescent="0.25">
      <c r="T1124" s="57">
        <v>33657</v>
      </c>
      <c r="U1124" s="41">
        <v>7.6263107721639654E-3</v>
      </c>
    </row>
    <row r="1125" spans="20:21" x14ac:dyDescent="0.25">
      <c r="T1125" s="57">
        <v>33664</v>
      </c>
      <c r="U1125" s="41">
        <v>2.3474178403755867E-2</v>
      </c>
    </row>
    <row r="1126" spans="20:21" x14ac:dyDescent="0.25">
      <c r="T1126" s="57">
        <v>33671</v>
      </c>
      <c r="U1126" s="41">
        <v>1.8935978358881875E-2</v>
      </c>
    </row>
    <row r="1127" spans="20:21" x14ac:dyDescent="0.25">
      <c r="T1127" s="57">
        <v>33678</v>
      </c>
      <c r="U1127" s="41">
        <v>3.1872509960159362E-2</v>
      </c>
    </row>
    <row r="1128" spans="20:21" x14ac:dyDescent="0.25">
      <c r="T1128" s="57">
        <v>33685</v>
      </c>
      <c r="U1128" s="41">
        <v>1.2222222222222223E-2</v>
      </c>
    </row>
    <row r="1129" spans="20:21" x14ac:dyDescent="0.25">
      <c r="T1129" s="57">
        <v>33692</v>
      </c>
      <c r="U1129" s="41">
        <v>8.5653104925053538E-3</v>
      </c>
    </row>
    <row r="1130" spans="20:21" x14ac:dyDescent="0.25">
      <c r="T1130" s="57">
        <v>33699</v>
      </c>
      <c r="U1130" s="41">
        <v>1.1439466158245948E-2</v>
      </c>
    </row>
    <row r="1131" spans="20:21" x14ac:dyDescent="0.25">
      <c r="T1131" s="57">
        <v>33706</v>
      </c>
      <c r="U1131" s="41">
        <v>2.054340622929092E-2</v>
      </c>
    </row>
    <row r="1132" spans="20:21" x14ac:dyDescent="0.25">
      <c r="T1132" s="57">
        <v>33713</v>
      </c>
      <c r="U1132" s="41">
        <v>1.0101010101010102E-2</v>
      </c>
    </row>
    <row r="1133" spans="20:21" x14ac:dyDescent="0.25">
      <c r="T1133" s="57">
        <v>33720</v>
      </c>
      <c r="U1133" s="41">
        <v>2.7327935222672066E-2</v>
      </c>
    </row>
    <row r="1134" spans="20:21" x14ac:dyDescent="0.25">
      <c r="T1134" s="57">
        <v>33727</v>
      </c>
      <c r="U1134" s="41">
        <v>2.0242914979757085E-2</v>
      </c>
    </row>
    <row r="1135" spans="20:21" x14ac:dyDescent="0.25">
      <c r="T1135" s="57">
        <v>33734</v>
      </c>
      <c r="U1135" s="41">
        <v>3.9641943734015347E-2</v>
      </c>
    </row>
    <row r="1136" spans="20:21" x14ac:dyDescent="0.25">
      <c r="T1136" s="57">
        <v>33741</v>
      </c>
      <c r="U1136" s="41">
        <v>2.751196172248804E-2</v>
      </c>
    </row>
    <row r="1137" spans="20:21" x14ac:dyDescent="0.25">
      <c r="T1137" s="57">
        <v>33748</v>
      </c>
      <c r="U1137" s="41">
        <v>1.9550342130987292E-2</v>
      </c>
    </row>
    <row r="1138" spans="20:21" x14ac:dyDescent="0.25">
      <c r="T1138" s="57">
        <v>33755</v>
      </c>
      <c r="U1138" s="41">
        <v>3.0505243088655862E-2</v>
      </c>
    </row>
    <row r="1139" spans="20:21" x14ac:dyDescent="0.25">
      <c r="T1139" s="57">
        <v>33762</v>
      </c>
      <c r="U1139" s="41">
        <v>3.7383177570093455E-2</v>
      </c>
    </row>
    <row r="1140" spans="20:21" x14ac:dyDescent="0.25">
      <c r="T1140" s="57">
        <v>33769</v>
      </c>
      <c r="U1140" s="41">
        <v>3.1976744186046513E-2</v>
      </c>
    </row>
    <row r="1141" spans="20:21" x14ac:dyDescent="0.25">
      <c r="T1141" s="57">
        <v>33776</v>
      </c>
      <c r="U1141" s="41">
        <v>2.1039603960396041E-2</v>
      </c>
    </row>
    <row r="1142" spans="20:21" x14ac:dyDescent="0.25">
      <c r="T1142" s="57">
        <v>33783</v>
      </c>
      <c r="U1142" s="41">
        <v>1.7045454545454544E-2</v>
      </c>
    </row>
    <row r="1143" spans="20:21" x14ac:dyDescent="0.25">
      <c r="T1143" s="57">
        <v>33790</v>
      </c>
      <c r="U1143" s="41">
        <v>1.9191919191919191E-2</v>
      </c>
    </row>
    <row r="1144" spans="20:21" x14ac:dyDescent="0.25">
      <c r="T1144" s="57">
        <v>33797</v>
      </c>
      <c r="U1144" s="41">
        <v>2.7540360873694207E-2</v>
      </c>
    </row>
    <row r="1145" spans="20:21" x14ac:dyDescent="0.25">
      <c r="T1145" s="57">
        <v>33804</v>
      </c>
      <c r="U1145" s="41">
        <v>8.5959885386819486E-3</v>
      </c>
    </row>
    <row r="1146" spans="20:21" x14ac:dyDescent="0.25">
      <c r="T1146" s="57">
        <v>33811</v>
      </c>
      <c r="U1146" s="41">
        <v>2.1920668058455117E-2</v>
      </c>
    </row>
    <row r="1147" spans="20:21" x14ac:dyDescent="0.25">
      <c r="T1147" s="57">
        <v>33818</v>
      </c>
      <c r="U1147" s="41">
        <v>1.7391304347826087E-2</v>
      </c>
    </row>
    <row r="1148" spans="20:21" x14ac:dyDescent="0.25">
      <c r="T1148" s="57">
        <v>33825</v>
      </c>
      <c r="U1148" s="41">
        <v>1.3431013431013432E-2</v>
      </c>
    </row>
    <row r="1149" spans="20:21" x14ac:dyDescent="0.25">
      <c r="T1149" s="57">
        <v>33831</v>
      </c>
      <c r="U1149" s="41">
        <v>8.6355785837651123E-3</v>
      </c>
    </row>
    <row r="1150" spans="20:21" x14ac:dyDescent="0.25">
      <c r="T1150" s="57">
        <v>33832</v>
      </c>
      <c r="U1150" s="41">
        <v>2.0787746170678335E-2</v>
      </c>
    </row>
    <row r="1151" spans="20:21" x14ac:dyDescent="0.25">
      <c r="T1151" s="57">
        <v>33839</v>
      </c>
      <c r="U1151" s="41">
        <v>2.0460358056265986E-2</v>
      </c>
    </row>
    <row r="1152" spans="20:21" x14ac:dyDescent="0.25">
      <c r="T1152" s="57">
        <v>33846</v>
      </c>
      <c r="U1152" s="41">
        <v>1.884570082449941E-2</v>
      </c>
    </row>
    <row r="1153" spans="20:21" x14ac:dyDescent="0.25">
      <c r="T1153" s="57">
        <v>33853</v>
      </c>
      <c r="U1153" s="41">
        <v>1.4705882352941176E-2</v>
      </c>
    </row>
    <row r="1154" spans="20:21" x14ac:dyDescent="0.25">
      <c r="T1154" s="57">
        <v>33860</v>
      </c>
      <c r="U1154" s="41">
        <v>6.7980965329707682E-3</v>
      </c>
    </row>
    <row r="1155" spans="20:21" x14ac:dyDescent="0.25">
      <c r="T1155" s="57">
        <v>33867</v>
      </c>
      <c r="U1155" s="41">
        <v>2.2514071294559099E-2</v>
      </c>
    </row>
    <row r="1156" spans="20:21" x14ac:dyDescent="0.25">
      <c r="T1156" s="57">
        <v>33874</v>
      </c>
      <c r="U1156" s="41">
        <v>1.6824395373291272E-2</v>
      </c>
    </row>
    <row r="1157" spans="20:21" x14ac:dyDescent="0.25">
      <c r="T1157" s="57">
        <v>33881</v>
      </c>
      <c r="U1157" s="41">
        <v>2.0594965675057208E-2</v>
      </c>
    </row>
    <row r="1158" spans="20:21" x14ac:dyDescent="0.25">
      <c r="T1158" s="57">
        <v>33888</v>
      </c>
      <c r="U1158" s="41">
        <v>5.1487414187643021E-2</v>
      </c>
    </row>
    <row r="1159" spans="20:21" x14ac:dyDescent="0.25">
      <c r="T1159" s="57">
        <v>33895</v>
      </c>
      <c r="U1159" s="41">
        <v>1.2048192771084338E-2</v>
      </c>
    </row>
    <row r="1160" spans="20:21" x14ac:dyDescent="0.25">
      <c r="T1160" s="57">
        <v>33902</v>
      </c>
      <c r="U1160" s="41">
        <v>3.2810271041369472E-2</v>
      </c>
    </row>
    <row r="1161" spans="20:21" x14ac:dyDescent="0.25">
      <c r="T1161" s="57">
        <v>33909</v>
      </c>
      <c r="U1161" s="41">
        <v>4.0688575899843503E-2</v>
      </c>
    </row>
    <row r="1162" spans="20:21" x14ac:dyDescent="0.25">
      <c r="T1162" s="57">
        <v>33916</v>
      </c>
      <c r="U1162" s="41">
        <v>1.8633540372670808E-2</v>
      </c>
    </row>
    <row r="1163" spans="20:21" x14ac:dyDescent="0.25">
      <c r="T1163" s="57">
        <v>33923</v>
      </c>
      <c r="U1163" s="41">
        <v>3.9473684210526314E-2</v>
      </c>
    </row>
    <row r="1164" spans="20:21" x14ac:dyDescent="0.25">
      <c r="T1164" s="57">
        <v>33930</v>
      </c>
      <c r="U1164" s="41">
        <v>7.6628352490421452E-3</v>
      </c>
    </row>
    <row r="1165" spans="20:21" x14ac:dyDescent="0.25">
      <c r="T1165" s="57">
        <v>33937</v>
      </c>
      <c r="U1165" s="41">
        <v>1.1464968152866241E-2</v>
      </c>
    </row>
    <row r="1166" spans="20:21" x14ac:dyDescent="0.25">
      <c r="T1166" s="57">
        <v>33944</v>
      </c>
      <c r="U1166" s="41">
        <v>9.4736842105263164E-3</v>
      </c>
    </row>
    <row r="1167" spans="20:21" x14ac:dyDescent="0.25">
      <c r="T1167" s="57">
        <v>33951</v>
      </c>
      <c r="U1167" s="41">
        <v>2.6448362720403022E-2</v>
      </c>
    </row>
    <row r="1168" spans="20:21" x14ac:dyDescent="0.25">
      <c r="T1168" s="57">
        <v>33958</v>
      </c>
      <c r="U1168" s="41">
        <v>4.2119565217391304E-2</v>
      </c>
    </row>
    <row r="1169" spans="20:21" x14ac:dyDescent="0.25">
      <c r="T1169" s="57">
        <v>33962</v>
      </c>
      <c r="U1169" s="41">
        <v>1.1194029850746268E-2</v>
      </c>
    </row>
    <row r="1170" spans="20:21" x14ac:dyDescent="0.25">
      <c r="T1170" s="57">
        <v>33963</v>
      </c>
      <c r="U1170" s="41">
        <v>2.8768699654775604E-2</v>
      </c>
    </row>
    <row r="1171" spans="20:21" x14ac:dyDescent="0.25">
      <c r="T1171" s="57">
        <v>33965</v>
      </c>
      <c r="U1171" s="41">
        <v>1.027077497665733E-2</v>
      </c>
    </row>
    <row r="1172" spans="20:21" x14ac:dyDescent="0.25">
      <c r="T1172" s="57">
        <v>33972</v>
      </c>
      <c r="U1172" s="41">
        <v>3.2938076416337288E-2</v>
      </c>
    </row>
    <row r="1173" spans="20:21" x14ac:dyDescent="0.25">
      <c r="T1173" s="57">
        <v>33979</v>
      </c>
      <c r="U1173" s="41">
        <v>2.1806853582554516E-2</v>
      </c>
    </row>
    <row r="1174" spans="20:21" x14ac:dyDescent="0.25">
      <c r="T1174" s="57">
        <v>33986</v>
      </c>
      <c r="U1174" s="41">
        <v>2.1463414634146343E-2</v>
      </c>
    </row>
    <row r="1175" spans="20:21" x14ac:dyDescent="0.25">
      <c r="T1175" s="57">
        <v>33993</v>
      </c>
      <c r="U1175" s="41">
        <v>8.3179297597042508E-3</v>
      </c>
    </row>
    <row r="1176" spans="20:21" x14ac:dyDescent="0.25">
      <c r="T1176" s="57">
        <v>34000</v>
      </c>
      <c r="U1176" s="41">
        <v>1.7543859649122806E-2</v>
      </c>
    </row>
    <row r="1177" spans="20:21" x14ac:dyDescent="0.25">
      <c r="T1177" s="57">
        <v>34007</v>
      </c>
      <c r="U1177" s="41">
        <v>2.002503128911139E-2</v>
      </c>
    </row>
    <row r="1178" spans="20:21" x14ac:dyDescent="0.25">
      <c r="T1178" s="57">
        <v>34014</v>
      </c>
      <c r="U1178" s="41">
        <v>2.7114967462039046E-2</v>
      </c>
    </row>
    <row r="1179" spans="20:21" x14ac:dyDescent="0.25">
      <c r="T1179" s="57">
        <v>34021</v>
      </c>
      <c r="U1179" s="41">
        <v>2.8074866310160429E-2</v>
      </c>
    </row>
    <row r="1180" spans="20:21" x14ac:dyDescent="0.25">
      <c r="T1180" s="57">
        <v>34028</v>
      </c>
      <c r="U1180" s="41">
        <v>1.9848771266540641E-2</v>
      </c>
    </row>
    <row r="1181" spans="20:21" x14ac:dyDescent="0.25">
      <c r="T1181" s="57">
        <v>34035</v>
      </c>
      <c r="U1181" s="41">
        <v>1.0288065843621399E-2</v>
      </c>
    </row>
    <row r="1182" spans="20:21" x14ac:dyDescent="0.25">
      <c r="T1182" s="57">
        <v>34042</v>
      </c>
      <c r="U1182" s="41">
        <v>2.2684310018903593E-2</v>
      </c>
    </row>
    <row r="1183" spans="20:21" x14ac:dyDescent="0.25">
      <c r="T1183" s="57">
        <v>34049</v>
      </c>
      <c r="U1183" s="41">
        <v>2.4582104228121928E-2</v>
      </c>
    </row>
    <row r="1184" spans="20:21" x14ac:dyDescent="0.25">
      <c r="T1184" s="57">
        <v>34056</v>
      </c>
      <c r="U1184" s="41">
        <v>4.9850448654037887E-3</v>
      </c>
    </row>
    <row r="1185" spans="20:21" x14ac:dyDescent="0.25">
      <c r="T1185" s="57">
        <v>34063</v>
      </c>
      <c r="U1185" s="41">
        <v>3.6989795918367346E-2</v>
      </c>
    </row>
    <row r="1186" spans="20:21" x14ac:dyDescent="0.25">
      <c r="T1186" s="57">
        <v>34070</v>
      </c>
      <c r="U1186" s="41">
        <v>3.5851472471190783E-2</v>
      </c>
    </row>
    <row r="1187" spans="20:21" x14ac:dyDescent="0.25">
      <c r="T1187" s="57">
        <v>34077</v>
      </c>
      <c r="U1187" s="41">
        <v>2.6651216685979143E-2</v>
      </c>
    </row>
    <row r="1188" spans="20:21" x14ac:dyDescent="0.25">
      <c r="T1188" s="57">
        <v>34084</v>
      </c>
      <c r="U1188" s="41">
        <v>2.1390374331550801E-2</v>
      </c>
    </row>
    <row r="1189" spans="20:21" x14ac:dyDescent="0.25">
      <c r="T1189" s="57">
        <v>34091</v>
      </c>
      <c r="U1189" s="41">
        <v>2.903225806451613E-2</v>
      </c>
    </row>
    <row r="1190" spans="20:21" x14ac:dyDescent="0.25">
      <c r="T1190" s="57">
        <v>34098</v>
      </c>
      <c r="U1190" s="41">
        <v>1.4301430143014302E-2</v>
      </c>
    </row>
    <row r="1191" spans="20:21" x14ac:dyDescent="0.25">
      <c r="T1191" s="57">
        <v>34105</v>
      </c>
      <c r="U1191" s="41">
        <v>1.8761726078799251E-2</v>
      </c>
    </row>
    <row r="1192" spans="20:21" x14ac:dyDescent="0.25">
      <c r="T1192" s="57">
        <v>34112</v>
      </c>
      <c r="U1192" s="41">
        <v>2.6795284030010719E-2</v>
      </c>
    </row>
    <row r="1193" spans="20:21" x14ac:dyDescent="0.25">
      <c r="T1193" s="57">
        <v>34119</v>
      </c>
      <c r="U1193" s="41">
        <v>7.3426573426573424E-2</v>
      </c>
    </row>
    <row r="1194" spans="20:21" x14ac:dyDescent="0.25">
      <c r="T1194" s="57">
        <v>34126</v>
      </c>
      <c r="U1194" s="41">
        <v>5.113636363636364E-2</v>
      </c>
    </row>
    <row r="1195" spans="20:21" x14ac:dyDescent="0.25">
      <c r="T1195" s="57">
        <v>34133</v>
      </c>
      <c r="U1195" s="41">
        <v>2.2831050228310501E-2</v>
      </c>
    </row>
    <row r="1196" spans="20:21" x14ac:dyDescent="0.25">
      <c r="T1196" s="57">
        <v>34140</v>
      </c>
      <c r="U1196" s="41">
        <v>1.2061403508771929E-2</v>
      </c>
    </row>
    <row r="1197" spans="20:21" x14ac:dyDescent="0.25">
      <c r="T1197" s="57">
        <v>34147</v>
      </c>
      <c r="U1197" s="41">
        <v>8.3532219570405727E-3</v>
      </c>
    </row>
    <row r="1198" spans="20:21" x14ac:dyDescent="0.25">
      <c r="T1198" s="57">
        <v>34154</v>
      </c>
      <c r="U1198" s="41">
        <v>2.819548872180451E-2</v>
      </c>
    </row>
    <row r="1199" spans="20:21" x14ac:dyDescent="0.25">
      <c r="T1199" s="57">
        <v>34161</v>
      </c>
      <c r="U1199" s="41">
        <v>2.0905923344947737E-2</v>
      </c>
    </row>
    <row r="1200" spans="20:21" x14ac:dyDescent="0.25">
      <c r="T1200" s="57">
        <v>34168</v>
      </c>
      <c r="U1200" s="41">
        <v>1.0332950631458095E-2</v>
      </c>
    </row>
    <row r="1201" spans="20:21" x14ac:dyDescent="0.25">
      <c r="T1201" s="57">
        <v>34175</v>
      </c>
      <c r="U1201" s="41">
        <v>2.1246458923512748E-2</v>
      </c>
    </row>
    <row r="1202" spans="20:21" x14ac:dyDescent="0.25">
      <c r="T1202" s="57">
        <v>34182</v>
      </c>
      <c r="U1202" s="41">
        <v>2.6525198938992044E-2</v>
      </c>
    </row>
    <row r="1203" spans="20:21" x14ac:dyDescent="0.25">
      <c r="T1203" s="57">
        <v>34189</v>
      </c>
      <c r="U1203" s="41">
        <v>1.3026052104208416E-2</v>
      </c>
    </row>
    <row r="1204" spans="20:21" x14ac:dyDescent="0.25">
      <c r="T1204" s="57">
        <v>34196</v>
      </c>
      <c r="U1204" s="41">
        <v>2.5050100200400802E-2</v>
      </c>
    </row>
    <row r="1205" spans="20:21" x14ac:dyDescent="0.25">
      <c r="T1205" s="57">
        <v>34203</v>
      </c>
      <c r="U1205" s="41">
        <v>3.5294117647058823E-2</v>
      </c>
    </row>
    <row r="1206" spans="20:21" x14ac:dyDescent="0.25">
      <c r="T1206" s="57">
        <v>34210</v>
      </c>
      <c r="U1206" s="41">
        <v>2.4390243902439025E-2</v>
      </c>
    </row>
    <row r="1207" spans="20:21" x14ac:dyDescent="0.25">
      <c r="T1207" s="57">
        <v>34217</v>
      </c>
      <c r="U1207" s="41">
        <v>1.7241379310344827E-2</v>
      </c>
    </row>
    <row r="1208" spans="20:21" x14ac:dyDescent="0.25">
      <c r="T1208" s="57">
        <v>34224</v>
      </c>
      <c r="U1208" s="41">
        <v>2.3983315954118872E-2</v>
      </c>
    </row>
    <row r="1209" spans="20:21" x14ac:dyDescent="0.25">
      <c r="T1209" s="57">
        <v>34231</v>
      </c>
      <c r="U1209" s="41">
        <v>3.003003003003003E-2</v>
      </c>
    </row>
    <row r="1210" spans="20:21" x14ac:dyDescent="0.25">
      <c r="T1210" s="57">
        <v>34238</v>
      </c>
      <c r="U1210" s="41">
        <v>1.1019283746556474E-2</v>
      </c>
    </row>
    <row r="1211" spans="20:21" x14ac:dyDescent="0.25">
      <c r="T1211" s="57">
        <v>34245</v>
      </c>
      <c r="U1211" s="41">
        <v>2.975557917109458E-2</v>
      </c>
    </row>
    <row r="1212" spans="20:21" x14ac:dyDescent="0.25">
      <c r="T1212" s="57">
        <v>34252</v>
      </c>
      <c r="U1212" s="41">
        <v>1.5348288075560802E-2</v>
      </c>
    </row>
    <row r="1213" spans="20:21" x14ac:dyDescent="0.25">
      <c r="T1213" s="57">
        <v>34259</v>
      </c>
      <c r="U1213" s="41">
        <v>1.1976047904191617E-2</v>
      </c>
    </row>
    <row r="1214" spans="20:21" x14ac:dyDescent="0.25">
      <c r="T1214" s="57">
        <v>34266</v>
      </c>
      <c r="U1214" s="41">
        <v>2.9668411867364748E-2</v>
      </c>
    </row>
    <row r="1215" spans="20:21" x14ac:dyDescent="0.25">
      <c r="T1215" s="57">
        <v>34273</v>
      </c>
      <c r="U1215" s="41">
        <v>2.1487603305785124E-2</v>
      </c>
    </row>
    <row r="1216" spans="20:21" x14ac:dyDescent="0.25">
      <c r="T1216" s="57">
        <v>34274</v>
      </c>
      <c r="U1216" s="41">
        <v>2.3062730627306273E-2</v>
      </c>
    </row>
    <row r="1217" spans="20:21" x14ac:dyDescent="0.25">
      <c r="T1217" s="57">
        <v>34280</v>
      </c>
      <c r="U1217" s="41">
        <v>4.7058823529411764E-2</v>
      </c>
    </row>
    <row r="1218" spans="20:21" x14ac:dyDescent="0.25">
      <c r="T1218" s="57">
        <v>34287</v>
      </c>
      <c r="U1218" s="41">
        <v>3.4263959390862943E-2</v>
      </c>
    </row>
    <row r="1219" spans="20:21" x14ac:dyDescent="0.25">
      <c r="T1219" s="57">
        <v>34294</v>
      </c>
      <c r="U1219" s="41">
        <v>1.0356731875719217E-2</v>
      </c>
    </row>
    <row r="1220" spans="20:21" x14ac:dyDescent="0.25">
      <c r="T1220" s="57">
        <v>34301</v>
      </c>
      <c r="U1220" s="41">
        <v>1.8072289156626505E-2</v>
      </c>
    </row>
    <row r="1221" spans="20:21" x14ac:dyDescent="0.25">
      <c r="T1221" s="57">
        <v>34308</v>
      </c>
      <c r="U1221" s="41">
        <v>2.7415143603133161E-2</v>
      </c>
    </row>
    <row r="1222" spans="20:21" x14ac:dyDescent="0.25">
      <c r="T1222" s="57">
        <v>34315</v>
      </c>
      <c r="U1222" s="41">
        <v>1.7679558011049725E-2</v>
      </c>
    </row>
    <row r="1223" spans="20:21" x14ac:dyDescent="0.25">
      <c r="T1223" s="57">
        <v>34322</v>
      </c>
      <c r="U1223" s="41">
        <v>3.7414965986394558E-2</v>
      </c>
    </row>
    <row r="1224" spans="20:21" x14ac:dyDescent="0.25">
      <c r="T1224" s="57">
        <v>34327</v>
      </c>
      <c r="U1224" s="41">
        <v>2.3076923076923078E-2</v>
      </c>
    </row>
    <row r="1225" spans="20:21" x14ac:dyDescent="0.25">
      <c r="T1225" s="57">
        <v>34328</v>
      </c>
      <c r="U1225" s="41">
        <v>1.7992424242424244E-2</v>
      </c>
    </row>
    <row r="1226" spans="20:21" x14ac:dyDescent="0.25">
      <c r="T1226" s="57">
        <v>34329</v>
      </c>
      <c r="U1226" s="41">
        <v>2.153558052434457E-2</v>
      </c>
    </row>
    <row r="1227" spans="20:21" x14ac:dyDescent="0.25">
      <c r="T1227" s="57">
        <v>34336</v>
      </c>
      <c r="U1227" s="41">
        <v>5.1004636785162288E-2</v>
      </c>
    </row>
    <row r="1228" spans="20:21" x14ac:dyDescent="0.25">
      <c r="T1228" s="57">
        <v>34343</v>
      </c>
      <c r="U1228" s="41">
        <v>2.2757697456492636E-2</v>
      </c>
    </row>
    <row r="1229" spans="20:21" x14ac:dyDescent="0.25">
      <c r="T1229" s="57">
        <v>34350</v>
      </c>
      <c r="U1229" s="41">
        <v>1.9289340101522844E-2</v>
      </c>
    </row>
    <row r="1230" spans="20:21" x14ac:dyDescent="0.25">
      <c r="T1230" s="57">
        <v>34357</v>
      </c>
      <c r="U1230" s="41">
        <v>2.1108179419525065E-2</v>
      </c>
    </row>
    <row r="1231" spans="20:21" x14ac:dyDescent="0.25">
      <c r="T1231" s="57">
        <v>34364</v>
      </c>
      <c r="U1231" s="41">
        <v>4.9822064056939501E-2</v>
      </c>
    </row>
    <row r="1232" spans="20:21" x14ac:dyDescent="0.25">
      <c r="T1232" s="57">
        <v>34371</v>
      </c>
      <c r="U1232" s="41">
        <v>1.9792648444863337E-2</v>
      </c>
    </row>
    <row r="1233" spans="20:21" x14ac:dyDescent="0.25">
      <c r="T1233" s="57">
        <v>34378</v>
      </c>
      <c r="U1233" s="41">
        <v>2.4625267665952889E-2</v>
      </c>
    </row>
    <row r="1234" spans="20:21" x14ac:dyDescent="0.25">
      <c r="T1234" s="57">
        <v>34385</v>
      </c>
      <c r="U1234" s="41">
        <v>7.5075075075075074E-3</v>
      </c>
    </row>
    <row r="1235" spans="20:21" x14ac:dyDescent="0.25">
      <c r="T1235" s="57">
        <v>34392</v>
      </c>
      <c r="U1235" s="41">
        <v>3.4297963558413719E-2</v>
      </c>
    </row>
    <row r="1236" spans="20:21" x14ac:dyDescent="0.25">
      <c r="T1236" s="57">
        <v>34399</v>
      </c>
      <c r="U1236" s="41">
        <v>1.6964285714285713E-2</v>
      </c>
    </row>
    <row r="1237" spans="20:21" x14ac:dyDescent="0.25">
      <c r="T1237" s="57">
        <v>34406</v>
      </c>
      <c r="U1237" s="41">
        <v>4.0498442367601244E-2</v>
      </c>
    </row>
    <row r="1238" spans="20:21" x14ac:dyDescent="0.25">
      <c r="T1238" s="57">
        <v>34413</v>
      </c>
      <c r="U1238" s="41">
        <v>1.0610079575596816E-2</v>
      </c>
    </row>
    <row r="1239" spans="20:21" x14ac:dyDescent="0.25">
      <c r="T1239" s="57">
        <v>34420</v>
      </c>
      <c r="U1239" s="41">
        <v>2.9680365296803651E-2</v>
      </c>
    </row>
    <row r="1240" spans="20:21" x14ac:dyDescent="0.25">
      <c r="T1240" s="57">
        <v>34427</v>
      </c>
      <c r="U1240" s="41">
        <v>8.6289549376797701E-3</v>
      </c>
    </row>
    <row r="1241" spans="20:21" x14ac:dyDescent="0.25">
      <c r="T1241" s="57">
        <v>34434</v>
      </c>
      <c r="U1241" s="41">
        <v>2.9680365296803651E-2</v>
      </c>
    </row>
    <row r="1242" spans="20:21" x14ac:dyDescent="0.25">
      <c r="T1242" s="57">
        <v>34441</v>
      </c>
      <c r="U1242" s="41">
        <v>6.5573770491803282E-2</v>
      </c>
    </row>
    <row r="1243" spans="20:21" x14ac:dyDescent="0.25">
      <c r="T1243" s="57">
        <v>34448</v>
      </c>
      <c r="U1243" s="41">
        <v>2.6182432432432432E-2</v>
      </c>
    </row>
    <row r="1244" spans="20:21" x14ac:dyDescent="0.25">
      <c r="T1244" s="57">
        <v>34455</v>
      </c>
      <c r="U1244" s="41">
        <v>2.4426350851221319E-2</v>
      </c>
    </row>
    <row r="1245" spans="20:21" x14ac:dyDescent="0.25">
      <c r="T1245" s="57">
        <v>34462</v>
      </c>
      <c r="U1245" s="41">
        <v>1.4720314033366046E-2</v>
      </c>
    </row>
    <row r="1246" spans="20:21" x14ac:dyDescent="0.25">
      <c r="T1246" s="57">
        <v>34466</v>
      </c>
      <c r="U1246" s="41">
        <v>1.4285714285714285E-2</v>
      </c>
    </row>
    <row r="1247" spans="20:21" x14ac:dyDescent="0.25">
      <c r="T1247" s="57">
        <v>34469</v>
      </c>
      <c r="U1247" s="41">
        <v>3.6303630363036306E-2</v>
      </c>
    </row>
    <row r="1248" spans="20:21" x14ac:dyDescent="0.25">
      <c r="T1248" s="57">
        <v>34476</v>
      </c>
      <c r="U1248" s="41">
        <v>3.551136363636364E-2</v>
      </c>
    </row>
    <row r="1249" spans="20:21" x14ac:dyDescent="0.25">
      <c r="T1249" s="57">
        <v>34483</v>
      </c>
      <c r="U1249" s="41">
        <v>4.5364891518737675E-2</v>
      </c>
    </row>
    <row r="1250" spans="20:21" x14ac:dyDescent="0.25">
      <c r="T1250" s="57">
        <v>34490</v>
      </c>
      <c r="U1250" s="41">
        <v>9.7323600973236012E-3</v>
      </c>
    </row>
    <row r="1251" spans="20:21" x14ac:dyDescent="0.25">
      <c r="T1251" s="57">
        <v>34497</v>
      </c>
      <c r="U1251" s="41">
        <v>3.2332563510392612E-2</v>
      </c>
    </row>
    <row r="1252" spans="20:21" x14ac:dyDescent="0.25">
      <c r="T1252" s="57">
        <v>34504</v>
      </c>
      <c r="U1252" s="41">
        <v>3.5106382978723406E-2</v>
      </c>
    </row>
    <row r="1253" spans="20:21" x14ac:dyDescent="0.25">
      <c r="T1253" s="57">
        <v>34511</v>
      </c>
      <c r="U1253" s="41">
        <v>3.3072236727589209E-2</v>
      </c>
    </row>
    <row r="1254" spans="20:21" x14ac:dyDescent="0.25">
      <c r="T1254" s="57">
        <v>34518</v>
      </c>
      <c r="U1254" s="41">
        <v>3.4572169403630081E-2</v>
      </c>
    </row>
    <row r="1255" spans="20:21" x14ac:dyDescent="0.25">
      <c r="T1255" s="57">
        <v>34525</v>
      </c>
      <c r="U1255" s="41">
        <v>2.4940617577197149E-2</v>
      </c>
    </row>
    <row r="1256" spans="20:21" x14ac:dyDescent="0.25">
      <c r="T1256" s="57">
        <v>34532</v>
      </c>
      <c r="U1256" s="41">
        <v>2.8416779431664412E-2</v>
      </c>
    </row>
    <row r="1257" spans="20:21" x14ac:dyDescent="0.25">
      <c r="T1257" s="57">
        <v>34539</v>
      </c>
      <c r="U1257" s="41">
        <v>1.993704092339979E-2</v>
      </c>
    </row>
    <row r="1258" spans="20:21" x14ac:dyDescent="0.25">
      <c r="T1258" s="57">
        <v>34546</v>
      </c>
      <c r="U1258" s="41">
        <v>1.2036108324974924E-2</v>
      </c>
    </row>
    <row r="1259" spans="20:21" x14ac:dyDescent="0.25">
      <c r="T1259" s="57">
        <v>34553</v>
      </c>
      <c r="U1259" s="41">
        <v>8.9047195013357075E-3</v>
      </c>
    </row>
    <row r="1260" spans="20:21" x14ac:dyDescent="0.25">
      <c r="T1260" s="57">
        <v>34560</v>
      </c>
      <c r="U1260" s="41">
        <v>1.4861995753715499E-2</v>
      </c>
    </row>
    <row r="1261" spans="20:21" x14ac:dyDescent="0.25">
      <c r="T1261" s="57">
        <v>34561</v>
      </c>
      <c r="U1261" s="41">
        <v>2.6837806301050177E-2</v>
      </c>
    </row>
    <row r="1262" spans="20:21" x14ac:dyDescent="0.25">
      <c r="T1262" s="57">
        <v>34567</v>
      </c>
      <c r="U1262" s="41">
        <v>1.9176136363636364E-2</v>
      </c>
    </row>
    <row r="1263" spans="20:21" x14ac:dyDescent="0.25">
      <c r="T1263" s="57">
        <v>34574</v>
      </c>
      <c r="U1263" s="41">
        <v>2.612330198537095E-2</v>
      </c>
    </row>
    <row r="1264" spans="20:21" x14ac:dyDescent="0.25">
      <c r="T1264" s="57">
        <v>34581</v>
      </c>
      <c r="U1264" s="41">
        <v>4.192355117139334E-2</v>
      </c>
    </row>
    <row r="1265" spans="20:21" x14ac:dyDescent="0.25">
      <c r="T1265" s="57">
        <v>34588</v>
      </c>
      <c r="U1265" s="41">
        <v>3.2624113475177303E-2</v>
      </c>
    </row>
    <row r="1266" spans="20:21" x14ac:dyDescent="0.25">
      <c r="T1266" s="57">
        <v>34595</v>
      </c>
      <c r="U1266" s="41">
        <v>2.4977698483496878E-2</v>
      </c>
    </row>
    <row r="1267" spans="20:21" x14ac:dyDescent="0.25">
      <c r="T1267" s="57">
        <v>34602</v>
      </c>
      <c r="U1267" s="41">
        <v>3.027027027027027E-2</v>
      </c>
    </row>
    <row r="1268" spans="20:21" x14ac:dyDescent="0.25">
      <c r="T1268" s="57">
        <v>34609</v>
      </c>
      <c r="U1268" s="41">
        <v>7.1065989847715737E-3</v>
      </c>
    </row>
    <row r="1269" spans="20:21" x14ac:dyDescent="0.25">
      <c r="T1269" s="57">
        <v>34616</v>
      </c>
      <c r="U1269" s="41">
        <v>2.763157894736842E-2</v>
      </c>
    </row>
    <row r="1270" spans="20:21" x14ac:dyDescent="0.25">
      <c r="T1270" s="57">
        <v>34623</v>
      </c>
      <c r="U1270" s="41">
        <v>6.9498069498069494E-3</v>
      </c>
    </row>
    <row r="1271" spans="20:21" x14ac:dyDescent="0.25">
      <c r="T1271" s="57">
        <v>34630</v>
      </c>
      <c r="U1271" s="41">
        <v>2.313624678663239E-2</v>
      </c>
    </row>
    <row r="1272" spans="20:21" x14ac:dyDescent="0.25">
      <c r="T1272" s="57">
        <v>34637</v>
      </c>
      <c r="U1272" s="41">
        <v>2.0618556701030927E-2</v>
      </c>
    </row>
    <row r="1273" spans="20:21" x14ac:dyDescent="0.25">
      <c r="T1273" s="57">
        <v>34639</v>
      </c>
      <c r="U1273" s="41">
        <v>1.5873015873015872E-2</v>
      </c>
    </row>
    <row r="1274" spans="20:21" x14ac:dyDescent="0.25">
      <c r="T1274" s="57">
        <v>34644</v>
      </c>
      <c r="U1274" s="41">
        <v>1.4608233731739707E-2</v>
      </c>
    </row>
    <row r="1275" spans="20:21" x14ac:dyDescent="0.25">
      <c r="T1275" s="57">
        <v>34651</v>
      </c>
      <c r="U1275" s="41">
        <v>4.0887850467289717E-2</v>
      </c>
    </row>
    <row r="1276" spans="20:21" x14ac:dyDescent="0.25">
      <c r="T1276" s="57">
        <v>34658</v>
      </c>
      <c r="U1276" s="41">
        <v>1.5810276679841896E-2</v>
      </c>
    </row>
    <row r="1277" spans="20:21" x14ac:dyDescent="0.25">
      <c r="T1277" s="57">
        <v>34665</v>
      </c>
      <c r="U1277" s="41">
        <v>1.8055555555555554E-2</v>
      </c>
    </row>
    <row r="1278" spans="20:21" x14ac:dyDescent="0.25">
      <c r="T1278" s="57">
        <v>34672</v>
      </c>
      <c r="U1278" s="41">
        <v>1.8258426966292134E-2</v>
      </c>
    </row>
    <row r="1279" spans="20:21" x14ac:dyDescent="0.25">
      <c r="T1279" s="57">
        <v>34679</v>
      </c>
      <c r="U1279" s="41">
        <v>1.3440860215053764E-2</v>
      </c>
    </row>
    <row r="1280" spans="20:21" x14ac:dyDescent="0.25">
      <c r="T1280" s="57">
        <v>34686</v>
      </c>
      <c r="U1280" s="41">
        <v>3.6516853932584269E-2</v>
      </c>
    </row>
    <row r="1281" spans="20:21" x14ac:dyDescent="0.25">
      <c r="T1281" s="57">
        <v>34692</v>
      </c>
      <c r="U1281" s="41">
        <v>2.5171624713958809E-2</v>
      </c>
    </row>
    <row r="1282" spans="20:21" x14ac:dyDescent="0.25">
      <c r="T1282" s="57">
        <v>34693</v>
      </c>
      <c r="U1282" s="41">
        <v>3.0193236714975844E-2</v>
      </c>
    </row>
    <row r="1283" spans="20:21" x14ac:dyDescent="0.25">
      <c r="T1283" s="57">
        <v>34700</v>
      </c>
      <c r="U1283" s="41">
        <v>2.710843373493976E-2</v>
      </c>
    </row>
    <row r="1284" spans="20:21" x14ac:dyDescent="0.25">
      <c r="T1284" s="57">
        <v>34707</v>
      </c>
      <c r="U1284" s="41">
        <v>1.7804154302670624E-2</v>
      </c>
    </row>
    <row r="1285" spans="20:21" x14ac:dyDescent="0.25">
      <c r="T1285" s="57">
        <v>34714</v>
      </c>
      <c r="U1285" s="41">
        <v>3.2258064516129031E-2</v>
      </c>
    </row>
    <row r="1286" spans="20:21" x14ac:dyDescent="0.25">
      <c r="T1286" s="57">
        <v>34721</v>
      </c>
      <c r="U1286" s="41">
        <v>3.0100334448160536E-2</v>
      </c>
    </row>
    <row r="1287" spans="20:21" x14ac:dyDescent="0.25">
      <c r="T1287" s="57">
        <v>34728</v>
      </c>
      <c r="U1287" s="41">
        <v>2.6490066225165563E-2</v>
      </c>
    </row>
    <row r="1288" spans="20:21" x14ac:dyDescent="0.25">
      <c r="T1288" s="57">
        <v>34735</v>
      </c>
      <c r="U1288" s="41">
        <v>1.3774104683195593E-2</v>
      </c>
    </row>
    <row r="1289" spans="20:21" x14ac:dyDescent="0.25">
      <c r="T1289" s="57">
        <v>34742</v>
      </c>
      <c r="U1289" s="41">
        <v>2.1008403361344537E-3</v>
      </c>
    </row>
    <row r="1290" spans="20:21" x14ac:dyDescent="0.25">
      <c r="T1290" s="57">
        <v>34749</v>
      </c>
      <c r="U1290" s="41">
        <v>4.8625792811839326E-2</v>
      </c>
    </row>
    <row r="1291" spans="20:21" x14ac:dyDescent="0.25">
      <c r="T1291" s="57">
        <v>34756</v>
      </c>
      <c r="U1291" s="41">
        <v>9.911894273127754E-3</v>
      </c>
    </row>
    <row r="1292" spans="20:21" x14ac:dyDescent="0.25">
      <c r="T1292" s="57">
        <v>34763</v>
      </c>
      <c r="U1292" s="41">
        <v>1.2135922330097087E-2</v>
      </c>
    </row>
    <row r="1293" spans="20:21" x14ac:dyDescent="0.25">
      <c r="T1293" s="57">
        <v>34770</v>
      </c>
      <c r="U1293" s="41">
        <v>1.0335917312661499E-2</v>
      </c>
    </row>
    <row r="1294" spans="20:21" x14ac:dyDescent="0.25">
      <c r="T1294" s="57">
        <v>34777</v>
      </c>
      <c r="U1294" s="41">
        <v>9.497964721845319E-3</v>
      </c>
    </row>
    <row r="1295" spans="20:21" x14ac:dyDescent="0.25">
      <c r="T1295" s="57">
        <v>34784</v>
      </c>
      <c r="U1295" s="41">
        <v>1.1574074074074073E-2</v>
      </c>
    </row>
    <row r="1296" spans="20:21" x14ac:dyDescent="0.25">
      <c r="T1296" s="57">
        <v>34791</v>
      </c>
      <c r="U1296" s="41">
        <v>3.5202086049543675E-2</v>
      </c>
    </row>
    <row r="1297" spans="20:21" x14ac:dyDescent="0.25">
      <c r="T1297" s="57">
        <v>34798</v>
      </c>
      <c r="U1297" s="41">
        <v>2.2058823529411766E-2</v>
      </c>
    </row>
    <row r="1298" spans="20:21" x14ac:dyDescent="0.25">
      <c r="T1298" s="57">
        <v>34805</v>
      </c>
      <c r="U1298" s="41">
        <v>1.4101057579318449E-2</v>
      </c>
    </row>
    <row r="1299" spans="20:21" x14ac:dyDescent="0.25">
      <c r="T1299" s="57">
        <v>34812</v>
      </c>
      <c r="U1299" s="41">
        <v>1.7241379310344827E-2</v>
      </c>
    </row>
    <row r="1300" spans="20:21" x14ac:dyDescent="0.25">
      <c r="T1300" s="57">
        <v>34819</v>
      </c>
      <c r="U1300" s="41">
        <v>3.0503978779840849E-2</v>
      </c>
    </row>
    <row r="1301" spans="20:21" x14ac:dyDescent="0.25">
      <c r="T1301" s="57">
        <v>34826</v>
      </c>
      <c r="U1301" s="41">
        <v>3.1226199543031227E-2</v>
      </c>
    </row>
    <row r="1302" spans="20:21" x14ac:dyDescent="0.25">
      <c r="T1302" s="57">
        <v>34833</v>
      </c>
      <c r="U1302" s="41">
        <v>2.9126213592233011E-2</v>
      </c>
    </row>
    <row r="1303" spans="20:21" x14ac:dyDescent="0.25">
      <c r="T1303" s="57">
        <v>34840</v>
      </c>
      <c r="U1303" s="41">
        <v>3.2665964172813484E-2</v>
      </c>
    </row>
    <row r="1304" spans="20:21" x14ac:dyDescent="0.25">
      <c r="T1304" s="57">
        <v>34844</v>
      </c>
      <c r="U1304" s="41">
        <v>3.3361847733105215E-2</v>
      </c>
    </row>
    <row r="1305" spans="20:21" x14ac:dyDescent="0.25">
      <c r="T1305" s="57">
        <v>34847</v>
      </c>
      <c r="U1305" s="41">
        <v>1.9401778496362168E-2</v>
      </c>
    </row>
    <row r="1306" spans="20:21" x14ac:dyDescent="0.25">
      <c r="T1306" s="57">
        <v>34854</v>
      </c>
      <c r="U1306" s="41">
        <v>2.8943560057887119E-2</v>
      </c>
    </row>
    <row r="1307" spans="20:21" x14ac:dyDescent="0.25">
      <c r="T1307" s="57">
        <v>34861</v>
      </c>
      <c r="U1307" s="41">
        <v>2.7659574468085105E-2</v>
      </c>
    </row>
    <row r="1308" spans="20:21" x14ac:dyDescent="0.25">
      <c r="T1308" s="57">
        <v>34868</v>
      </c>
      <c r="U1308" s="41">
        <v>1.7258883248730966E-2</v>
      </c>
    </row>
    <row r="1309" spans="20:21" x14ac:dyDescent="0.25">
      <c r="T1309" s="57">
        <v>34875</v>
      </c>
      <c r="U1309" s="41">
        <v>3.7111334002006016E-2</v>
      </c>
    </row>
    <row r="1310" spans="20:21" x14ac:dyDescent="0.25">
      <c r="T1310" s="57">
        <v>34882</v>
      </c>
      <c r="U1310" s="41">
        <v>7.5839653304442039E-3</v>
      </c>
    </row>
    <row r="1311" spans="20:21" x14ac:dyDescent="0.25">
      <c r="T1311" s="57">
        <v>34889</v>
      </c>
      <c r="U1311" s="41">
        <v>1.6771488469601678E-2</v>
      </c>
    </row>
    <row r="1312" spans="20:21" x14ac:dyDescent="0.25">
      <c r="T1312" s="57">
        <v>34896</v>
      </c>
      <c r="U1312" s="41">
        <v>1.3143483023001095E-2</v>
      </c>
    </row>
    <row r="1313" spans="20:21" x14ac:dyDescent="0.25">
      <c r="T1313" s="57">
        <v>34903</v>
      </c>
      <c r="U1313" s="41">
        <v>1.2406947890818859E-2</v>
      </c>
    </row>
    <row r="1314" spans="20:21" x14ac:dyDescent="0.25">
      <c r="T1314" s="57">
        <v>34910</v>
      </c>
      <c r="U1314" s="41">
        <v>6.7698259187620891E-3</v>
      </c>
    </row>
    <row r="1315" spans="20:21" x14ac:dyDescent="0.25">
      <c r="T1315" s="57">
        <v>34917</v>
      </c>
      <c r="U1315" s="41">
        <v>1.7283950617283949E-2</v>
      </c>
    </row>
    <row r="1316" spans="20:21" x14ac:dyDescent="0.25">
      <c r="T1316" s="57">
        <v>34924</v>
      </c>
      <c r="U1316" s="41">
        <v>3.9035591274397242E-2</v>
      </c>
    </row>
    <row r="1317" spans="20:21" x14ac:dyDescent="0.25">
      <c r="T1317" s="57">
        <v>34926</v>
      </c>
      <c r="U1317" s="41">
        <v>2.7888446215139442E-2</v>
      </c>
    </row>
    <row r="1318" spans="20:21" x14ac:dyDescent="0.25">
      <c r="T1318" s="57">
        <v>34931</v>
      </c>
      <c r="U1318" s="41">
        <v>3.7499999999999999E-2</v>
      </c>
    </row>
    <row r="1319" spans="20:21" x14ac:dyDescent="0.25">
      <c r="T1319" s="57">
        <v>34938</v>
      </c>
      <c r="U1319" s="41">
        <v>2.4064171122994651E-2</v>
      </c>
    </row>
    <row r="1320" spans="20:21" x14ac:dyDescent="0.25">
      <c r="T1320" s="57">
        <v>34945</v>
      </c>
      <c r="U1320" s="41">
        <v>2.0127118644067795E-2</v>
      </c>
    </row>
    <row r="1321" spans="20:21" x14ac:dyDescent="0.25">
      <c r="T1321" s="57">
        <v>34952</v>
      </c>
      <c r="U1321" s="41">
        <v>2.9622063329928498E-2</v>
      </c>
    </row>
    <row r="1322" spans="20:21" x14ac:dyDescent="0.25">
      <c r="T1322" s="57">
        <v>34959</v>
      </c>
      <c r="U1322" s="41">
        <v>2.442528735632184E-2</v>
      </c>
    </row>
    <row r="1323" spans="20:21" x14ac:dyDescent="0.25">
      <c r="T1323" s="57">
        <v>34966</v>
      </c>
      <c r="U1323" s="41">
        <v>2.446183953033268E-2</v>
      </c>
    </row>
    <row r="1324" spans="20:21" x14ac:dyDescent="0.25">
      <c r="T1324" s="57">
        <v>34973</v>
      </c>
      <c r="U1324" s="41">
        <v>1.2404580152671756E-2</v>
      </c>
    </row>
    <row r="1325" spans="20:21" x14ac:dyDescent="0.25">
      <c r="T1325" s="57">
        <v>34980</v>
      </c>
      <c r="U1325" s="41">
        <v>2.332657200811359E-2</v>
      </c>
    </row>
    <row r="1326" spans="20:21" x14ac:dyDescent="0.25">
      <c r="T1326" s="57">
        <v>34987</v>
      </c>
      <c r="U1326" s="41">
        <v>4.072398190045249E-2</v>
      </c>
    </row>
    <row r="1327" spans="20:21" x14ac:dyDescent="0.25">
      <c r="T1327" s="57">
        <v>34994</v>
      </c>
      <c r="U1327" s="41">
        <v>1.966568338249754E-2</v>
      </c>
    </row>
    <row r="1328" spans="20:21" x14ac:dyDescent="0.25">
      <c r="T1328" s="57">
        <v>35001</v>
      </c>
      <c r="U1328" s="41">
        <v>1.5028901734104046E-2</v>
      </c>
    </row>
    <row r="1329" spans="20:21" x14ac:dyDescent="0.25">
      <c r="T1329" s="57">
        <v>35004</v>
      </c>
      <c r="U1329" s="41">
        <v>1.6393442622950821E-2</v>
      </c>
    </row>
    <row r="1330" spans="20:21" x14ac:dyDescent="0.25">
      <c r="T1330" s="57">
        <v>35008</v>
      </c>
      <c r="U1330" s="41">
        <v>1.3686131386861315E-2</v>
      </c>
    </row>
    <row r="1331" spans="20:21" x14ac:dyDescent="0.25">
      <c r="T1331" s="57">
        <v>35015</v>
      </c>
      <c r="U1331" s="41">
        <v>2.6984126984126985E-2</v>
      </c>
    </row>
    <row r="1332" spans="20:21" x14ac:dyDescent="0.25">
      <c r="T1332" s="57">
        <v>35022</v>
      </c>
      <c r="U1332" s="41">
        <v>2.1352313167259787E-2</v>
      </c>
    </row>
    <row r="1333" spans="20:21" x14ac:dyDescent="0.25">
      <c r="T1333" s="57">
        <v>35029</v>
      </c>
      <c r="U1333" s="41">
        <v>2.9005524861878452E-2</v>
      </c>
    </row>
    <row r="1334" spans="20:21" x14ac:dyDescent="0.25">
      <c r="T1334" s="57">
        <v>35036</v>
      </c>
      <c r="U1334" s="41">
        <v>2.2759601706970129E-2</v>
      </c>
    </row>
    <row r="1335" spans="20:21" x14ac:dyDescent="0.25">
      <c r="T1335" s="57">
        <v>35043</v>
      </c>
      <c r="U1335" s="41">
        <v>2.9914529914529916E-2</v>
      </c>
    </row>
    <row r="1336" spans="20:21" x14ac:dyDescent="0.25">
      <c r="T1336" s="57">
        <v>35050</v>
      </c>
      <c r="U1336" s="41">
        <v>3.1700288184438041E-2</v>
      </c>
    </row>
    <row r="1337" spans="20:21" x14ac:dyDescent="0.25">
      <c r="T1337" s="57">
        <v>35057</v>
      </c>
      <c r="U1337" s="41">
        <v>2.074074074074074E-2</v>
      </c>
    </row>
    <row r="1338" spans="20:21" x14ac:dyDescent="0.25">
      <c r="T1338" s="57">
        <v>35057</v>
      </c>
      <c r="U1338" s="41">
        <v>1.5957446808510637E-2</v>
      </c>
    </row>
    <row r="1339" spans="20:21" x14ac:dyDescent="0.25">
      <c r="T1339" s="57">
        <v>35058</v>
      </c>
      <c r="U1339" s="41">
        <v>2.2267206477732792E-2</v>
      </c>
    </row>
    <row r="1340" spans="20:21" x14ac:dyDescent="0.25">
      <c r="T1340" s="57">
        <v>35064</v>
      </c>
      <c r="U1340" s="41">
        <v>9.442870632672332E-3</v>
      </c>
    </row>
    <row r="1341" spans="20:21" x14ac:dyDescent="0.25">
      <c r="T1341" s="57">
        <v>35071</v>
      </c>
      <c r="U1341" s="41">
        <v>1.4191106906338695E-2</v>
      </c>
    </row>
    <row r="1342" spans="20:21" x14ac:dyDescent="0.25">
      <c r="T1342" s="57">
        <v>35078</v>
      </c>
      <c r="U1342" s="41">
        <v>1.4396456256921373E-2</v>
      </c>
    </row>
    <row r="1343" spans="20:21" x14ac:dyDescent="0.25">
      <c r="T1343" s="57">
        <v>35085</v>
      </c>
      <c r="U1343" s="41">
        <v>3.3027522935779818E-2</v>
      </c>
    </row>
    <row r="1344" spans="20:21" x14ac:dyDescent="0.25">
      <c r="T1344" s="57">
        <v>35092</v>
      </c>
      <c r="U1344" s="41">
        <v>1.2468827930174564E-2</v>
      </c>
    </row>
    <row r="1345" spans="20:21" x14ac:dyDescent="0.25">
      <c r="T1345" s="57">
        <v>35099</v>
      </c>
      <c r="U1345" s="41">
        <v>1.5356820234869015E-2</v>
      </c>
    </row>
    <row r="1346" spans="20:21" x14ac:dyDescent="0.25">
      <c r="T1346" s="57">
        <v>35106</v>
      </c>
      <c r="U1346" s="41">
        <v>3.9473684210526314E-2</v>
      </c>
    </row>
    <row r="1347" spans="20:21" x14ac:dyDescent="0.25">
      <c r="T1347" s="57">
        <v>35113</v>
      </c>
      <c r="U1347" s="41">
        <v>6.5502183406113534E-3</v>
      </c>
    </row>
    <row r="1348" spans="20:21" x14ac:dyDescent="0.25">
      <c r="T1348" s="57">
        <v>35120</v>
      </c>
      <c r="U1348" s="41">
        <v>1.4115092290988056E-2</v>
      </c>
    </row>
    <row r="1349" spans="20:21" x14ac:dyDescent="0.25">
      <c r="T1349" s="57">
        <v>35127</v>
      </c>
      <c r="U1349" s="41">
        <v>1.8699910952804988E-2</v>
      </c>
    </row>
    <row r="1350" spans="20:21" x14ac:dyDescent="0.25">
      <c r="T1350" s="57">
        <v>35134</v>
      </c>
      <c r="U1350" s="41">
        <v>2.023121387283237E-2</v>
      </c>
    </row>
    <row r="1351" spans="20:21" x14ac:dyDescent="0.25">
      <c r="T1351" s="57">
        <v>35141</v>
      </c>
      <c r="U1351" s="41">
        <v>1.4393939393939395E-2</v>
      </c>
    </row>
    <row r="1352" spans="20:21" x14ac:dyDescent="0.25">
      <c r="T1352" s="57">
        <v>35148</v>
      </c>
      <c r="U1352" s="41">
        <v>4.3314500941619587E-2</v>
      </c>
    </row>
    <row r="1353" spans="20:21" x14ac:dyDescent="0.25">
      <c r="T1353" s="57">
        <v>35155</v>
      </c>
      <c r="U1353" s="41">
        <v>2.329450915141431E-2</v>
      </c>
    </row>
    <row r="1354" spans="20:21" x14ac:dyDescent="0.25">
      <c r="T1354" s="57">
        <v>35162</v>
      </c>
      <c r="U1354" s="41">
        <v>7.2538860103626944E-3</v>
      </c>
    </row>
    <row r="1355" spans="20:21" x14ac:dyDescent="0.25">
      <c r="T1355" s="57">
        <v>35169</v>
      </c>
      <c r="U1355" s="41">
        <v>1.0012515644555695E-2</v>
      </c>
    </row>
    <row r="1356" spans="20:21" x14ac:dyDescent="0.25">
      <c r="T1356" s="57">
        <v>35176</v>
      </c>
      <c r="U1356" s="41">
        <v>1.5901060070671377E-2</v>
      </c>
    </row>
    <row r="1357" spans="20:21" x14ac:dyDescent="0.25">
      <c r="T1357" s="57">
        <v>35183</v>
      </c>
      <c r="U1357" s="41">
        <v>3.5211267605633804E-3</v>
      </c>
    </row>
    <row r="1358" spans="20:21" x14ac:dyDescent="0.25">
      <c r="T1358" s="57">
        <v>35190</v>
      </c>
      <c r="U1358" s="41">
        <v>3.3369214208826693E-2</v>
      </c>
    </row>
    <row r="1359" spans="20:21" x14ac:dyDescent="0.25">
      <c r="T1359" s="57">
        <v>35197</v>
      </c>
      <c r="U1359" s="41">
        <v>2.8618152085036794E-2</v>
      </c>
    </row>
    <row r="1360" spans="20:21" x14ac:dyDescent="0.25">
      <c r="T1360" s="57">
        <v>35201</v>
      </c>
      <c r="U1360" s="41">
        <v>2.0441537203597711E-2</v>
      </c>
    </row>
    <row r="1361" spans="20:21" x14ac:dyDescent="0.25">
      <c r="T1361" s="57">
        <v>35204</v>
      </c>
      <c r="U1361" s="41">
        <v>4.5307443365695796E-2</v>
      </c>
    </row>
    <row r="1362" spans="20:21" x14ac:dyDescent="0.25">
      <c r="T1362" s="57">
        <v>35211</v>
      </c>
      <c r="U1362" s="41">
        <v>3.0327214684756583E-2</v>
      </c>
    </row>
    <row r="1363" spans="20:21" x14ac:dyDescent="0.25">
      <c r="T1363" s="57">
        <v>35218</v>
      </c>
      <c r="U1363" s="41">
        <v>3.386454183266932E-2</v>
      </c>
    </row>
    <row r="1364" spans="20:21" x14ac:dyDescent="0.25">
      <c r="T1364" s="57">
        <v>35225</v>
      </c>
      <c r="U1364" s="41">
        <v>2.2929936305732482E-2</v>
      </c>
    </row>
    <row r="1365" spans="20:21" x14ac:dyDescent="0.25">
      <c r="T1365" s="57">
        <v>35232</v>
      </c>
      <c r="U1365" s="41">
        <v>2.2768670309653915E-2</v>
      </c>
    </row>
    <row r="1366" spans="20:21" x14ac:dyDescent="0.25">
      <c r="T1366" s="57">
        <v>35239</v>
      </c>
      <c r="U1366" s="41">
        <v>3.1358885017421602E-2</v>
      </c>
    </row>
    <row r="1367" spans="20:21" x14ac:dyDescent="0.25">
      <c r="T1367" s="57">
        <v>35246</v>
      </c>
      <c r="U1367" s="41">
        <v>1.8034265103697024E-2</v>
      </c>
    </row>
    <row r="1368" spans="20:21" x14ac:dyDescent="0.25">
      <c r="T1368" s="57">
        <v>35253</v>
      </c>
      <c r="U1368" s="41">
        <v>3.255813953488372E-2</v>
      </c>
    </row>
    <row r="1369" spans="20:21" x14ac:dyDescent="0.25">
      <c r="T1369" s="57">
        <v>35260</v>
      </c>
      <c r="U1369" s="41">
        <v>1.741654571843251E-2</v>
      </c>
    </row>
    <row r="1370" spans="20:21" x14ac:dyDescent="0.25">
      <c r="T1370" s="57">
        <v>35267</v>
      </c>
      <c r="U1370" s="41">
        <v>1.2257405515832482E-2</v>
      </c>
    </row>
    <row r="1371" spans="20:21" x14ac:dyDescent="0.25">
      <c r="T1371" s="57">
        <v>35274</v>
      </c>
      <c r="U1371" s="41">
        <v>6.7437379576107898E-3</v>
      </c>
    </row>
    <row r="1372" spans="20:21" x14ac:dyDescent="0.25">
      <c r="T1372" s="57">
        <v>35281</v>
      </c>
      <c r="U1372" s="41">
        <v>1.2658227848101266E-2</v>
      </c>
    </row>
    <row r="1373" spans="20:21" x14ac:dyDescent="0.25">
      <c r="T1373" s="57">
        <v>35288</v>
      </c>
      <c r="U1373" s="41">
        <v>1.6971279373368148E-2</v>
      </c>
    </row>
    <row r="1374" spans="20:21" x14ac:dyDescent="0.25">
      <c r="T1374" s="57">
        <v>35292</v>
      </c>
      <c r="U1374" s="41">
        <v>1.4360313315926894E-2</v>
      </c>
    </row>
    <row r="1375" spans="20:21" x14ac:dyDescent="0.25">
      <c r="T1375" s="57">
        <v>35295</v>
      </c>
      <c r="U1375" s="41">
        <v>2.0856201975850714E-2</v>
      </c>
    </row>
    <row r="1376" spans="20:21" x14ac:dyDescent="0.25">
      <c r="T1376" s="57">
        <v>35302</v>
      </c>
      <c r="U1376" s="41">
        <v>4.1543026706231452E-2</v>
      </c>
    </row>
    <row r="1377" spans="20:21" x14ac:dyDescent="0.25">
      <c r="T1377" s="57">
        <v>35309</v>
      </c>
      <c r="U1377" s="41">
        <v>2.9498525073746312E-2</v>
      </c>
    </row>
    <row r="1378" spans="20:21" x14ac:dyDescent="0.25">
      <c r="T1378" s="57">
        <v>35316</v>
      </c>
      <c r="U1378" s="41">
        <v>2.0378457059679767E-2</v>
      </c>
    </row>
    <row r="1379" spans="20:21" x14ac:dyDescent="0.25">
      <c r="T1379" s="57">
        <v>35323</v>
      </c>
      <c r="U1379" s="41">
        <v>2.085222121486854E-2</v>
      </c>
    </row>
    <row r="1380" spans="20:21" x14ac:dyDescent="0.25">
      <c r="T1380" s="57">
        <v>35328</v>
      </c>
      <c r="U1380" s="41">
        <v>2.3824068417837508E-2</v>
      </c>
    </row>
    <row r="1381" spans="20:21" x14ac:dyDescent="0.25">
      <c r="T1381" s="57">
        <v>35329</v>
      </c>
      <c r="U1381" s="41">
        <v>2.215868477483917E-2</v>
      </c>
    </row>
    <row r="1382" spans="20:21" x14ac:dyDescent="0.25">
      <c r="T1382" s="57">
        <v>35330</v>
      </c>
      <c r="U1382" s="41">
        <v>2.2547227300426569E-2</v>
      </c>
    </row>
    <row r="1383" spans="20:21" x14ac:dyDescent="0.25">
      <c r="T1383" s="57">
        <v>35337</v>
      </c>
      <c r="U1383" s="41">
        <v>1.7975402081362345E-2</v>
      </c>
    </row>
    <row r="1384" spans="20:21" x14ac:dyDescent="0.25">
      <c r="T1384" s="57">
        <v>35344</v>
      </c>
      <c r="U1384" s="41">
        <v>2.097902097902098E-2</v>
      </c>
    </row>
    <row r="1385" spans="20:21" x14ac:dyDescent="0.25">
      <c r="T1385" s="57">
        <v>35351</v>
      </c>
      <c r="U1385" s="41">
        <v>3.7115588547189819E-2</v>
      </c>
    </row>
    <row r="1386" spans="20:21" x14ac:dyDescent="0.25">
      <c r="T1386" s="57">
        <v>35358</v>
      </c>
      <c r="U1386" s="41">
        <v>2.8444444444444446E-2</v>
      </c>
    </row>
    <row r="1387" spans="20:21" x14ac:dyDescent="0.25">
      <c r="T1387" s="57">
        <v>35365</v>
      </c>
      <c r="U1387" s="41">
        <v>4.185022026431718E-2</v>
      </c>
    </row>
    <row r="1388" spans="20:21" x14ac:dyDescent="0.25">
      <c r="T1388" s="57">
        <v>35370</v>
      </c>
      <c r="U1388" s="41">
        <v>2.5174825174825177E-2</v>
      </c>
    </row>
    <row r="1389" spans="20:21" x14ac:dyDescent="0.25">
      <c r="T1389" s="57">
        <v>35372</v>
      </c>
      <c r="U1389" s="41">
        <v>2.8892455858747994E-2</v>
      </c>
    </row>
    <row r="1390" spans="20:21" x14ac:dyDescent="0.25">
      <c r="T1390" s="57">
        <v>35379</v>
      </c>
      <c r="U1390" s="41">
        <v>3.6458333333333336E-2</v>
      </c>
    </row>
    <row r="1391" spans="20:21" x14ac:dyDescent="0.25">
      <c r="T1391" s="57">
        <v>35386</v>
      </c>
      <c r="U1391" s="41">
        <v>1.397712833545108E-2</v>
      </c>
    </row>
    <row r="1392" spans="20:21" x14ac:dyDescent="0.25">
      <c r="T1392" s="57">
        <v>35393</v>
      </c>
      <c r="U1392" s="41">
        <v>2.5830258302583026E-2</v>
      </c>
    </row>
    <row r="1393" spans="20:21" x14ac:dyDescent="0.25">
      <c r="T1393" s="57">
        <v>35400</v>
      </c>
      <c r="U1393" s="41">
        <v>1.0069713400464756E-2</v>
      </c>
    </row>
    <row r="1394" spans="20:21" x14ac:dyDescent="0.25">
      <c r="T1394" s="57">
        <v>35407</v>
      </c>
      <c r="U1394" s="41">
        <v>1.6898608349900597E-2</v>
      </c>
    </row>
    <row r="1395" spans="20:21" x14ac:dyDescent="0.25">
      <c r="T1395" s="57">
        <v>35414</v>
      </c>
      <c r="U1395" s="41">
        <v>1.6784452296819789E-2</v>
      </c>
    </row>
    <row r="1396" spans="20:21" x14ac:dyDescent="0.25">
      <c r="T1396" s="57">
        <v>35421</v>
      </c>
      <c r="U1396" s="41">
        <v>2.8620988725065046E-2</v>
      </c>
    </row>
    <row r="1397" spans="20:21" x14ac:dyDescent="0.25">
      <c r="T1397" s="57">
        <v>35423</v>
      </c>
      <c r="U1397" s="41">
        <v>2.2900763358778626E-2</v>
      </c>
    </row>
    <row r="1398" spans="20:21" x14ac:dyDescent="0.25">
      <c r="T1398" s="57">
        <v>35424</v>
      </c>
      <c r="U1398" s="41">
        <v>1.167728237791932E-2</v>
      </c>
    </row>
    <row r="1399" spans="20:21" x14ac:dyDescent="0.25">
      <c r="T1399" s="57">
        <v>35428</v>
      </c>
      <c r="U1399" s="41">
        <v>2.7555555555555555E-2</v>
      </c>
    </row>
    <row r="1400" spans="20:21" x14ac:dyDescent="0.25">
      <c r="T1400" s="57">
        <v>35435</v>
      </c>
      <c r="U1400" s="41">
        <v>2.2701475595913734E-2</v>
      </c>
    </row>
    <row r="1401" spans="20:21" x14ac:dyDescent="0.25">
      <c r="T1401" s="57">
        <v>35442</v>
      </c>
      <c r="U1401" s="41">
        <v>3.2394366197183097E-2</v>
      </c>
    </row>
    <row r="1402" spans="20:21" x14ac:dyDescent="0.25">
      <c r="T1402" s="57">
        <v>35449</v>
      </c>
      <c r="U1402" s="41">
        <v>3.2926829268292684E-2</v>
      </c>
    </row>
    <row r="1403" spans="20:21" x14ac:dyDescent="0.25">
      <c r="T1403" s="57">
        <v>35456</v>
      </c>
      <c r="U1403" s="41">
        <v>2.1371326803205699E-2</v>
      </c>
    </row>
    <row r="1404" spans="20:21" x14ac:dyDescent="0.25">
      <c r="T1404" s="57">
        <v>35463</v>
      </c>
      <c r="U1404" s="41">
        <v>1.4014014014014014E-2</v>
      </c>
    </row>
    <row r="1405" spans="20:21" x14ac:dyDescent="0.25">
      <c r="T1405" s="57">
        <v>35470</v>
      </c>
      <c r="U1405" s="41">
        <v>5.4770318021201414E-2</v>
      </c>
    </row>
    <row r="1406" spans="20:21" x14ac:dyDescent="0.25">
      <c r="T1406" s="57">
        <v>35477</v>
      </c>
      <c r="U1406" s="41">
        <v>1.2755102040816327E-2</v>
      </c>
    </row>
    <row r="1407" spans="20:21" x14ac:dyDescent="0.25">
      <c r="T1407" s="57">
        <v>35484</v>
      </c>
      <c r="U1407" s="41">
        <v>1.7075773745997867E-2</v>
      </c>
    </row>
    <row r="1408" spans="20:21" x14ac:dyDescent="0.25">
      <c r="T1408" s="57">
        <v>35491</v>
      </c>
      <c r="U1408" s="41">
        <v>2.6578073089700997E-2</v>
      </c>
    </row>
    <row r="1409" spans="20:21" x14ac:dyDescent="0.25">
      <c r="T1409" s="57">
        <v>35498</v>
      </c>
      <c r="U1409" s="41">
        <v>7.2992700729927005E-3</v>
      </c>
    </row>
    <row r="1410" spans="20:21" x14ac:dyDescent="0.25">
      <c r="T1410" s="57">
        <v>35505</v>
      </c>
      <c r="U1410" s="41">
        <v>1.643835616438356E-2</v>
      </c>
    </row>
    <row r="1411" spans="20:21" x14ac:dyDescent="0.25">
      <c r="T1411" s="57">
        <v>35512</v>
      </c>
      <c r="U1411" s="41">
        <v>1.8867924528301886E-2</v>
      </c>
    </row>
    <row r="1412" spans="20:21" x14ac:dyDescent="0.25">
      <c r="T1412" s="57">
        <v>35519</v>
      </c>
      <c r="U1412" s="41">
        <v>1.5957446808510637E-2</v>
      </c>
    </row>
    <row r="1413" spans="20:21" x14ac:dyDescent="0.25">
      <c r="T1413" s="57">
        <v>35526</v>
      </c>
      <c r="U1413" s="41">
        <v>1.6985138004246284E-2</v>
      </c>
    </row>
    <row r="1414" spans="20:21" x14ac:dyDescent="0.25">
      <c r="T1414" s="57">
        <v>35533</v>
      </c>
      <c r="U1414" s="41">
        <v>4.1879468845760978E-2</v>
      </c>
    </row>
    <row r="1415" spans="20:21" x14ac:dyDescent="0.25">
      <c r="T1415" s="57">
        <v>35540</v>
      </c>
      <c r="U1415" s="41">
        <v>2.4081115335868188E-2</v>
      </c>
    </row>
    <row r="1416" spans="20:21" x14ac:dyDescent="0.25">
      <c r="T1416" s="57">
        <v>35547</v>
      </c>
      <c r="U1416" s="41">
        <v>4.7911547911547912E-2</v>
      </c>
    </row>
    <row r="1417" spans="20:21" x14ac:dyDescent="0.25">
      <c r="T1417" s="57">
        <v>35554</v>
      </c>
      <c r="U1417" s="41">
        <v>2.3755656108597284E-2</v>
      </c>
    </row>
    <row r="1418" spans="20:21" x14ac:dyDescent="0.25">
      <c r="T1418" s="57">
        <v>35558</v>
      </c>
      <c r="U1418" s="41">
        <v>2.0618556701030927E-2</v>
      </c>
    </row>
    <row r="1419" spans="20:21" x14ac:dyDescent="0.25">
      <c r="T1419" s="57">
        <v>35561</v>
      </c>
      <c r="U1419" s="41">
        <v>1.9230769230769232E-2</v>
      </c>
    </row>
    <row r="1420" spans="20:21" x14ac:dyDescent="0.25">
      <c r="T1420" s="57">
        <v>35568</v>
      </c>
      <c r="U1420" s="41">
        <v>3.3810143042912875E-2</v>
      </c>
    </row>
    <row r="1421" spans="20:21" x14ac:dyDescent="0.25">
      <c r="T1421" s="57">
        <v>35575</v>
      </c>
      <c r="U1421" s="41">
        <v>2.20162224797219E-2</v>
      </c>
    </row>
    <row r="1422" spans="20:21" x14ac:dyDescent="0.25">
      <c r="T1422" s="57">
        <v>35582</v>
      </c>
      <c r="U1422" s="41">
        <v>2.5488530161427356E-2</v>
      </c>
    </row>
    <row r="1423" spans="20:21" x14ac:dyDescent="0.25">
      <c r="T1423" s="57">
        <v>35589</v>
      </c>
      <c r="U1423" s="41">
        <v>4.2592592592592592E-2</v>
      </c>
    </row>
    <row r="1424" spans="20:21" x14ac:dyDescent="0.25">
      <c r="T1424" s="57">
        <v>35596</v>
      </c>
      <c r="U1424" s="41">
        <v>1.6686531585220502E-2</v>
      </c>
    </row>
    <row r="1425" spans="20:21" x14ac:dyDescent="0.25">
      <c r="T1425" s="57">
        <v>35603</v>
      </c>
      <c r="U1425" s="41">
        <v>2.1604938271604937E-2</v>
      </c>
    </row>
    <row r="1426" spans="20:21" x14ac:dyDescent="0.25">
      <c r="T1426" s="57">
        <v>35610</v>
      </c>
      <c r="U1426" s="41">
        <v>1.9434628975265017E-2</v>
      </c>
    </row>
    <row r="1427" spans="20:21" x14ac:dyDescent="0.25">
      <c r="T1427" s="57">
        <v>35617</v>
      </c>
      <c r="U1427" s="41">
        <v>2.843016069221261E-2</v>
      </c>
    </row>
    <row r="1428" spans="20:21" x14ac:dyDescent="0.25">
      <c r="T1428" s="57">
        <v>35624</v>
      </c>
      <c r="U1428" s="41">
        <v>1.5587529976019185E-2</v>
      </c>
    </row>
    <row r="1429" spans="20:21" x14ac:dyDescent="0.25">
      <c r="T1429" s="57">
        <v>35631</v>
      </c>
      <c r="U1429" s="41">
        <v>1.8181818181818181E-2</v>
      </c>
    </row>
    <row r="1430" spans="20:21" x14ac:dyDescent="0.25">
      <c r="T1430" s="57">
        <v>35638</v>
      </c>
      <c r="U1430" s="41">
        <v>1.5789473684210527E-2</v>
      </c>
    </row>
    <row r="1431" spans="20:21" x14ac:dyDescent="0.25">
      <c r="T1431" s="57">
        <v>35645</v>
      </c>
      <c r="U1431" s="41">
        <v>7.0621468926553672E-3</v>
      </c>
    </row>
    <row r="1432" spans="20:21" x14ac:dyDescent="0.25">
      <c r="T1432" s="57">
        <v>35652</v>
      </c>
      <c r="U1432" s="41">
        <v>4.4169611307420496E-2</v>
      </c>
    </row>
    <row r="1433" spans="20:21" x14ac:dyDescent="0.25">
      <c r="T1433" s="57">
        <v>35657</v>
      </c>
      <c r="U1433" s="41">
        <v>1.8218623481781375E-2</v>
      </c>
    </row>
    <row r="1434" spans="20:21" x14ac:dyDescent="0.25">
      <c r="T1434" s="57">
        <v>35659</v>
      </c>
      <c r="U1434" s="41">
        <v>1.6047297297297296E-2</v>
      </c>
    </row>
    <row r="1435" spans="20:21" x14ac:dyDescent="0.25">
      <c r="T1435" s="57">
        <v>35666</v>
      </c>
      <c r="U1435" s="41">
        <v>3.2110091743119268E-2</v>
      </c>
    </row>
    <row r="1436" spans="20:21" x14ac:dyDescent="0.25">
      <c r="T1436" s="57">
        <v>35673</v>
      </c>
      <c r="U1436" s="41">
        <v>1.1235955056179775E-2</v>
      </c>
    </row>
    <row r="1437" spans="20:21" x14ac:dyDescent="0.25">
      <c r="T1437" s="57">
        <v>35680</v>
      </c>
      <c r="U1437" s="41">
        <v>2.2847100175746926E-2</v>
      </c>
    </row>
    <row r="1438" spans="20:21" x14ac:dyDescent="0.25">
      <c r="T1438" s="57">
        <v>35687</v>
      </c>
      <c r="U1438" s="41">
        <v>2.5806451612903226E-2</v>
      </c>
    </row>
    <row r="1439" spans="20:21" x14ac:dyDescent="0.25">
      <c r="T1439" s="57">
        <v>35694</v>
      </c>
      <c r="U1439" s="41">
        <v>2.6522593320235755E-2</v>
      </c>
    </row>
    <row r="1440" spans="20:21" x14ac:dyDescent="0.25">
      <c r="T1440" s="57">
        <v>35701</v>
      </c>
      <c r="U1440" s="41">
        <v>3.1963470319634701E-2</v>
      </c>
    </row>
    <row r="1441" spans="20:21" x14ac:dyDescent="0.25">
      <c r="T1441" s="57">
        <v>35708</v>
      </c>
      <c r="U1441" s="41">
        <v>9.8576122672508221E-3</v>
      </c>
    </row>
    <row r="1442" spans="20:21" x14ac:dyDescent="0.25">
      <c r="T1442" s="57">
        <v>35715</v>
      </c>
      <c r="U1442" s="41">
        <v>1.2115563839701771E-2</v>
      </c>
    </row>
    <row r="1443" spans="20:21" x14ac:dyDescent="0.25">
      <c r="T1443" s="57">
        <v>35722</v>
      </c>
      <c r="U1443" s="41">
        <v>1.646090534979424E-2</v>
      </c>
    </row>
    <row r="1444" spans="20:21" x14ac:dyDescent="0.25">
      <c r="T1444" s="57">
        <v>35729</v>
      </c>
      <c r="U1444" s="41">
        <v>3.7851037851037848E-2</v>
      </c>
    </row>
    <row r="1445" spans="20:21" x14ac:dyDescent="0.25">
      <c r="T1445" s="57">
        <v>35735</v>
      </c>
      <c r="U1445" s="41">
        <v>4.6029919447640967E-3</v>
      </c>
    </row>
    <row r="1446" spans="20:21" x14ac:dyDescent="0.25">
      <c r="T1446" s="57">
        <v>35736</v>
      </c>
      <c r="U1446" s="41">
        <v>1.2012012012012012E-2</v>
      </c>
    </row>
    <row r="1447" spans="20:21" x14ac:dyDescent="0.25">
      <c r="T1447" s="57">
        <v>35743</v>
      </c>
      <c r="U1447" s="41">
        <v>4.0372670807453416E-2</v>
      </c>
    </row>
    <row r="1448" spans="20:21" x14ac:dyDescent="0.25">
      <c r="T1448" s="57">
        <v>35750</v>
      </c>
      <c r="U1448" s="41">
        <v>3.9445628997867806E-2</v>
      </c>
    </row>
    <row r="1449" spans="20:21" x14ac:dyDescent="0.25">
      <c r="T1449" s="57">
        <v>35757</v>
      </c>
      <c r="U1449" s="41">
        <v>2.9812606473594547E-2</v>
      </c>
    </row>
    <row r="1450" spans="20:21" x14ac:dyDescent="0.25">
      <c r="T1450" s="57">
        <v>35764</v>
      </c>
      <c r="U1450" s="41">
        <v>9.9547511312217188E-3</v>
      </c>
    </row>
    <row r="1451" spans="20:21" x14ac:dyDescent="0.25">
      <c r="T1451" s="57">
        <v>35771</v>
      </c>
      <c r="U1451" s="41">
        <v>2.0629750271444081E-2</v>
      </c>
    </row>
    <row r="1452" spans="20:21" x14ac:dyDescent="0.25">
      <c r="T1452" s="57">
        <v>35778</v>
      </c>
      <c r="U1452" s="41">
        <v>2.072538860103627E-2</v>
      </c>
    </row>
    <row r="1453" spans="20:21" x14ac:dyDescent="0.25">
      <c r="T1453" s="57">
        <v>35785</v>
      </c>
      <c r="U1453" s="41">
        <v>2.2309711286089239E-2</v>
      </c>
    </row>
    <row r="1454" spans="20:21" x14ac:dyDescent="0.25">
      <c r="T1454" s="57">
        <v>35788</v>
      </c>
      <c r="U1454" s="41">
        <v>9.0415913200723331E-3</v>
      </c>
    </row>
    <row r="1455" spans="20:21" x14ac:dyDescent="0.25">
      <c r="T1455" s="57">
        <v>35789</v>
      </c>
      <c r="U1455" s="41">
        <v>2.8395061728395062E-2</v>
      </c>
    </row>
    <row r="1456" spans="20:21" x14ac:dyDescent="0.25">
      <c r="T1456" s="57">
        <v>35792</v>
      </c>
      <c r="U1456" s="41">
        <v>2.9096477794793262E-2</v>
      </c>
    </row>
    <row r="1457" spans="20:21" x14ac:dyDescent="0.25">
      <c r="T1457" s="57">
        <v>35799</v>
      </c>
      <c r="U1457" s="41">
        <v>1.3900955690703735E-2</v>
      </c>
    </row>
    <row r="1458" spans="20:21" x14ac:dyDescent="0.25">
      <c r="T1458" s="57">
        <v>35806</v>
      </c>
      <c r="U1458" s="41">
        <v>3.2347504621072089E-2</v>
      </c>
    </row>
    <row r="1459" spans="20:21" x14ac:dyDescent="0.25">
      <c r="T1459" s="57">
        <v>35813</v>
      </c>
      <c r="U1459" s="41">
        <v>2.2499999999999999E-2</v>
      </c>
    </row>
    <row r="1460" spans="20:21" x14ac:dyDescent="0.25">
      <c r="T1460" s="57">
        <v>35820</v>
      </c>
      <c r="U1460" s="41">
        <v>2.1100917431192662E-2</v>
      </c>
    </row>
    <row r="1461" spans="20:21" x14ac:dyDescent="0.25">
      <c r="T1461" s="57">
        <v>35827</v>
      </c>
      <c r="U1461" s="41">
        <v>1.303780964797914E-2</v>
      </c>
    </row>
    <row r="1462" spans="20:21" x14ac:dyDescent="0.25">
      <c r="T1462" s="57">
        <v>35834</v>
      </c>
      <c r="U1462" s="41">
        <v>3.1203566121842496E-2</v>
      </c>
    </row>
    <row r="1463" spans="20:21" x14ac:dyDescent="0.25">
      <c r="T1463" s="57">
        <v>35841</v>
      </c>
      <c r="U1463" s="41">
        <v>1.8905472636815919E-2</v>
      </c>
    </row>
    <row r="1464" spans="20:21" x14ac:dyDescent="0.25">
      <c r="T1464" s="57">
        <v>35848</v>
      </c>
      <c r="U1464" s="41">
        <v>2.4968789013732832E-2</v>
      </c>
    </row>
    <row r="1465" spans="20:21" x14ac:dyDescent="0.25">
      <c r="T1465" s="57">
        <v>35855</v>
      </c>
      <c r="U1465" s="41">
        <v>3.3333333333333333E-2</v>
      </c>
    </row>
    <row r="1466" spans="20:21" x14ac:dyDescent="0.25">
      <c r="T1466" s="57">
        <v>35862</v>
      </c>
      <c r="U1466" s="41">
        <v>2.3076923076923078E-2</v>
      </c>
    </row>
    <row r="1467" spans="20:21" x14ac:dyDescent="0.25">
      <c r="T1467" s="57">
        <v>35869</v>
      </c>
      <c r="U1467" s="41">
        <v>4.2662116040955635E-2</v>
      </c>
    </row>
    <row r="1468" spans="20:21" x14ac:dyDescent="0.25">
      <c r="T1468" s="57">
        <v>35876</v>
      </c>
      <c r="U1468" s="41">
        <v>2.132701421800948E-2</v>
      </c>
    </row>
    <row r="1469" spans="20:21" x14ac:dyDescent="0.25">
      <c r="T1469" s="57">
        <v>35883</v>
      </c>
      <c r="U1469" s="41">
        <v>4.4210526315789471E-2</v>
      </c>
    </row>
    <row r="1470" spans="20:21" x14ac:dyDescent="0.25">
      <c r="T1470" s="57">
        <v>35890</v>
      </c>
      <c r="U1470" s="41">
        <v>2.5679758308157101E-2</v>
      </c>
    </row>
    <row r="1471" spans="20:21" x14ac:dyDescent="0.25">
      <c r="T1471" s="57">
        <v>35897</v>
      </c>
      <c r="U1471" s="41">
        <v>1.9585253456221197E-2</v>
      </c>
    </row>
    <row r="1472" spans="20:21" x14ac:dyDescent="0.25">
      <c r="T1472" s="57">
        <v>35904</v>
      </c>
      <c r="U1472" s="41">
        <v>2.9094827586206896E-2</v>
      </c>
    </row>
    <row r="1473" spans="20:21" x14ac:dyDescent="0.25">
      <c r="T1473" s="57">
        <v>35911</v>
      </c>
      <c r="U1473" s="41">
        <v>4.2662116040955635E-2</v>
      </c>
    </row>
    <row r="1474" spans="20:21" x14ac:dyDescent="0.25">
      <c r="T1474" s="57">
        <v>35918</v>
      </c>
      <c r="U1474" s="41">
        <v>3.2216494845360821E-2</v>
      </c>
    </row>
    <row r="1475" spans="20:21" x14ac:dyDescent="0.25">
      <c r="T1475" s="57">
        <v>35925</v>
      </c>
      <c r="U1475" s="41">
        <v>2.5263157894736842E-2</v>
      </c>
    </row>
    <row r="1476" spans="20:21" x14ac:dyDescent="0.25">
      <c r="T1476" s="57">
        <v>35932</v>
      </c>
      <c r="U1476" s="41">
        <v>6.0606060606060608E-2</v>
      </c>
    </row>
    <row r="1477" spans="20:21" x14ac:dyDescent="0.25">
      <c r="T1477" s="57">
        <v>35936</v>
      </c>
      <c r="U1477" s="41">
        <v>2.3653088042049936E-2</v>
      </c>
    </row>
    <row r="1478" spans="20:21" x14ac:dyDescent="0.25">
      <c r="T1478" s="57">
        <v>35939</v>
      </c>
      <c r="U1478" s="41">
        <v>1.1639185257032008E-2</v>
      </c>
    </row>
    <row r="1479" spans="20:21" x14ac:dyDescent="0.25">
      <c r="T1479" s="57">
        <v>35946</v>
      </c>
      <c r="U1479" s="41">
        <v>8.832188420019628E-3</v>
      </c>
    </row>
    <row r="1480" spans="20:21" x14ac:dyDescent="0.25">
      <c r="T1480" s="57">
        <v>35953</v>
      </c>
      <c r="U1480" s="41">
        <v>5.1526717557251911E-2</v>
      </c>
    </row>
    <row r="1481" spans="20:21" x14ac:dyDescent="0.25">
      <c r="T1481" s="57">
        <v>35960</v>
      </c>
      <c r="U1481" s="41">
        <v>2.0754716981132074E-2</v>
      </c>
    </row>
    <row r="1482" spans="20:21" x14ac:dyDescent="0.25">
      <c r="T1482" s="57">
        <v>35967</v>
      </c>
      <c r="U1482" s="41">
        <v>3.8216560509554139E-2</v>
      </c>
    </row>
    <row r="1483" spans="20:21" x14ac:dyDescent="0.25">
      <c r="T1483" s="57">
        <v>35974</v>
      </c>
      <c r="U1483" s="41">
        <v>5.1526717557251911E-2</v>
      </c>
    </row>
    <row r="1484" spans="20:21" x14ac:dyDescent="0.25">
      <c r="T1484" s="57">
        <v>35981</v>
      </c>
      <c r="U1484" s="41">
        <v>2.3862788963460103E-2</v>
      </c>
    </row>
    <row r="1485" spans="20:21" x14ac:dyDescent="0.25">
      <c r="T1485" s="57">
        <v>35988</v>
      </c>
      <c r="U1485" s="41">
        <v>1.0857763300760043E-2</v>
      </c>
    </row>
    <row r="1486" spans="20:21" x14ac:dyDescent="0.25">
      <c r="T1486" s="57">
        <v>35995</v>
      </c>
      <c r="U1486" s="41">
        <v>2.0421186981493301E-2</v>
      </c>
    </row>
    <row r="1487" spans="20:21" x14ac:dyDescent="0.25">
      <c r="T1487" s="57">
        <v>36002</v>
      </c>
      <c r="U1487" s="41">
        <v>3.3128834355828224E-2</v>
      </c>
    </row>
    <row r="1488" spans="20:21" x14ac:dyDescent="0.25">
      <c r="T1488" s="57">
        <v>36009</v>
      </c>
      <c r="U1488" s="41">
        <v>1.7459361830222758E-2</v>
      </c>
    </row>
    <row r="1489" spans="20:21" x14ac:dyDescent="0.25">
      <c r="T1489" s="57">
        <v>36016</v>
      </c>
      <c r="U1489" s="41">
        <v>2.9339853300733496E-2</v>
      </c>
    </row>
    <row r="1490" spans="20:21" x14ac:dyDescent="0.25">
      <c r="T1490" s="57">
        <v>36022</v>
      </c>
      <c r="U1490" s="41">
        <v>2.1688613477924088E-2</v>
      </c>
    </row>
    <row r="1491" spans="20:21" x14ac:dyDescent="0.25">
      <c r="T1491" s="57">
        <v>36023</v>
      </c>
      <c r="U1491" s="41">
        <v>1.8234165067178502E-2</v>
      </c>
    </row>
    <row r="1492" spans="20:21" x14ac:dyDescent="0.25">
      <c r="T1492" s="57">
        <v>36030</v>
      </c>
      <c r="U1492" s="41">
        <v>3.9726027397260277E-2</v>
      </c>
    </row>
    <row r="1493" spans="20:21" x14ac:dyDescent="0.25">
      <c r="T1493" s="57">
        <v>36037</v>
      </c>
      <c r="U1493" s="41">
        <v>1.6666666666666666E-2</v>
      </c>
    </row>
    <row r="1494" spans="20:21" x14ac:dyDescent="0.25">
      <c r="T1494" s="57">
        <v>36044</v>
      </c>
      <c r="U1494" s="41">
        <v>3.1553398058252427E-2</v>
      </c>
    </row>
    <row r="1495" spans="20:21" x14ac:dyDescent="0.25">
      <c r="T1495" s="57">
        <v>36051</v>
      </c>
      <c r="U1495" s="41">
        <v>1.7006802721088437E-2</v>
      </c>
    </row>
    <row r="1496" spans="20:21" x14ac:dyDescent="0.25">
      <c r="T1496" s="57">
        <v>36058</v>
      </c>
      <c r="U1496" s="41">
        <v>1.4686248331108143E-2</v>
      </c>
    </row>
    <row r="1497" spans="20:21" x14ac:dyDescent="0.25">
      <c r="T1497" s="57">
        <v>36065</v>
      </c>
      <c r="U1497" s="41">
        <v>1.7770597738287562E-2</v>
      </c>
    </row>
    <row r="1498" spans="20:21" x14ac:dyDescent="0.25">
      <c r="T1498" s="57">
        <v>36072</v>
      </c>
      <c r="U1498" s="41">
        <v>2.4719101123595506E-2</v>
      </c>
    </row>
    <row r="1499" spans="20:21" x14ac:dyDescent="0.25">
      <c r="T1499" s="57">
        <v>36079</v>
      </c>
      <c r="U1499" s="41">
        <v>1.9569471624266144E-2</v>
      </c>
    </row>
    <row r="1500" spans="20:21" x14ac:dyDescent="0.25">
      <c r="T1500" s="57">
        <v>36086</v>
      </c>
      <c r="U1500" s="41">
        <v>1.7543859649122806E-2</v>
      </c>
    </row>
    <row r="1501" spans="20:21" x14ac:dyDescent="0.25">
      <c r="T1501" s="57">
        <v>36093</v>
      </c>
      <c r="U1501" s="41">
        <v>4.0404040404040407E-2</v>
      </c>
    </row>
    <row r="1502" spans="20:21" x14ac:dyDescent="0.25">
      <c r="T1502" s="57">
        <v>36100</v>
      </c>
      <c r="U1502" s="41">
        <v>1.82370820668693E-2</v>
      </c>
    </row>
    <row r="1503" spans="20:21" x14ac:dyDescent="0.25">
      <c r="T1503" s="57">
        <v>36107</v>
      </c>
      <c r="U1503" s="41">
        <v>4.306864064602961E-2</v>
      </c>
    </row>
    <row r="1504" spans="20:21" x14ac:dyDescent="0.25">
      <c r="T1504" s="57">
        <v>36114</v>
      </c>
      <c r="U1504" s="41">
        <v>2.6284348864994027E-2</v>
      </c>
    </row>
    <row r="1505" spans="20:21" x14ac:dyDescent="0.25">
      <c r="T1505" s="57">
        <v>36121</v>
      </c>
      <c r="U1505" s="41">
        <v>3.3248081841432228E-2</v>
      </c>
    </row>
    <row r="1506" spans="20:21" x14ac:dyDescent="0.25">
      <c r="T1506" s="57">
        <v>36128</v>
      </c>
      <c r="U1506" s="41">
        <v>2.3640661938534278E-2</v>
      </c>
    </row>
    <row r="1507" spans="20:21" x14ac:dyDescent="0.25">
      <c r="T1507" s="57">
        <v>36135</v>
      </c>
      <c r="U1507" s="41">
        <v>2.480270574971815E-2</v>
      </c>
    </row>
    <row r="1508" spans="20:21" x14ac:dyDescent="0.25">
      <c r="T1508" s="57">
        <v>36142</v>
      </c>
      <c r="U1508" s="41">
        <v>1.2305168170631665E-2</v>
      </c>
    </row>
    <row r="1509" spans="20:21" x14ac:dyDescent="0.25">
      <c r="T1509" s="57">
        <v>36149</v>
      </c>
      <c r="U1509" s="41">
        <v>1.365546218487395E-2</v>
      </c>
    </row>
    <row r="1510" spans="20:21" x14ac:dyDescent="0.25">
      <c r="T1510" s="57">
        <v>36153</v>
      </c>
      <c r="U1510" s="41">
        <v>2.119205298013245E-2</v>
      </c>
    </row>
    <row r="1511" spans="20:21" x14ac:dyDescent="0.25">
      <c r="T1511" s="57">
        <v>36154</v>
      </c>
      <c r="U1511" s="41">
        <v>2.2939677145284623E-2</v>
      </c>
    </row>
    <row r="1512" spans="20:21" x14ac:dyDescent="0.25">
      <c r="T1512" s="57">
        <v>36156</v>
      </c>
      <c r="U1512" s="41">
        <v>1.3207547169811321E-2</v>
      </c>
    </row>
    <row r="1513" spans="20:21" x14ac:dyDescent="0.25">
      <c r="T1513" s="57">
        <v>36163</v>
      </c>
      <c r="U1513" s="41">
        <v>1.627906976744186E-2</v>
      </c>
    </row>
    <row r="1514" spans="20:21" x14ac:dyDescent="0.25">
      <c r="T1514" s="57">
        <v>36170</v>
      </c>
      <c r="U1514" s="41">
        <v>2.9684601113172542E-2</v>
      </c>
    </row>
    <row r="1515" spans="20:21" x14ac:dyDescent="0.25">
      <c r="T1515" s="57">
        <v>36177</v>
      </c>
      <c r="U1515" s="41">
        <v>4.1237113402061855E-2</v>
      </c>
    </row>
    <row r="1516" spans="20:21" x14ac:dyDescent="0.25">
      <c r="T1516" s="57">
        <v>36184</v>
      </c>
      <c r="U1516" s="41">
        <v>1.0357815442561206E-2</v>
      </c>
    </row>
    <row r="1517" spans="20:21" x14ac:dyDescent="0.25">
      <c r="T1517" s="57">
        <v>36191</v>
      </c>
      <c r="U1517" s="41">
        <v>2.7603513174404015E-2</v>
      </c>
    </row>
    <row r="1518" spans="20:21" x14ac:dyDescent="0.25">
      <c r="T1518" s="57">
        <v>36198</v>
      </c>
      <c r="U1518" s="41">
        <v>2.2222222222222223E-2</v>
      </c>
    </row>
    <row r="1519" spans="20:21" x14ac:dyDescent="0.25">
      <c r="T1519" s="57">
        <v>36205</v>
      </c>
      <c r="U1519" s="41">
        <v>1.1135857461024499E-2</v>
      </c>
    </row>
    <row r="1520" spans="20:21" x14ac:dyDescent="0.25">
      <c r="T1520" s="57">
        <v>36212</v>
      </c>
      <c r="U1520" s="41">
        <v>1.636520241171404E-2</v>
      </c>
    </row>
    <row r="1521" spans="20:21" x14ac:dyDescent="0.25">
      <c r="T1521" s="57">
        <v>36219</v>
      </c>
      <c r="U1521" s="41">
        <v>1.3942680092951201E-2</v>
      </c>
    </row>
    <row r="1522" spans="20:21" x14ac:dyDescent="0.25">
      <c r="T1522" s="57">
        <v>36226</v>
      </c>
      <c r="U1522" s="41">
        <v>3.0261348005502064E-2</v>
      </c>
    </row>
    <row r="1523" spans="20:21" x14ac:dyDescent="0.25">
      <c r="T1523" s="57">
        <v>36233</v>
      </c>
      <c r="U1523" s="41">
        <v>6.1443932411674347E-3</v>
      </c>
    </row>
    <row r="1524" spans="20:21" x14ac:dyDescent="0.25">
      <c r="T1524" s="57">
        <v>36240</v>
      </c>
      <c r="U1524" s="41">
        <v>1.7391304347826087E-2</v>
      </c>
    </row>
    <row r="1525" spans="20:21" x14ac:dyDescent="0.25">
      <c r="T1525" s="57">
        <v>36247</v>
      </c>
      <c r="U1525" s="41">
        <v>3.634361233480176E-2</v>
      </c>
    </row>
    <row r="1526" spans="20:21" x14ac:dyDescent="0.25">
      <c r="T1526" s="57">
        <v>36254</v>
      </c>
      <c r="U1526" s="41">
        <v>2.2396416573348264E-2</v>
      </c>
    </row>
    <row r="1527" spans="20:21" x14ac:dyDescent="0.25">
      <c r="T1527" s="57">
        <v>36261</v>
      </c>
      <c r="U1527" s="41">
        <v>1.6722408026755852E-2</v>
      </c>
    </row>
    <row r="1528" spans="20:21" x14ac:dyDescent="0.25">
      <c r="T1528" s="57">
        <v>36268</v>
      </c>
      <c r="U1528" s="41">
        <v>8.130081300813009E-3</v>
      </c>
    </row>
    <row r="1529" spans="20:21" x14ac:dyDescent="0.25">
      <c r="T1529" s="57">
        <v>36275</v>
      </c>
      <c r="U1529" s="41">
        <v>3.087248322147651E-2</v>
      </c>
    </row>
    <row r="1530" spans="20:21" x14ac:dyDescent="0.25">
      <c r="T1530" s="57">
        <v>36282</v>
      </c>
      <c r="U1530" s="41">
        <v>5.2805280528052806E-2</v>
      </c>
    </row>
    <row r="1531" spans="20:21" x14ac:dyDescent="0.25">
      <c r="T1531" s="57">
        <v>36289</v>
      </c>
      <c r="U1531" s="41">
        <v>1.6339869281045753E-2</v>
      </c>
    </row>
    <row r="1532" spans="20:21" x14ac:dyDescent="0.25">
      <c r="T1532" s="57">
        <v>36293</v>
      </c>
      <c r="U1532" s="41">
        <v>2.4671052631578948E-2</v>
      </c>
    </row>
    <row r="1533" spans="20:21" x14ac:dyDescent="0.25">
      <c r="T1533" s="57">
        <v>36296</v>
      </c>
      <c r="U1533" s="41">
        <v>2.7552674230145867E-2</v>
      </c>
    </row>
    <row r="1534" spans="20:21" x14ac:dyDescent="0.25">
      <c r="T1534" s="57">
        <v>36303</v>
      </c>
      <c r="U1534" s="41">
        <v>4.2897998093422304E-2</v>
      </c>
    </row>
    <row r="1535" spans="20:21" x14ac:dyDescent="0.25">
      <c r="T1535" s="57">
        <v>36310</v>
      </c>
      <c r="U1535" s="41">
        <v>4.7663551401869161E-2</v>
      </c>
    </row>
    <row r="1536" spans="20:21" x14ac:dyDescent="0.25">
      <c r="T1536" s="57">
        <v>36317</v>
      </c>
      <c r="U1536" s="41">
        <v>1.9508057675996608E-2</v>
      </c>
    </row>
    <row r="1537" spans="20:21" x14ac:dyDescent="0.25">
      <c r="T1537" s="57">
        <v>36324</v>
      </c>
      <c r="U1537" s="41">
        <v>1.6853932584269662E-2</v>
      </c>
    </row>
    <row r="1538" spans="20:21" x14ac:dyDescent="0.25">
      <c r="T1538" s="57">
        <v>36331</v>
      </c>
      <c r="U1538" s="41">
        <v>6.2893081761006289E-2</v>
      </c>
    </row>
    <row r="1539" spans="20:21" x14ac:dyDescent="0.25">
      <c r="T1539" s="57">
        <v>36338</v>
      </c>
      <c r="U1539" s="41">
        <v>2.4361948955916472E-2</v>
      </c>
    </row>
    <row r="1540" spans="20:21" x14ac:dyDescent="0.25">
      <c r="T1540" s="57">
        <v>36345</v>
      </c>
      <c r="U1540" s="41">
        <v>1.8494055482166448E-2</v>
      </c>
    </row>
    <row r="1541" spans="20:21" x14ac:dyDescent="0.25">
      <c r="T1541" s="57">
        <v>36352</v>
      </c>
      <c r="U1541" s="41">
        <v>5.4388133498145856E-2</v>
      </c>
    </row>
    <row r="1542" spans="20:21" x14ac:dyDescent="0.25">
      <c r="T1542" s="57">
        <v>36359</v>
      </c>
      <c r="U1542" s="41">
        <v>1.5341701534170154E-2</v>
      </c>
    </row>
    <row r="1543" spans="20:21" x14ac:dyDescent="0.25">
      <c r="T1543" s="57">
        <v>36366</v>
      </c>
      <c r="U1543" s="41">
        <v>6.4034151547491995E-3</v>
      </c>
    </row>
    <row r="1544" spans="20:21" x14ac:dyDescent="0.25">
      <c r="T1544" s="57">
        <v>36373</v>
      </c>
      <c r="U1544" s="41">
        <v>1.2219959266802444E-2</v>
      </c>
    </row>
    <row r="1545" spans="20:21" x14ac:dyDescent="0.25">
      <c r="T1545" s="57">
        <v>36380</v>
      </c>
      <c r="U1545" s="41">
        <v>2.7777777777777776E-2</v>
      </c>
    </row>
    <row r="1546" spans="20:21" x14ac:dyDescent="0.25">
      <c r="T1546" s="57">
        <v>36387</v>
      </c>
      <c r="U1546" s="41">
        <v>1.7667844522968199E-2</v>
      </c>
    </row>
    <row r="1547" spans="20:21" x14ac:dyDescent="0.25">
      <c r="T1547" s="57">
        <v>36394</v>
      </c>
      <c r="U1547" s="41">
        <v>2.0806241872561769E-2</v>
      </c>
    </row>
    <row r="1548" spans="20:21" x14ac:dyDescent="0.25">
      <c r="T1548" s="57">
        <v>36401</v>
      </c>
      <c r="U1548" s="41">
        <v>2.3004059539918808E-2</v>
      </c>
    </row>
    <row r="1549" spans="20:21" x14ac:dyDescent="0.25">
      <c r="T1549" s="57">
        <v>36408</v>
      </c>
      <c r="U1549" s="41">
        <v>1.7241379310344827E-2</v>
      </c>
    </row>
    <row r="1550" spans="20:21" x14ac:dyDescent="0.25">
      <c r="T1550" s="57">
        <v>36415</v>
      </c>
      <c r="U1550" s="41">
        <v>2.0408163265306121E-2</v>
      </c>
    </row>
    <row r="1551" spans="20:21" x14ac:dyDescent="0.25">
      <c r="T1551" s="57">
        <v>36422</v>
      </c>
      <c r="U1551" s="41">
        <v>2.5875190258751901E-2</v>
      </c>
    </row>
    <row r="1552" spans="20:21" x14ac:dyDescent="0.25">
      <c r="T1552" s="57">
        <v>36429</v>
      </c>
      <c r="U1552" s="41">
        <v>8.9153046062407128E-3</v>
      </c>
    </row>
    <row r="1553" spans="20:21" x14ac:dyDescent="0.25">
      <c r="T1553" s="57">
        <v>36436</v>
      </c>
      <c r="U1553" s="41">
        <v>3.1719532554257093E-2</v>
      </c>
    </row>
    <row r="1554" spans="20:21" x14ac:dyDescent="0.25">
      <c r="T1554" s="57">
        <v>36443</v>
      </c>
      <c r="U1554" s="41">
        <v>1.6059957173447537E-2</v>
      </c>
    </row>
    <row r="1555" spans="20:21" x14ac:dyDescent="0.25">
      <c r="T1555" s="57">
        <v>36450</v>
      </c>
      <c r="U1555" s="41">
        <v>2.689075630252101E-2</v>
      </c>
    </row>
    <row r="1556" spans="20:21" x14ac:dyDescent="0.25">
      <c r="T1556" s="57">
        <v>36457</v>
      </c>
      <c r="U1556" s="41">
        <v>4.2335766423357665E-2</v>
      </c>
    </row>
    <row r="1557" spans="20:21" x14ac:dyDescent="0.25">
      <c r="T1557" s="57">
        <v>36464</v>
      </c>
      <c r="U1557" s="41">
        <v>2.937576499388005E-2</v>
      </c>
    </row>
    <row r="1558" spans="20:21" x14ac:dyDescent="0.25">
      <c r="T1558" s="57">
        <v>36465</v>
      </c>
      <c r="U1558" s="41">
        <v>2.6014568158168574E-2</v>
      </c>
    </row>
    <row r="1559" spans="20:21" x14ac:dyDescent="0.25">
      <c r="T1559" s="57">
        <v>36471</v>
      </c>
      <c r="U1559" s="41">
        <v>2.5587828492392807E-2</v>
      </c>
    </row>
    <row r="1560" spans="20:21" x14ac:dyDescent="0.25">
      <c r="T1560" s="57">
        <v>36478</v>
      </c>
      <c r="U1560" s="41">
        <v>2.2968197879858657E-2</v>
      </c>
    </row>
    <row r="1561" spans="20:21" x14ac:dyDescent="0.25">
      <c r="T1561" s="57">
        <v>36485</v>
      </c>
      <c r="U1561" s="41">
        <v>2.9595015576323987E-2</v>
      </c>
    </row>
    <row r="1562" spans="20:21" x14ac:dyDescent="0.25">
      <c r="T1562" s="57">
        <v>36492</v>
      </c>
      <c r="U1562" s="41">
        <v>1.9607843137254902E-2</v>
      </c>
    </row>
    <row r="1563" spans="20:21" x14ac:dyDescent="0.25">
      <c r="T1563" s="57">
        <v>36499</v>
      </c>
      <c r="U1563" s="41">
        <v>2.6022304832713755E-2</v>
      </c>
    </row>
    <row r="1564" spans="20:21" x14ac:dyDescent="0.25">
      <c r="T1564" s="57">
        <v>36506</v>
      </c>
      <c r="U1564" s="41">
        <v>2.7874564459930314E-2</v>
      </c>
    </row>
    <row r="1565" spans="20:21" x14ac:dyDescent="0.25">
      <c r="T1565" s="57">
        <v>36513</v>
      </c>
      <c r="U1565" s="41">
        <v>3.9331366764995081E-2</v>
      </c>
    </row>
    <row r="1566" spans="20:21" x14ac:dyDescent="0.25">
      <c r="T1566" s="57">
        <v>36518</v>
      </c>
      <c r="U1566" s="41">
        <v>2.3529411764705882E-2</v>
      </c>
    </row>
    <row r="1567" spans="20:21" x14ac:dyDescent="0.25">
      <c r="T1567" s="57">
        <v>36519</v>
      </c>
      <c r="U1567" s="41">
        <v>1.4899211218229623E-2</v>
      </c>
    </row>
    <row r="1568" spans="20:21" x14ac:dyDescent="0.25">
      <c r="T1568" s="57">
        <v>36520</v>
      </c>
      <c r="U1568" s="41">
        <v>1.8315018315018316E-2</v>
      </c>
    </row>
    <row r="1569" spans="20:21" x14ac:dyDescent="0.25">
      <c r="T1569" s="57">
        <v>36527</v>
      </c>
      <c r="U1569" s="41">
        <v>9.8039215686274508E-3</v>
      </c>
    </row>
    <row r="1570" spans="20:21" x14ac:dyDescent="0.25">
      <c r="T1570" s="57">
        <v>36534</v>
      </c>
      <c r="U1570" s="41">
        <v>3.1545741324921134E-2</v>
      </c>
    </row>
    <row r="1571" spans="20:21" x14ac:dyDescent="0.25">
      <c r="T1571" s="57">
        <v>36541</v>
      </c>
      <c r="U1571" s="41">
        <v>2.1551724137931036E-2</v>
      </c>
    </row>
    <row r="1572" spans="20:21" x14ac:dyDescent="0.25">
      <c r="T1572" s="57">
        <v>36548</v>
      </c>
      <c r="U1572" s="41">
        <v>4.2929292929292928E-2</v>
      </c>
    </row>
    <row r="1573" spans="20:21" x14ac:dyDescent="0.25">
      <c r="T1573" s="57">
        <v>36555</v>
      </c>
      <c r="U1573" s="41">
        <v>1.4326647564469915E-2</v>
      </c>
    </row>
    <row r="1574" spans="20:21" x14ac:dyDescent="0.25">
      <c r="T1574" s="57">
        <v>36562</v>
      </c>
      <c r="U1574" s="41">
        <v>2.292768959435626E-2</v>
      </c>
    </row>
    <row r="1575" spans="20:21" x14ac:dyDescent="0.25">
      <c r="T1575" s="57">
        <v>36569</v>
      </c>
      <c r="U1575" s="41">
        <v>4.3103448275862072E-2</v>
      </c>
    </row>
    <row r="1576" spans="20:21" x14ac:dyDescent="0.25">
      <c r="T1576" s="57">
        <v>36576</v>
      </c>
      <c r="U1576" s="41">
        <v>2.6246719160104987E-2</v>
      </c>
    </row>
    <row r="1577" spans="20:21" x14ac:dyDescent="0.25">
      <c r="T1577" s="57">
        <v>36583</v>
      </c>
      <c r="U1577" s="41">
        <v>3.5827186512118019E-2</v>
      </c>
    </row>
    <row r="1578" spans="20:21" x14ac:dyDescent="0.25">
      <c r="T1578" s="57">
        <v>36590</v>
      </c>
      <c r="U1578" s="41">
        <v>2.9411764705882353E-2</v>
      </c>
    </row>
    <row r="1579" spans="20:21" x14ac:dyDescent="0.25">
      <c r="T1579" s="57">
        <v>36597</v>
      </c>
      <c r="U1579" s="41">
        <v>1.2500000000000001E-2</v>
      </c>
    </row>
    <row r="1580" spans="20:21" x14ac:dyDescent="0.25">
      <c r="T1580" s="57">
        <v>36604</v>
      </c>
      <c r="U1580" s="41">
        <v>1.7171717171717171E-2</v>
      </c>
    </row>
    <row r="1581" spans="20:21" x14ac:dyDescent="0.25">
      <c r="T1581" s="57">
        <v>36611</v>
      </c>
      <c r="U1581" s="41">
        <v>3.4722222222222224E-2</v>
      </c>
    </row>
    <row r="1582" spans="20:21" x14ac:dyDescent="0.25">
      <c r="T1582" s="57">
        <v>36618</v>
      </c>
      <c r="U1582" s="41">
        <v>4.519774011299435E-2</v>
      </c>
    </row>
    <row r="1583" spans="20:21" x14ac:dyDescent="0.25">
      <c r="T1583" s="57">
        <v>36625</v>
      </c>
      <c r="U1583" s="41">
        <v>4.4715447154471545E-2</v>
      </c>
    </row>
    <row r="1584" spans="20:21" x14ac:dyDescent="0.25">
      <c r="T1584" s="57">
        <v>36632</v>
      </c>
      <c r="U1584" s="41">
        <v>4.9479166666666664E-2</v>
      </c>
    </row>
    <row r="1585" spans="20:21" x14ac:dyDescent="0.25">
      <c r="T1585" s="57">
        <v>36639</v>
      </c>
      <c r="U1585" s="41">
        <v>2.564102564102564E-2</v>
      </c>
    </row>
    <row r="1586" spans="20:21" x14ac:dyDescent="0.25">
      <c r="T1586" s="57">
        <v>36646</v>
      </c>
      <c r="U1586" s="41">
        <v>2.8073572120038724E-2</v>
      </c>
    </row>
    <row r="1587" spans="20:21" x14ac:dyDescent="0.25">
      <c r="T1587" s="57">
        <v>36653</v>
      </c>
      <c r="U1587" s="41">
        <v>1.5027322404371584E-2</v>
      </c>
    </row>
    <row r="1588" spans="20:21" x14ac:dyDescent="0.25">
      <c r="T1588" s="57">
        <v>36660</v>
      </c>
      <c r="U1588" s="41">
        <v>1.3698630136986301E-2</v>
      </c>
    </row>
    <row r="1589" spans="20:21" x14ac:dyDescent="0.25">
      <c r="T1589" s="57">
        <v>36667</v>
      </c>
      <c r="U1589" s="41">
        <v>3.1609195402298854E-2</v>
      </c>
    </row>
    <row r="1590" spans="20:21" x14ac:dyDescent="0.25">
      <c r="T1590" s="57">
        <v>36674</v>
      </c>
      <c r="U1590" s="41">
        <v>4.5859872611464965E-2</v>
      </c>
    </row>
    <row r="1591" spans="20:21" x14ac:dyDescent="0.25">
      <c r="T1591" s="57">
        <v>36678</v>
      </c>
      <c r="U1591" s="41">
        <v>3.2124352331606217E-2</v>
      </c>
    </row>
    <row r="1592" spans="20:21" x14ac:dyDescent="0.25">
      <c r="T1592" s="57">
        <v>36681</v>
      </c>
      <c r="U1592" s="41">
        <v>1.7045454545454544E-2</v>
      </c>
    </row>
    <row r="1593" spans="20:21" x14ac:dyDescent="0.25">
      <c r="T1593" s="57">
        <v>36688</v>
      </c>
      <c r="U1593" s="41">
        <v>4.2979942693409739E-2</v>
      </c>
    </row>
    <row r="1594" spans="20:21" x14ac:dyDescent="0.25">
      <c r="T1594" s="57">
        <v>36695</v>
      </c>
      <c r="U1594" s="41">
        <v>4.3478260869565216E-2</v>
      </c>
    </row>
    <row r="1595" spans="20:21" x14ac:dyDescent="0.25">
      <c r="T1595" s="57">
        <v>36702</v>
      </c>
      <c r="U1595" s="41">
        <v>3.1007751937984496E-2</v>
      </c>
    </row>
    <row r="1596" spans="20:21" x14ac:dyDescent="0.25">
      <c r="T1596" s="57">
        <v>36709</v>
      </c>
      <c r="U1596" s="41">
        <v>2.7497708524289642E-2</v>
      </c>
    </row>
    <row r="1597" spans="20:21" x14ac:dyDescent="0.25">
      <c r="T1597" s="57">
        <v>36716</v>
      </c>
      <c r="U1597" s="41">
        <v>2.2646007151370679E-2</v>
      </c>
    </row>
    <row r="1598" spans="20:21" x14ac:dyDescent="0.25">
      <c r="T1598" s="57">
        <v>36723</v>
      </c>
      <c r="U1598" s="41">
        <v>3.4482758620689655E-2</v>
      </c>
    </row>
    <row r="1599" spans="20:21" x14ac:dyDescent="0.25">
      <c r="T1599" s="57">
        <v>36730</v>
      </c>
      <c r="U1599" s="41">
        <v>1.2096774193548387E-2</v>
      </c>
    </row>
    <row r="1600" spans="20:21" x14ac:dyDescent="0.25">
      <c r="T1600" s="57">
        <v>36737</v>
      </c>
      <c r="U1600" s="41">
        <v>3.1613976705490848E-2</v>
      </c>
    </row>
    <row r="1601" spans="20:21" x14ac:dyDescent="0.25">
      <c r="T1601" s="57">
        <v>36744</v>
      </c>
      <c r="U1601" s="41">
        <v>2.1920668058455117E-2</v>
      </c>
    </row>
    <row r="1602" spans="20:21" x14ac:dyDescent="0.25">
      <c r="T1602" s="57">
        <v>36751</v>
      </c>
      <c r="U1602" s="41">
        <v>1.0597302504816955E-2</v>
      </c>
    </row>
    <row r="1603" spans="20:21" x14ac:dyDescent="0.25">
      <c r="T1603" s="57">
        <v>36753</v>
      </c>
      <c r="U1603" s="41">
        <v>3.6860879904875146E-2</v>
      </c>
    </row>
    <row r="1604" spans="20:21" x14ac:dyDescent="0.25">
      <c r="T1604" s="57">
        <v>36758</v>
      </c>
      <c r="U1604" s="41">
        <v>2.0897043832823651E-2</v>
      </c>
    </row>
    <row r="1605" spans="20:21" x14ac:dyDescent="0.25">
      <c r="T1605" s="57">
        <v>36765</v>
      </c>
      <c r="U1605" s="41">
        <v>2.8216704288939052E-2</v>
      </c>
    </row>
    <row r="1606" spans="20:21" x14ac:dyDescent="0.25">
      <c r="T1606" s="57">
        <v>36772</v>
      </c>
      <c r="U1606" s="41">
        <v>2.0193151887620719E-2</v>
      </c>
    </row>
    <row r="1607" spans="20:21" x14ac:dyDescent="0.25">
      <c r="T1607" s="57">
        <v>36779</v>
      </c>
      <c r="U1607" s="41">
        <v>2.8169014084507043E-2</v>
      </c>
    </row>
    <row r="1608" spans="20:21" x14ac:dyDescent="0.25">
      <c r="T1608" s="57">
        <v>36786</v>
      </c>
      <c r="U1608" s="41">
        <v>4.7318611987381704E-3</v>
      </c>
    </row>
    <row r="1609" spans="20:21" x14ac:dyDescent="0.25">
      <c r="T1609" s="57">
        <v>36793</v>
      </c>
      <c r="U1609" s="41">
        <v>2.616279069767442E-2</v>
      </c>
    </row>
    <row r="1610" spans="20:21" x14ac:dyDescent="0.25">
      <c r="T1610" s="57">
        <v>36800</v>
      </c>
      <c r="U1610" s="41">
        <v>3.2000000000000001E-2</v>
      </c>
    </row>
    <row r="1611" spans="20:21" x14ac:dyDescent="0.25">
      <c r="T1611" s="57">
        <v>36807</v>
      </c>
      <c r="U1611" s="41">
        <v>1.8987341772151899E-2</v>
      </c>
    </row>
    <row r="1612" spans="20:21" x14ac:dyDescent="0.25">
      <c r="T1612" s="57">
        <v>36814</v>
      </c>
      <c r="U1612" s="41">
        <v>1.6949152542372881E-2</v>
      </c>
    </row>
    <row r="1613" spans="20:21" x14ac:dyDescent="0.25">
      <c r="T1613" s="57">
        <v>36821</v>
      </c>
      <c r="U1613" s="41">
        <v>1.9960079840319361E-2</v>
      </c>
    </row>
    <row r="1614" spans="20:21" x14ac:dyDescent="0.25">
      <c r="T1614" s="57">
        <v>36828</v>
      </c>
      <c r="U1614" s="41">
        <v>2.0034843205574911E-2</v>
      </c>
    </row>
    <row r="1615" spans="20:21" x14ac:dyDescent="0.25">
      <c r="T1615" s="57">
        <v>36831</v>
      </c>
      <c r="U1615" s="41">
        <v>1.2249443207126948E-2</v>
      </c>
    </row>
    <row r="1616" spans="20:21" x14ac:dyDescent="0.25">
      <c r="T1616" s="57">
        <v>36835</v>
      </c>
      <c r="U1616" s="41">
        <v>3.2626427406199018E-2</v>
      </c>
    </row>
    <row r="1617" spans="20:21" x14ac:dyDescent="0.25">
      <c r="T1617" s="57">
        <v>36842</v>
      </c>
      <c r="U1617" s="41">
        <v>2.3861171366594359E-2</v>
      </c>
    </row>
    <row r="1618" spans="20:21" x14ac:dyDescent="0.25">
      <c r="T1618" s="57">
        <v>36849</v>
      </c>
      <c r="U1618" s="41">
        <v>3.4448818897637797E-2</v>
      </c>
    </row>
    <row r="1619" spans="20:21" x14ac:dyDescent="0.25">
      <c r="T1619" s="57">
        <v>36856</v>
      </c>
      <c r="U1619" s="41">
        <v>1.611047180667434E-2</v>
      </c>
    </row>
    <row r="1620" spans="20:21" x14ac:dyDescent="0.25">
      <c r="T1620" s="57">
        <v>36863</v>
      </c>
      <c r="U1620" s="41">
        <v>1.5447991761071062E-2</v>
      </c>
    </row>
    <row r="1621" spans="20:21" x14ac:dyDescent="0.25">
      <c r="T1621" s="57">
        <v>36870</v>
      </c>
      <c r="U1621" s="41">
        <v>2.0215633423180591E-2</v>
      </c>
    </row>
    <row r="1622" spans="20:21" x14ac:dyDescent="0.25">
      <c r="T1622" s="57">
        <v>36877</v>
      </c>
      <c r="U1622" s="41">
        <v>2.231237322515213E-2</v>
      </c>
    </row>
    <row r="1623" spans="20:21" x14ac:dyDescent="0.25">
      <c r="T1623" s="57">
        <v>36884</v>
      </c>
      <c r="U1623" s="41">
        <v>3.372835004557885E-2</v>
      </c>
    </row>
    <row r="1624" spans="20:21" x14ac:dyDescent="0.25">
      <c r="T1624" s="57">
        <v>36884</v>
      </c>
      <c r="U1624" s="41">
        <v>2.7227722772277228E-2</v>
      </c>
    </row>
    <row r="1625" spans="20:21" x14ac:dyDescent="0.25">
      <c r="T1625" s="57">
        <v>36885</v>
      </c>
      <c r="U1625" s="41">
        <v>1.615798922800718E-2</v>
      </c>
    </row>
    <row r="1626" spans="20:21" x14ac:dyDescent="0.25">
      <c r="T1626" s="57">
        <v>36891</v>
      </c>
      <c r="U1626" s="41">
        <v>0.02</v>
      </c>
    </row>
    <row r="1627" spans="20:21" x14ac:dyDescent="0.25">
      <c r="T1627" s="57">
        <v>36898</v>
      </c>
      <c r="U1627" s="41">
        <v>2.2653721682847898E-2</v>
      </c>
    </row>
    <row r="1628" spans="20:21" x14ac:dyDescent="0.25">
      <c r="T1628" s="57">
        <v>36905</v>
      </c>
      <c r="U1628" s="41">
        <v>2.3831347387717691E-2</v>
      </c>
    </row>
    <row r="1629" spans="20:21" x14ac:dyDescent="0.25">
      <c r="T1629" s="57">
        <v>36912</v>
      </c>
      <c r="U1629" s="41">
        <v>2.4226110363391656E-2</v>
      </c>
    </row>
    <row r="1630" spans="20:21" x14ac:dyDescent="0.25">
      <c r="T1630" s="57">
        <v>36919</v>
      </c>
      <c r="U1630" s="41">
        <v>3.6906854130052721E-2</v>
      </c>
    </row>
    <row r="1631" spans="20:21" x14ac:dyDescent="0.25">
      <c r="T1631" s="57">
        <v>36926</v>
      </c>
      <c r="U1631" s="41">
        <v>1.9792648444863337E-2</v>
      </c>
    </row>
    <row r="1632" spans="20:21" x14ac:dyDescent="0.25">
      <c r="T1632" s="57">
        <v>36933</v>
      </c>
      <c r="U1632" s="41">
        <v>0</v>
      </c>
    </row>
    <row r="1633" spans="20:21" x14ac:dyDescent="0.25">
      <c r="T1633" s="57">
        <v>36940</v>
      </c>
      <c r="U1633" s="41">
        <v>2.2417153996101363E-2</v>
      </c>
    </row>
    <row r="1634" spans="20:21" x14ac:dyDescent="0.25">
      <c r="T1634" s="57">
        <v>36947</v>
      </c>
      <c r="U1634" s="41">
        <v>1.3800424628450107E-2</v>
      </c>
    </row>
    <row r="1635" spans="20:21" x14ac:dyDescent="0.25">
      <c r="T1635" s="57">
        <v>36954</v>
      </c>
      <c r="U1635" s="41">
        <v>2.0080321285140562E-2</v>
      </c>
    </row>
    <row r="1636" spans="20:21" x14ac:dyDescent="0.25">
      <c r="T1636" s="57">
        <v>36961</v>
      </c>
      <c r="U1636" s="41">
        <v>2.02991452991453E-2</v>
      </c>
    </row>
    <row r="1637" spans="20:21" x14ac:dyDescent="0.25">
      <c r="T1637" s="57">
        <v>36968</v>
      </c>
      <c r="U1637" s="41">
        <v>3.5573122529644272E-2</v>
      </c>
    </row>
    <row r="1638" spans="20:21" x14ac:dyDescent="0.25">
      <c r="T1638" s="57">
        <v>36975</v>
      </c>
      <c r="U1638" s="41">
        <v>3.2024793388429749E-2</v>
      </c>
    </row>
    <row r="1639" spans="20:21" x14ac:dyDescent="0.25">
      <c r="T1639" s="57">
        <v>36982</v>
      </c>
      <c r="U1639" s="41">
        <v>1.8132366273798731E-2</v>
      </c>
    </row>
    <row r="1640" spans="20:21" x14ac:dyDescent="0.25">
      <c r="T1640" s="57">
        <v>36989</v>
      </c>
      <c r="U1640" s="41">
        <v>2.165087956698241E-2</v>
      </c>
    </row>
    <row r="1641" spans="20:21" x14ac:dyDescent="0.25">
      <c r="T1641" s="57">
        <v>36996</v>
      </c>
      <c r="U1641" s="41">
        <v>2.1422450728363324E-2</v>
      </c>
    </row>
    <row r="1642" spans="20:21" x14ac:dyDescent="0.25">
      <c r="T1642" s="57">
        <v>37003</v>
      </c>
      <c r="U1642" s="41">
        <v>5.7728119180633149E-2</v>
      </c>
    </row>
    <row r="1643" spans="20:21" x14ac:dyDescent="0.25">
      <c r="T1643" s="57">
        <v>37010</v>
      </c>
      <c r="U1643" s="41">
        <v>3.7313432835820892E-2</v>
      </c>
    </row>
    <row r="1644" spans="20:21" x14ac:dyDescent="0.25">
      <c r="T1644" s="57">
        <v>37017</v>
      </c>
      <c r="U1644" s="41">
        <v>2.5691699604743084E-2</v>
      </c>
    </row>
    <row r="1645" spans="20:21" x14ac:dyDescent="0.25">
      <c r="T1645" s="57">
        <v>37024</v>
      </c>
      <c r="U1645" s="41">
        <v>2.7227722772277228E-2</v>
      </c>
    </row>
    <row r="1646" spans="20:21" x14ac:dyDescent="0.25">
      <c r="T1646" s="57">
        <v>37031</v>
      </c>
      <c r="U1646" s="41">
        <v>1.1326860841423949E-2</v>
      </c>
    </row>
    <row r="1647" spans="20:21" x14ac:dyDescent="0.25">
      <c r="T1647" s="57">
        <v>37035</v>
      </c>
      <c r="U1647" s="41">
        <v>2.0833333333333332E-2</v>
      </c>
    </row>
    <row r="1648" spans="20:21" x14ac:dyDescent="0.25">
      <c r="T1648" s="57">
        <v>37038</v>
      </c>
      <c r="U1648" s="41">
        <v>1.6949152542372881E-2</v>
      </c>
    </row>
    <row r="1649" spans="20:21" x14ac:dyDescent="0.25">
      <c r="T1649" s="57">
        <v>37045</v>
      </c>
      <c r="U1649" s="41">
        <v>1.1235955056179775E-2</v>
      </c>
    </row>
    <row r="1650" spans="20:21" x14ac:dyDescent="0.25">
      <c r="T1650" s="57">
        <v>37052</v>
      </c>
      <c r="U1650" s="41">
        <v>3.3218785796105384E-2</v>
      </c>
    </row>
    <row r="1651" spans="20:21" x14ac:dyDescent="0.25">
      <c r="T1651" s="57">
        <v>37059</v>
      </c>
      <c r="U1651" s="41">
        <v>3.151862464183381E-2</v>
      </c>
    </row>
    <row r="1652" spans="20:21" x14ac:dyDescent="0.25">
      <c r="T1652" s="57">
        <v>37066</v>
      </c>
      <c r="U1652" s="41">
        <v>3.1302876480541454E-2</v>
      </c>
    </row>
    <row r="1653" spans="20:21" x14ac:dyDescent="0.25">
      <c r="T1653" s="57">
        <v>37073</v>
      </c>
      <c r="U1653" s="41">
        <v>3.2997250229147568E-2</v>
      </c>
    </row>
    <row r="1654" spans="20:21" x14ac:dyDescent="0.25">
      <c r="T1654" s="57">
        <v>37080</v>
      </c>
      <c r="U1654" s="41">
        <v>6.0606060606060606E-3</v>
      </c>
    </row>
    <row r="1655" spans="20:21" x14ac:dyDescent="0.25">
      <c r="T1655" s="57">
        <v>37087</v>
      </c>
      <c r="U1655" s="41">
        <v>3.2397408207343416E-2</v>
      </c>
    </row>
    <row r="1656" spans="20:21" x14ac:dyDescent="0.25">
      <c r="T1656" s="57">
        <v>37094</v>
      </c>
      <c r="U1656" s="41">
        <v>1.7271157167530225E-2</v>
      </c>
    </row>
    <row r="1657" spans="20:21" x14ac:dyDescent="0.25">
      <c r="T1657" s="57">
        <v>37101</v>
      </c>
      <c r="U1657" s="41">
        <v>5.9523809523809521E-3</v>
      </c>
    </row>
    <row r="1658" spans="20:21" x14ac:dyDescent="0.25">
      <c r="T1658" s="57">
        <v>37108</v>
      </c>
      <c r="U1658" s="41">
        <v>1.6815034619188922E-2</v>
      </c>
    </row>
    <row r="1659" spans="20:21" x14ac:dyDescent="0.25">
      <c r="T1659" s="57">
        <v>37115</v>
      </c>
      <c r="U1659" s="41">
        <v>3.3388981636060101E-3</v>
      </c>
    </row>
    <row r="1660" spans="20:21" x14ac:dyDescent="0.25">
      <c r="T1660" s="57">
        <v>37118</v>
      </c>
      <c r="U1660" s="41">
        <v>2.8314028314028315E-2</v>
      </c>
    </row>
    <row r="1661" spans="20:21" x14ac:dyDescent="0.25">
      <c r="T1661" s="57">
        <v>37122</v>
      </c>
      <c r="U1661" s="41">
        <v>2.9739776951672861E-2</v>
      </c>
    </row>
    <row r="1662" spans="20:21" x14ac:dyDescent="0.25">
      <c r="T1662" s="57">
        <v>37129</v>
      </c>
      <c r="U1662" s="41">
        <v>2.7285129604365622E-2</v>
      </c>
    </row>
    <row r="1663" spans="20:21" x14ac:dyDescent="0.25">
      <c r="T1663" s="57">
        <v>37136</v>
      </c>
      <c r="U1663" s="41">
        <v>2.7737226277372264E-2</v>
      </c>
    </row>
    <row r="1664" spans="20:21" x14ac:dyDescent="0.25">
      <c r="T1664" s="57">
        <v>37143</v>
      </c>
      <c r="U1664" s="41">
        <v>1.5576323987538941E-2</v>
      </c>
    </row>
    <row r="1665" spans="20:21" x14ac:dyDescent="0.25">
      <c r="T1665" s="57">
        <v>37150</v>
      </c>
      <c r="U1665" s="41">
        <v>1.6858917480035492E-2</v>
      </c>
    </row>
    <row r="1666" spans="20:21" x14ac:dyDescent="0.25">
      <c r="T1666" s="57">
        <v>37157</v>
      </c>
      <c r="U1666" s="41">
        <v>8.1018518518518514E-3</v>
      </c>
    </row>
    <row r="1667" spans="20:21" x14ac:dyDescent="0.25">
      <c r="T1667" s="57">
        <v>37164</v>
      </c>
      <c r="U1667" s="41">
        <v>7.0360598065083556E-3</v>
      </c>
    </row>
    <row r="1668" spans="20:21" x14ac:dyDescent="0.25">
      <c r="T1668" s="57">
        <v>37171</v>
      </c>
      <c r="U1668" s="41">
        <v>1.6966067864271458E-2</v>
      </c>
    </row>
    <row r="1669" spans="20:21" x14ac:dyDescent="0.25">
      <c r="T1669" s="57">
        <v>37178</v>
      </c>
      <c r="U1669" s="41">
        <v>3.614457831325301E-2</v>
      </c>
    </row>
    <row r="1670" spans="20:21" x14ac:dyDescent="0.25">
      <c r="T1670" s="57">
        <v>37185</v>
      </c>
      <c r="U1670" s="41">
        <v>3.8238702201622246E-2</v>
      </c>
    </row>
    <row r="1671" spans="20:21" x14ac:dyDescent="0.25">
      <c r="T1671" s="57">
        <v>37192</v>
      </c>
      <c r="U1671" s="41">
        <v>4.065040650406504E-2</v>
      </c>
    </row>
    <row r="1672" spans="20:21" x14ac:dyDescent="0.25">
      <c r="T1672" s="57">
        <v>37196</v>
      </c>
      <c r="U1672" s="41">
        <v>8.6741016109045856E-3</v>
      </c>
    </row>
    <row r="1673" spans="20:21" x14ac:dyDescent="0.25">
      <c r="T1673" s="57">
        <v>37199</v>
      </c>
      <c r="U1673" s="41">
        <v>1.7271157167530225E-2</v>
      </c>
    </row>
    <row r="1674" spans="20:21" x14ac:dyDescent="0.25">
      <c r="T1674" s="57">
        <v>37206</v>
      </c>
      <c r="U1674" s="41">
        <v>2.561576354679803E-2</v>
      </c>
    </row>
    <row r="1675" spans="20:21" x14ac:dyDescent="0.25">
      <c r="T1675" s="57">
        <v>37213</v>
      </c>
      <c r="U1675" s="41">
        <v>1.9607843137254902E-2</v>
      </c>
    </row>
    <row r="1676" spans="20:21" x14ac:dyDescent="0.25">
      <c r="T1676" s="57">
        <v>37220</v>
      </c>
      <c r="U1676" s="41">
        <v>2.6680896478121666E-2</v>
      </c>
    </row>
    <row r="1677" spans="20:21" x14ac:dyDescent="0.25">
      <c r="T1677" s="57">
        <v>37227</v>
      </c>
      <c r="U1677" s="41">
        <v>4.1275797373358347E-2</v>
      </c>
    </row>
    <row r="1678" spans="20:21" x14ac:dyDescent="0.25">
      <c r="T1678" s="57">
        <v>37234</v>
      </c>
      <c r="U1678" s="41">
        <v>2.3424878836833602E-2</v>
      </c>
    </row>
    <row r="1679" spans="20:21" x14ac:dyDescent="0.25">
      <c r="T1679" s="57">
        <v>37241</v>
      </c>
      <c r="U1679" s="41">
        <v>1.4311270125223614E-2</v>
      </c>
    </row>
    <row r="1680" spans="20:21" x14ac:dyDescent="0.25">
      <c r="T1680" s="57">
        <v>37248</v>
      </c>
      <c r="U1680" s="41">
        <v>3.7162162162162164E-2</v>
      </c>
    </row>
    <row r="1681" spans="20:21" x14ac:dyDescent="0.25">
      <c r="T1681" s="57">
        <v>37249</v>
      </c>
      <c r="U1681" s="41">
        <v>1.5858208955223881E-2</v>
      </c>
    </row>
    <row r="1682" spans="20:21" x14ac:dyDescent="0.25">
      <c r="T1682" s="57">
        <v>37250</v>
      </c>
      <c r="U1682" s="41">
        <v>1.8840579710144929E-2</v>
      </c>
    </row>
    <row r="1683" spans="20:21" x14ac:dyDescent="0.25">
      <c r="T1683" s="57">
        <v>37255</v>
      </c>
      <c r="U1683" s="41">
        <v>1.0033444816053512E-2</v>
      </c>
    </row>
    <row r="1684" spans="20:21" x14ac:dyDescent="0.25">
      <c r="T1684" s="57">
        <v>37262</v>
      </c>
      <c r="U1684" s="41">
        <v>2.0737327188940093E-2</v>
      </c>
    </row>
    <row r="1685" spans="20:21" x14ac:dyDescent="0.25">
      <c r="T1685" s="57">
        <v>37269</v>
      </c>
      <c r="U1685" s="41">
        <v>2.6442307692307692E-2</v>
      </c>
    </row>
    <row r="1686" spans="20:21" x14ac:dyDescent="0.25">
      <c r="T1686" s="57">
        <v>37276</v>
      </c>
      <c r="U1686" s="41">
        <v>4.1198501872659173E-2</v>
      </c>
    </row>
    <row r="1687" spans="20:21" x14ac:dyDescent="0.25">
      <c r="T1687" s="57">
        <v>37283</v>
      </c>
      <c r="U1687" s="41">
        <v>2.3977433004231313E-2</v>
      </c>
    </row>
    <row r="1688" spans="20:21" x14ac:dyDescent="0.25">
      <c r="T1688" s="57">
        <v>37290</v>
      </c>
      <c r="U1688" s="41">
        <v>1.6602809706257982E-2</v>
      </c>
    </row>
    <row r="1689" spans="20:21" x14ac:dyDescent="0.25">
      <c r="T1689" s="57">
        <v>37297</v>
      </c>
      <c r="U1689" s="41">
        <v>1.0256410256410256E-2</v>
      </c>
    </row>
    <row r="1690" spans="20:21" x14ac:dyDescent="0.25">
      <c r="T1690" s="57">
        <v>37304</v>
      </c>
      <c r="U1690" s="41">
        <v>4.3478260869565216E-2</v>
      </c>
    </row>
    <row r="1691" spans="20:21" x14ac:dyDescent="0.25">
      <c r="T1691" s="57">
        <v>37311</v>
      </c>
      <c r="U1691" s="41">
        <v>2.446183953033268E-2</v>
      </c>
    </row>
    <row r="1692" spans="20:21" x14ac:dyDescent="0.25">
      <c r="T1692" s="57">
        <v>37318</v>
      </c>
      <c r="U1692" s="41">
        <v>2.0164986251145739E-2</v>
      </c>
    </row>
    <row r="1693" spans="20:21" x14ac:dyDescent="0.25">
      <c r="T1693" s="57">
        <v>37325</v>
      </c>
      <c r="U1693" s="41">
        <v>1.4925373134328358E-2</v>
      </c>
    </row>
    <row r="1694" spans="20:21" x14ac:dyDescent="0.25">
      <c r="T1694" s="57">
        <v>37332</v>
      </c>
      <c r="U1694" s="41">
        <v>1.5873015873015872E-2</v>
      </c>
    </row>
    <row r="1695" spans="20:21" x14ac:dyDescent="0.25">
      <c r="T1695" s="57">
        <v>37339</v>
      </c>
      <c r="U1695" s="41">
        <v>5.128205128205128E-2</v>
      </c>
    </row>
    <row r="1696" spans="20:21" x14ac:dyDescent="0.25">
      <c r="T1696" s="57">
        <v>37346</v>
      </c>
      <c r="U1696" s="41">
        <v>9.9818511796733213E-3</v>
      </c>
    </row>
    <row r="1697" spans="20:21" x14ac:dyDescent="0.25">
      <c r="T1697" s="57">
        <v>37353</v>
      </c>
      <c r="U1697" s="41">
        <v>2.1798365122615803E-2</v>
      </c>
    </row>
    <row r="1698" spans="20:21" x14ac:dyDescent="0.25">
      <c r="T1698" s="57">
        <v>37360</v>
      </c>
      <c r="U1698" s="41">
        <v>4.8449612403100778E-2</v>
      </c>
    </row>
    <row r="1699" spans="20:21" x14ac:dyDescent="0.25">
      <c r="T1699" s="57">
        <v>37367</v>
      </c>
      <c r="U1699" s="41">
        <v>2.004008016032064E-2</v>
      </c>
    </row>
    <row r="1700" spans="20:21" x14ac:dyDescent="0.25">
      <c r="T1700" s="57">
        <v>37374</v>
      </c>
      <c r="U1700" s="41">
        <v>2.5711662075298437E-2</v>
      </c>
    </row>
    <row r="1701" spans="20:21" x14ac:dyDescent="0.25">
      <c r="T1701" s="57">
        <v>37381</v>
      </c>
      <c r="U1701" s="41">
        <v>3.0977734753146177E-2</v>
      </c>
    </row>
    <row r="1702" spans="20:21" x14ac:dyDescent="0.25">
      <c r="T1702" s="57">
        <v>37385</v>
      </c>
      <c r="U1702" s="41">
        <v>1.5252621544327931E-2</v>
      </c>
    </row>
    <row r="1703" spans="20:21" x14ac:dyDescent="0.25">
      <c r="T1703" s="57">
        <v>37388</v>
      </c>
      <c r="U1703" s="41">
        <v>3.5582822085889573E-2</v>
      </c>
    </row>
    <row r="1704" spans="20:21" x14ac:dyDescent="0.25">
      <c r="T1704" s="57">
        <v>37395</v>
      </c>
      <c r="U1704" s="41">
        <v>4.725609756097561E-2</v>
      </c>
    </row>
    <row r="1705" spans="20:21" x14ac:dyDescent="0.25">
      <c r="T1705" s="57">
        <v>37402</v>
      </c>
      <c r="U1705" s="41">
        <v>4.1412911084043852E-2</v>
      </c>
    </row>
    <row r="1706" spans="20:21" x14ac:dyDescent="0.25">
      <c r="T1706" s="57">
        <v>37409</v>
      </c>
      <c r="U1706" s="41">
        <v>3.9254170755642789E-2</v>
      </c>
    </row>
    <row r="1707" spans="20:21" x14ac:dyDescent="0.25">
      <c r="T1707" s="57">
        <v>37416</v>
      </c>
      <c r="U1707" s="41">
        <v>3.6090225563909777E-2</v>
      </c>
    </row>
    <row r="1708" spans="20:21" x14ac:dyDescent="0.25">
      <c r="T1708" s="57">
        <v>37423</v>
      </c>
      <c r="U1708" s="41">
        <v>2.0169851380042462E-2</v>
      </c>
    </row>
    <row r="1709" spans="20:21" x14ac:dyDescent="0.25">
      <c r="T1709" s="57">
        <v>37430</v>
      </c>
      <c r="U1709" s="41">
        <v>8.836524300441826E-3</v>
      </c>
    </row>
    <row r="1710" spans="20:21" x14ac:dyDescent="0.25">
      <c r="T1710" s="57">
        <v>37437</v>
      </c>
      <c r="U1710" s="41">
        <v>2.7052238805970148E-2</v>
      </c>
    </row>
    <row r="1711" spans="20:21" x14ac:dyDescent="0.25">
      <c r="T1711" s="57">
        <v>37444</v>
      </c>
      <c r="U1711" s="41">
        <v>3.7499999999999999E-2</v>
      </c>
    </row>
    <row r="1712" spans="20:21" x14ac:dyDescent="0.25">
      <c r="T1712" s="57">
        <v>37451</v>
      </c>
      <c r="U1712" s="41">
        <v>2.4118738404452691E-2</v>
      </c>
    </row>
    <row r="1713" spans="20:21" x14ac:dyDescent="0.25">
      <c r="T1713" s="57">
        <v>37458</v>
      </c>
      <c r="U1713" s="41">
        <v>4.5023696682464455E-2</v>
      </c>
    </row>
    <row r="1714" spans="20:21" x14ac:dyDescent="0.25">
      <c r="T1714" s="57">
        <v>37465</v>
      </c>
      <c r="U1714" s="41">
        <v>2.2914757103574702E-2</v>
      </c>
    </row>
    <row r="1715" spans="20:21" x14ac:dyDescent="0.25">
      <c r="T1715" s="57">
        <v>37472</v>
      </c>
      <c r="U1715" s="41">
        <v>2.3255813953488372E-2</v>
      </c>
    </row>
    <row r="1716" spans="20:21" x14ac:dyDescent="0.25">
      <c r="T1716" s="57">
        <v>37479</v>
      </c>
      <c r="U1716" s="41">
        <v>4.1884816753926704E-2</v>
      </c>
    </row>
    <row r="1717" spans="20:21" x14ac:dyDescent="0.25">
      <c r="T1717" s="57">
        <v>37483</v>
      </c>
      <c r="U1717" s="41">
        <v>2.7127003699136867E-2</v>
      </c>
    </row>
    <row r="1718" spans="20:21" x14ac:dyDescent="0.25">
      <c r="T1718" s="57">
        <v>37486</v>
      </c>
      <c r="U1718" s="41">
        <v>2.865329512893983E-2</v>
      </c>
    </row>
    <row r="1719" spans="20:21" x14ac:dyDescent="0.25">
      <c r="T1719" s="57">
        <v>37493</v>
      </c>
      <c r="U1719" s="41">
        <v>4.24597364568082E-2</v>
      </c>
    </row>
    <row r="1720" spans="20:21" x14ac:dyDescent="0.25">
      <c r="T1720" s="57">
        <v>37500</v>
      </c>
      <c r="U1720" s="41">
        <v>2.6666666666666668E-2</v>
      </c>
    </row>
    <row r="1721" spans="20:21" x14ac:dyDescent="0.25">
      <c r="T1721" s="57">
        <v>37507</v>
      </c>
      <c r="U1721" s="41">
        <v>2.1151586368977675E-2</v>
      </c>
    </row>
    <row r="1722" spans="20:21" x14ac:dyDescent="0.25">
      <c r="T1722" s="57">
        <v>37514</v>
      </c>
      <c r="U1722" s="41">
        <v>1.2972972972972972E-2</v>
      </c>
    </row>
    <row r="1723" spans="20:21" x14ac:dyDescent="0.25">
      <c r="T1723" s="57">
        <v>37521</v>
      </c>
      <c r="U1723" s="41">
        <v>3.6347517730496451E-2</v>
      </c>
    </row>
    <row r="1724" spans="20:21" x14ac:dyDescent="0.25">
      <c r="T1724" s="57">
        <v>37528</v>
      </c>
      <c r="U1724" s="41">
        <v>1.6715830875122909E-2</v>
      </c>
    </row>
    <row r="1725" spans="20:21" x14ac:dyDescent="0.25">
      <c r="T1725" s="57">
        <v>37535</v>
      </c>
      <c r="U1725" s="41">
        <v>2.5851938895417155E-2</v>
      </c>
    </row>
    <row r="1726" spans="20:21" x14ac:dyDescent="0.25">
      <c r="T1726" s="57">
        <v>37542</v>
      </c>
      <c r="U1726" s="41">
        <v>8.271298593879239E-3</v>
      </c>
    </row>
    <row r="1727" spans="20:21" x14ac:dyDescent="0.25">
      <c r="T1727" s="57">
        <v>37549</v>
      </c>
      <c r="U1727" s="41">
        <v>2.1052631578947368E-2</v>
      </c>
    </row>
    <row r="1728" spans="20:21" x14ac:dyDescent="0.25">
      <c r="T1728" s="57">
        <v>37556</v>
      </c>
      <c r="U1728" s="41">
        <v>1.8895348837209301E-2</v>
      </c>
    </row>
    <row r="1729" spans="20:21" x14ac:dyDescent="0.25">
      <c r="T1729" s="57">
        <v>37561</v>
      </c>
      <c r="U1729" s="41">
        <v>2.1454112038140644E-2</v>
      </c>
    </row>
    <row r="1730" spans="20:21" x14ac:dyDescent="0.25">
      <c r="T1730" s="57">
        <v>37563</v>
      </c>
      <c r="U1730" s="41">
        <v>3.1016042780748664E-2</v>
      </c>
    </row>
    <row r="1731" spans="20:21" x14ac:dyDescent="0.25">
      <c r="T1731" s="57">
        <v>37570</v>
      </c>
      <c r="U1731" s="41">
        <v>3.9029535864978905E-2</v>
      </c>
    </row>
    <row r="1732" spans="20:21" x14ac:dyDescent="0.25">
      <c r="T1732" s="57">
        <v>37577</v>
      </c>
      <c r="U1732" s="41">
        <v>2.2184300341296929E-2</v>
      </c>
    </row>
    <row r="1733" spans="20:21" x14ac:dyDescent="0.25">
      <c r="T1733" s="57">
        <v>37584</v>
      </c>
      <c r="U1733" s="41">
        <v>2.2900763358778626E-2</v>
      </c>
    </row>
    <row r="1734" spans="20:21" x14ac:dyDescent="0.25">
      <c r="T1734" s="57">
        <v>37591</v>
      </c>
      <c r="U1734" s="41">
        <v>3.1796502384737677E-2</v>
      </c>
    </row>
    <row r="1735" spans="20:21" x14ac:dyDescent="0.25">
      <c r="T1735" s="57">
        <v>37598</v>
      </c>
      <c r="U1735" s="41">
        <v>5.4009819967266774E-2</v>
      </c>
    </row>
    <row r="1736" spans="20:21" x14ac:dyDescent="0.25">
      <c r="T1736" s="57">
        <v>37605</v>
      </c>
      <c r="U1736" s="41">
        <v>3.3898305084745763E-2</v>
      </c>
    </row>
    <row r="1737" spans="20:21" x14ac:dyDescent="0.25">
      <c r="T1737" s="57">
        <v>37612</v>
      </c>
      <c r="U1737" s="41">
        <v>4.2435424354243544E-2</v>
      </c>
    </row>
    <row r="1738" spans="20:21" x14ac:dyDescent="0.25">
      <c r="T1738" s="57">
        <v>37614</v>
      </c>
      <c r="U1738" s="41">
        <v>2.3876404494382022E-2</v>
      </c>
    </row>
    <row r="1739" spans="20:21" x14ac:dyDescent="0.25">
      <c r="T1739" s="57">
        <v>37615</v>
      </c>
      <c r="U1739" s="41">
        <v>1.2931034482758621E-2</v>
      </c>
    </row>
    <row r="1740" spans="20:21" x14ac:dyDescent="0.25">
      <c r="T1740" s="57">
        <v>37619</v>
      </c>
      <c r="U1740" s="41">
        <v>4.1928721174004195E-2</v>
      </c>
    </row>
    <row r="1741" spans="20:21" x14ac:dyDescent="0.25">
      <c r="T1741" s="57">
        <v>37626</v>
      </c>
      <c r="U1741" s="41">
        <v>4.9566294919454771E-3</v>
      </c>
    </row>
    <row r="1742" spans="20:21" x14ac:dyDescent="0.25">
      <c r="T1742" s="57">
        <v>37633</v>
      </c>
      <c r="U1742" s="41">
        <v>5.0408719346049048E-2</v>
      </c>
    </row>
    <row r="1743" spans="20:21" x14ac:dyDescent="0.25">
      <c r="T1743" s="57">
        <v>37640</v>
      </c>
      <c r="U1743" s="41">
        <v>4.0441176470588237E-2</v>
      </c>
    </row>
    <row r="1744" spans="20:21" x14ac:dyDescent="0.25">
      <c r="T1744" s="57">
        <v>37647</v>
      </c>
      <c r="U1744" s="41">
        <v>2.302158273381295E-2</v>
      </c>
    </row>
    <row r="1745" spans="20:21" x14ac:dyDescent="0.25">
      <c r="T1745" s="57">
        <v>37654</v>
      </c>
      <c r="U1745" s="41">
        <v>1.9588638589618023E-2</v>
      </c>
    </row>
    <row r="1746" spans="20:21" x14ac:dyDescent="0.25">
      <c r="T1746" s="57">
        <v>37661</v>
      </c>
      <c r="U1746" s="41">
        <v>2.3720349563046191E-2</v>
      </c>
    </row>
    <row r="1747" spans="20:21" x14ac:dyDescent="0.25">
      <c r="T1747" s="57">
        <v>37668</v>
      </c>
      <c r="U1747" s="41">
        <v>2.4880382775119617E-2</v>
      </c>
    </row>
    <row r="1748" spans="20:21" x14ac:dyDescent="0.25">
      <c r="T1748" s="57">
        <v>37675</v>
      </c>
      <c r="U1748" s="41">
        <v>1.893939393939394E-2</v>
      </c>
    </row>
    <row r="1749" spans="20:21" x14ac:dyDescent="0.25">
      <c r="T1749" s="57">
        <v>37682</v>
      </c>
      <c r="U1749" s="41">
        <v>3.3009708737864081E-2</v>
      </c>
    </row>
    <row r="1750" spans="20:21" x14ac:dyDescent="0.25">
      <c r="T1750" s="57">
        <v>37689</v>
      </c>
      <c r="U1750" s="41">
        <v>3.9634146341463415E-2</v>
      </c>
    </row>
    <row r="1751" spans="20:21" x14ac:dyDescent="0.25">
      <c r="T1751" s="57">
        <v>37696</v>
      </c>
      <c r="U1751" s="41">
        <v>4.0350877192982457E-2</v>
      </c>
    </row>
    <row r="1752" spans="20:21" x14ac:dyDescent="0.25">
      <c r="T1752" s="57">
        <v>37703</v>
      </c>
      <c r="U1752" s="41">
        <v>2.7566539923954372E-2</v>
      </c>
    </row>
    <row r="1753" spans="20:21" x14ac:dyDescent="0.25">
      <c r="T1753" s="57">
        <v>37710</v>
      </c>
      <c r="U1753" s="41">
        <v>4.5454545454545456E-2</v>
      </c>
    </row>
    <row r="1754" spans="20:21" x14ac:dyDescent="0.25">
      <c r="T1754" s="57">
        <v>37717</v>
      </c>
      <c r="U1754" s="41">
        <v>3.1141868512110725E-2</v>
      </c>
    </row>
    <row r="1755" spans="20:21" x14ac:dyDescent="0.25">
      <c r="T1755" s="57">
        <v>37724</v>
      </c>
      <c r="U1755" s="41">
        <v>3.0423280423280422E-2</v>
      </c>
    </row>
    <row r="1756" spans="20:21" x14ac:dyDescent="0.25">
      <c r="T1756" s="57">
        <v>37731</v>
      </c>
      <c r="U1756" s="41">
        <v>1.5600624024960999E-2</v>
      </c>
    </row>
    <row r="1757" spans="20:21" x14ac:dyDescent="0.25">
      <c r="T1757" s="57">
        <v>37738</v>
      </c>
      <c r="U1757" s="41">
        <v>1.9031141868512111E-2</v>
      </c>
    </row>
    <row r="1758" spans="20:21" x14ac:dyDescent="0.25">
      <c r="T1758" s="57">
        <v>37745</v>
      </c>
      <c r="U1758" s="41">
        <v>2.0632737276478678E-2</v>
      </c>
    </row>
    <row r="1759" spans="20:21" x14ac:dyDescent="0.25">
      <c r="T1759" s="57">
        <v>37752</v>
      </c>
      <c r="U1759" s="41">
        <v>1.433389544688027E-2</v>
      </c>
    </row>
    <row r="1760" spans="20:21" x14ac:dyDescent="0.25">
      <c r="T1760" s="57">
        <v>37759</v>
      </c>
      <c r="U1760" s="41">
        <v>1.0752688172043012E-2</v>
      </c>
    </row>
    <row r="1761" spans="20:21" x14ac:dyDescent="0.25">
      <c r="T1761" s="57">
        <v>37766</v>
      </c>
      <c r="U1761" s="41">
        <v>3.8155802861685212E-2</v>
      </c>
    </row>
    <row r="1762" spans="20:21" x14ac:dyDescent="0.25">
      <c r="T1762" s="57">
        <v>37770</v>
      </c>
      <c r="U1762" s="41">
        <v>1.4719411223551058E-2</v>
      </c>
    </row>
    <row r="1763" spans="20:21" x14ac:dyDescent="0.25">
      <c r="T1763" s="57">
        <v>37773</v>
      </c>
      <c r="U1763" s="41">
        <v>1.425438596491228E-2</v>
      </c>
    </row>
    <row r="1764" spans="20:21" x14ac:dyDescent="0.25">
      <c r="T1764" s="57">
        <v>37780</v>
      </c>
      <c r="U1764" s="41">
        <v>2.3911187019641331E-2</v>
      </c>
    </row>
    <row r="1765" spans="20:21" x14ac:dyDescent="0.25">
      <c r="T1765" s="57">
        <v>37787</v>
      </c>
      <c r="U1765" s="41">
        <v>6.8150208623087627E-2</v>
      </c>
    </row>
    <row r="1766" spans="20:21" x14ac:dyDescent="0.25">
      <c r="T1766" s="57">
        <v>37794</v>
      </c>
      <c r="U1766" s="41">
        <v>1.5873015873015872E-2</v>
      </c>
    </row>
    <row r="1767" spans="20:21" x14ac:dyDescent="0.25">
      <c r="T1767" s="57">
        <v>37801</v>
      </c>
      <c r="U1767" s="41">
        <v>3.1782065834279227E-2</v>
      </c>
    </row>
    <row r="1768" spans="20:21" x14ac:dyDescent="0.25">
      <c r="T1768" s="57">
        <v>37808</v>
      </c>
      <c r="U1768" s="41">
        <v>3.0303030303030304E-2</v>
      </c>
    </row>
    <row r="1769" spans="20:21" x14ac:dyDescent="0.25">
      <c r="T1769" s="57">
        <v>37815</v>
      </c>
      <c r="U1769" s="41">
        <v>3.0127462340672075E-2</v>
      </c>
    </row>
    <row r="1770" spans="20:21" x14ac:dyDescent="0.25">
      <c r="T1770" s="57">
        <v>37822</v>
      </c>
      <c r="U1770" s="41">
        <v>4.3252595155709339E-2</v>
      </c>
    </row>
    <row r="1771" spans="20:21" x14ac:dyDescent="0.25">
      <c r="T1771" s="57">
        <v>37829</v>
      </c>
      <c r="U1771" s="41">
        <v>2.2624434389140271E-2</v>
      </c>
    </row>
    <row r="1772" spans="20:21" x14ac:dyDescent="0.25">
      <c r="T1772" s="57">
        <v>37836</v>
      </c>
      <c r="U1772" s="41">
        <v>1.7994858611825194E-2</v>
      </c>
    </row>
    <row r="1773" spans="20:21" x14ac:dyDescent="0.25">
      <c r="T1773" s="57">
        <v>37843</v>
      </c>
      <c r="U1773" s="41">
        <v>1.9079685746352413E-2</v>
      </c>
    </row>
    <row r="1774" spans="20:21" x14ac:dyDescent="0.25">
      <c r="T1774" s="57">
        <v>37848</v>
      </c>
      <c r="U1774" s="41">
        <v>1.7543859649122806E-2</v>
      </c>
    </row>
    <row r="1775" spans="20:21" x14ac:dyDescent="0.25">
      <c r="T1775" s="57">
        <v>37850</v>
      </c>
      <c r="U1775" s="41">
        <v>1.9945602901178604E-2</v>
      </c>
    </row>
    <row r="1776" spans="20:21" x14ac:dyDescent="0.25">
      <c r="T1776" s="57">
        <v>37857</v>
      </c>
      <c r="U1776" s="41">
        <v>1.100762066045724E-2</v>
      </c>
    </row>
    <row r="1777" spans="20:21" x14ac:dyDescent="0.25">
      <c r="T1777" s="57">
        <v>37864</v>
      </c>
      <c r="U1777" s="41">
        <v>2.4489795918367346E-2</v>
      </c>
    </row>
    <row r="1778" spans="20:21" x14ac:dyDescent="0.25">
      <c r="T1778" s="57">
        <v>37871</v>
      </c>
      <c r="U1778" s="41">
        <v>4.9101796407185629E-2</v>
      </c>
    </row>
    <row r="1779" spans="20:21" x14ac:dyDescent="0.25">
      <c r="T1779" s="57">
        <v>37878</v>
      </c>
      <c r="U1779" s="41">
        <v>2.258469259723965E-2</v>
      </c>
    </row>
    <row r="1780" spans="20:21" x14ac:dyDescent="0.25">
      <c r="T1780" s="57">
        <v>37885</v>
      </c>
      <c r="U1780" s="41">
        <v>1.6694490818030049E-2</v>
      </c>
    </row>
    <row r="1781" spans="20:21" x14ac:dyDescent="0.25">
      <c r="T1781" s="57">
        <v>37892</v>
      </c>
      <c r="U1781" s="41">
        <v>8.8397790055248626E-3</v>
      </c>
    </row>
    <row r="1782" spans="20:21" x14ac:dyDescent="0.25">
      <c r="T1782" s="57">
        <v>37899</v>
      </c>
      <c r="U1782" s="41">
        <v>1.0466222645099905E-2</v>
      </c>
    </row>
    <row r="1783" spans="20:21" x14ac:dyDescent="0.25">
      <c r="T1783" s="57">
        <v>37906</v>
      </c>
      <c r="U1783" s="41">
        <v>1.6774193548387096E-2</v>
      </c>
    </row>
    <row r="1784" spans="20:21" x14ac:dyDescent="0.25">
      <c r="T1784" s="57">
        <v>37913</v>
      </c>
      <c r="U1784" s="41">
        <v>2.7442371020856202E-2</v>
      </c>
    </row>
    <row r="1785" spans="20:21" x14ac:dyDescent="0.25">
      <c r="T1785" s="57">
        <v>37920</v>
      </c>
      <c r="U1785" s="41">
        <v>2.7883396704689482E-2</v>
      </c>
    </row>
    <row r="1786" spans="20:21" x14ac:dyDescent="0.25">
      <c r="T1786" s="57">
        <v>37926</v>
      </c>
      <c r="U1786" s="41">
        <v>1.3698630136986301E-2</v>
      </c>
    </row>
    <row r="1787" spans="20:21" x14ac:dyDescent="0.25">
      <c r="T1787" s="57">
        <v>37927</v>
      </c>
      <c r="U1787" s="41">
        <v>1.0443864229765013E-2</v>
      </c>
    </row>
    <row r="1788" spans="20:21" x14ac:dyDescent="0.25">
      <c r="T1788" s="57">
        <v>37934</v>
      </c>
      <c r="U1788" s="41">
        <v>3.3118675252989879E-2</v>
      </c>
    </row>
    <row r="1789" spans="20:21" x14ac:dyDescent="0.25">
      <c r="T1789" s="57">
        <v>37941</v>
      </c>
      <c r="U1789" s="41">
        <v>2.8248587570621469E-2</v>
      </c>
    </row>
    <row r="1790" spans="20:21" x14ac:dyDescent="0.25">
      <c r="T1790" s="57">
        <v>37948</v>
      </c>
      <c r="U1790" s="41">
        <v>1.2422360248447204E-2</v>
      </c>
    </row>
    <row r="1791" spans="20:21" x14ac:dyDescent="0.25">
      <c r="T1791" s="57">
        <v>37955</v>
      </c>
      <c r="U1791" s="41">
        <v>2.456140350877193E-2</v>
      </c>
    </row>
    <row r="1792" spans="20:21" x14ac:dyDescent="0.25">
      <c r="T1792" s="57">
        <v>37962</v>
      </c>
      <c r="U1792" s="41">
        <v>1.3991769547325103E-2</v>
      </c>
    </row>
    <row r="1793" spans="20:21" x14ac:dyDescent="0.25">
      <c r="T1793" s="57">
        <v>37969</v>
      </c>
      <c r="U1793" s="41">
        <v>6.7567567567567571E-3</v>
      </c>
    </row>
    <row r="1794" spans="20:21" x14ac:dyDescent="0.25">
      <c r="T1794" s="57">
        <v>37976</v>
      </c>
      <c r="U1794" s="41">
        <v>4.1030534351145037E-2</v>
      </c>
    </row>
    <row r="1795" spans="20:21" x14ac:dyDescent="0.25">
      <c r="T1795" s="57">
        <v>37979</v>
      </c>
      <c r="U1795" s="41">
        <v>2.389705882352941E-2</v>
      </c>
    </row>
    <row r="1796" spans="20:21" x14ac:dyDescent="0.25">
      <c r="T1796" s="57">
        <v>37980</v>
      </c>
      <c r="U1796" s="41">
        <v>1.6891891891891893E-2</v>
      </c>
    </row>
    <row r="1797" spans="20:21" x14ac:dyDescent="0.25">
      <c r="T1797" s="57">
        <v>37983</v>
      </c>
      <c r="U1797" s="41">
        <v>1.7410228509249184E-2</v>
      </c>
    </row>
    <row r="1798" spans="20:21" x14ac:dyDescent="0.25">
      <c r="T1798" s="57">
        <v>37990</v>
      </c>
      <c r="U1798" s="41">
        <v>2.0283975659229209E-2</v>
      </c>
    </row>
    <row r="1799" spans="20:21" x14ac:dyDescent="0.25">
      <c r="T1799" s="57">
        <v>37997</v>
      </c>
      <c r="U1799" s="41">
        <v>4.912280701754386E-2</v>
      </c>
    </row>
    <row r="1800" spans="20:21" x14ac:dyDescent="0.25">
      <c r="T1800" s="57">
        <v>38004</v>
      </c>
      <c r="U1800" s="41">
        <v>3.229166666666667E-2</v>
      </c>
    </row>
    <row r="1801" spans="20:21" x14ac:dyDescent="0.25">
      <c r="T1801" s="57">
        <v>38011</v>
      </c>
      <c r="U1801" s="41">
        <v>1.6632016632016633E-2</v>
      </c>
    </row>
    <row r="1802" spans="20:21" x14ac:dyDescent="0.25">
      <c r="T1802" s="57">
        <v>38018</v>
      </c>
      <c r="U1802" s="41">
        <v>4.8681541582150101E-2</v>
      </c>
    </row>
    <row r="1803" spans="20:21" x14ac:dyDescent="0.25">
      <c r="T1803" s="57">
        <v>38025</v>
      </c>
      <c r="U1803" s="41">
        <v>2.2871664548919948E-2</v>
      </c>
    </row>
    <row r="1804" spans="20:21" x14ac:dyDescent="0.25">
      <c r="T1804" s="57">
        <v>38032</v>
      </c>
      <c r="U1804" s="41">
        <v>1.5931372549019607E-2</v>
      </c>
    </row>
    <row r="1805" spans="20:21" x14ac:dyDescent="0.25">
      <c r="T1805" s="57">
        <v>38039</v>
      </c>
      <c r="U1805" s="41">
        <v>1.7321016166281754E-2</v>
      </c>
    </row>
    <row r="1806" spans="20:21" x14ac:dyDescent="0.25">
      <c r="T1806" s="57">
        <v>38046</v>
      </c>
      <c r="U1806" s="41">
        <v>5.128205128205128E-2</v>
      </c>
    </row>
    <row r="1807" spans="20:21" x14ac:dyDescent="0.25">
      <c r="T1807" s="57">
        <v>38053</v>
      </c>
      <c r="U1807" s="41">
        <v>1.7271157167530225E-2</v>
      </c>
    </row>
    <row r="1808" spans="20:21" x14ac:dyDescent="0.25">
      <c r="T1808" s="57">
        <v>38060</v>
      </c>
      <c r="U1808" s="41">
        <v>1.7890772128060263E-2</v>
      </c>
    </row>
    <row r="1809" spans="20:21" x14ac:dyDescent="0.25">
      <c r="T1809" s="57">
        <v>38067</v>
      </c>
      <c r="U1809" s="41">
        <v>4.7965116279069769E-2</v>
      </c>
    </row>
    <row r="1810" spans="20:21" x14ac:dyDescent="0.25">
      <c r="T1810" s="57">
        <v>38074</v>
      </c>
      <c r="U1810" s="41">
        <v>2.832512315270936E-2</v>
      </c>
    </row>
    <row r="1811" spans="20:21" x14ac:dyDescent="0.25">
      <c r="T1811" s="57">
        <v>38081</v>
      </c>
      <c r="U1811" s="41">
        <v>3.0303030303030304E-2</v>
      </c>
    </row>
    <row r="1812" spans="20:21" x14ac:dyDescent="0.25">
      <c r="T1812" s="57">
        <v>38088</v>
      </c>
      <c r="U1812" s="41">
        <v>3.2825322391559206E-2</v>
      </c>
    </row>
    <row r="1813" spans="20:21" x14ac:dyDescent="0.25">
      <c r="T1813" s="57">
        <v>38095</v>
      </c>
      <c r="U1813" s="41">
        <v>3.0470914127423823E-2</v>
      </c>
    </row>
    <row r="1814" spans="20:21" x14ac:dyDescent="0.25">
      <c r="T1814" s="57">
        <v>38102</v>
      </c>
      <c r="U1814" s="41">
        <v>2.9189189189189189E-2</v>
      </c>
    </row>
    <row r="1815" spans="20:21" x14ac:dyDescent="0.25">
      <c r="T1815" s="57">
        <v>38109</v>
      </c>
      <c r="U1815" s="41">
        <v>4.6904315196998128E-3</v>
      </c>
    </row>
    <row r="1816" spans="20:21" x14ac:dyDescent="0.25">
      <c r="T1816" s="57">
        <v>38116</v>
      </c>
      <c r="U1816" s="41">
        <v>2.4E-2</v>
      </c>
    </row>
    <row r="1817" spans="20:21" x14ac:dyDescent="0.25">
      <c r="T1817" s="57">
        <v>38123</v>
      </c>
      <c r="U1817" s="41">
        <v>3.530895334174023E-2</v>
      </c>
    </row>
    <row r="1818" spans="20:21" x14ac:dyDescent="0.25">
      <c r="T1818" s="57">
        <v>38127</v>
      </c>
      <c r="U1818" s="41">
        <v>2.4719101123595506E-2</v>
      </c>
    </row>
    <row r="1819" spans="20:21" x14ac:dyDescent="0.25">
      <c r="T1819" s="57">
        <v>38130</v>
      </c>
      <c r="U1819" s="41">
        <v>2.0262216924910609E-2</v>
      </c>
    </row>
    <row r="1820" spans="20:21" x14ac:dyDescent="0.25">
      <c r="T1820" s="57">
        <v>38137</v>
      </c>
      <c r="U1820" s="41">
        <v>7.7956989247311828E-2</v>
      </c>
    </row>
    <row r="1821" spans="20:21" x14ac:dyDescent="0.25">
      <c r="T1821" s="57">
        <v>38144</v>
      </c>
      <c r="U1821" s="41">
        <v>2.2840119165839126E-2</v>
      </c>
    </row>
    <row r="1822" spans="20:21" x14ac:dyDescent="0.25">
      <c r="T1822" s="57">
        <v>38151</v>
      </c>
      <c r="U1822" s="41">
        <v>2.7942421676545301E-2</v>
      </c>
    </row>
    <row r="1823" spans="20:21" x14ac:dyDescent="0.25">
      <c r="T1823" s="57">
        <v>38158</v>
      </c>
      <c r="U1823" s="41">
        <v>2.9015544041450778E-2</v>
      </c>
    </row>
    <row r="1824" spans="20:21" x14ac:dyDescent="0.25">
      <c r="T1824" s="57">
        <v>38165</v>
      </c>
      <c r="U1824" s="41">
        <v>4.0816326530612242E-2</v>
      </c>
    </row>
    <row r="1825" spans="20:21" x14ac:dyDescent="0.25">
      <c r="T1825" s="57">
        <v>38172</v>
      </c>
      <c r="U1825" s="41">
        <v>2.5956284153005466E-2</v>
      </c>
    </row>
    <row r="1826" spans="20:21" x14ac:dyDescent="0.25">
      <c r="T1826" s="57">
        <v>38179</v>
      </c>
      <c r="U1826" s="41">
        <v>2.3856858846918488E-2</v>
      </c>
    </row>
    <row r="1827" spans="20:21" x14ac:dyDescent="0.25">
      <c r="T1827" s="57">
        <v>38186</v>
      </c>
      <c r="U1827" s="41">
        <v>1.9277108433734941E-2</v>
      </c>
    </row>
    <row r="1828" spans="20:21" x14ac:dyDescent="0.25">
      <c r="T1828" s="57">
        <v>38193</v>
      </c>
      <c r="U1828" s="41">
        <v>1.4554794520547944E-2</v>
      </c>
    </row>
    <row r="1829" spans="20:21" x14ac:dyDescent="0.25">
      <c r="T1829" s="57">
        <v>38200</v>
      </c>
      <c r="U1829" s="41">
        <v>7.900677200902935E-3</v>
      </c>
    </row>
    <row r="1830" spans="20:21" x14ac:dyDescent="0.25">
      <c r="T1830" s="57">
        <v>38207</v>
      </c>
      <c r="U1830" s="41">
        <v>1.7087667161961365E-2</v>
      </c>
    </row>
    <row r="1831" spans="20:21" x14ac:dyDescent="0.25">
      <c r="T1831" s="57">
        <v>38214</v>
      </c>
      <c r="U1831" s="41">
        <v>9.0909090909090905E-3</v>
      </c>
    </row>
    <row r="1832" spans="20:21" x14ac:dyDescent="0.25">
      <c r="T1832" s="57">
        <v>38221</v>
      </c>
      <c r="U1832" s="41">
        <v>2.9629629629629631E-2</v>
      </c>
    </row>
    <row r="1833" spans="20:21" x14ac:dyDescent="0.25">
      <c r="T1833" s="57">
        <v>38228</v>
      </c>
      <c r="U1833" s="41">
        <v>2.1468926553672316E-2</v>
      </c>
    </row>
    <row r="1834" spans="20:21" x14ac:dyDescent="0.25">
      <c r="T1834" s="57">
        <v>38235</v>
      </c>
      <c r="U1834" s="41">
        <v>1.6181229773462782E-2</v>
      </c>
    </row>
    <row r="1835" spans="20:21" x14ac:dyDescent="0.25">
      <c r="T1835" s="57">
        <v>38242</v>
      </c>
      <c r="U1835" s="41">
        <v>2.8409090909090908E-2</v>
      </c>
    </row>
    <row r="1836" spans="20:21" x14ac:dyDescent="0.25">
      <c r="T1836" s="57">
        <v>38249</v>
      </c>
      <c r="U1836" s="41">
        <v>1.6587677725118485E-2</v>
      </c>
    </row>
    <row r="1837" spans="20:21" x14ac:dyDescent="0.25">
      <c r="T1837" s="57">
        <v>38256</v>
      </c>
      <c r="U1837" s="41">
        <v>2.2847100175746926E-2</v>
      </c>
    </row>
    <row r="1838" spans="20:21" x14ac:dyDescent="0.25">
      <c r="T1838" s="57">
        <v>38263</v>
      </c>
      <c r="U1838" s="41">
        <v>2.3148148148148147E-2</v>
      </c>
    </row>
    <row r="1839" spans="20:21" x14ac:dyDescent="0.25">
      <c r="T1839" s="57">
        <v>38270</v>
      </c>
      <c r="U1839" s="41">
        <v>2.1126760563380281E-2</v>
      </c>
    </row>
    <row r="1840" spans="20:21" x14ac:dyDescent="0.25">
      <c r="T1840" s="57">
        <v>38277</v>
      </c>
      <c r="U1840" s="41">
        <v>2.2988505747126436E-2</v>
      </c>
    </row>
    <row r="1841" spans="20:21" x14ac:dyDescent="0.25">
      <c r="T1841" s="57">
        <v>38284</v>
      </c>
      <c r="U1841" s="41">
        <v>1.6246953696181965E-3</v>
      </c>
    </row>
    <row r="1842" spans="20:21" x14ac:dyDescent="0.25">
      <c r="T1842" s="57">
        <v>38291</v>
      </c>
      <c r="U1842" s="41">
        <v>3.9215686274509803E-2</v>
      </c>
    </row>
    <row r="1843" spans="20:21" x14ac:dyDescent="0.25">
      <c r="T1843" s="57">
        <v>38292</v>
      </c>
      <c r="U1843" s="41">
        <v>2.8744326777609682E-2</v>
      </c>
    </row>
    <row r="1844" spans="20:21" x14ac:dyDescent="0.25">
      <c r="T1844" s="57">
        <v>38298</v>
      </c>
      <c r="U1844" s="41">
        <v>2.7096774193548386E-2</v>
      </c>
    </row>
    <row r="1845" spans="20:21" x14ac:dyDescent="0.25">
      <c r="T1845" s="57">
        <v>38305</v>
      </c>
      <c r="U1845" s="41">
        <v>3.2786885245901641E-2</v>
      </c>
    </row>
    <row r="1846" spans="20:21" x14ac:dyDescent="0.25">
      <c r="T1846" s="57">
        <v>38312</v>
      </c>
      <c r="U1846" s="41">
        <v>2.9641185647425898E-2</v>
      </c>
    </row>
    <row r="1847" spans="20:21" x14ac:dyDescent="0.25">
      <c r="T1847" s="57">
        <v>38319</v>
      </c>
      <c r="U1847" s="41">
        <v>1.662049861495845E-2</v>
      </c>
    </row>
    <row r="1848" spans="20:21" x14ac:dyDescent="0.25">
      <c r="T1848" s="57">
        <v>38326</v>
      </c>
      <c r="U1848" s="41">
        <v>1.2500000000000001E-2</v>
      </c>
    </row>
    <row r="1849" spans="20:21" x14ac:dyDescent="0.25">
      <c r="T1849" s="57">
        <v>38333</v>
      </c>
      <c r="U1849" s="41">
        <v>2.4691358024691357E-2</v>
      </c>
    </row>
    <row r="1850" spans="20:21" x14ac:dyDescent="0.25">
      <c r="T1850" s="57">
        <v>38340</v>
      </c>
      <c r="U1850" s="41">
        <v>1.2927054478301015E-2</v>
      </c>
    </row>
    <row r="1851" spans="20:21" x14ac:dyDescent="0.25">
      <c r="T1851" s="57">
        <v>38345</v>
      </c>
      <c r="U1851" s="41">
        <v>2.7644230769230768E-2</v>
      </c>
    </row>
    <row r="1852" spans="20:21" x14ac:dyDescent="0.25">
      <c r="T1852" s="57">
        <v>38346</v>
      </c>
      <c r="U1852" s="41">
        <v>2.6548672566371681E-2</v>
      </c>
    </row>
    <row r="1853" spans="20:21" x14ac:dyDescent="0.25">
      <c r="T1853" s="57">
        <v>38347</v>
      </c>
      <c r="U1853" s="41">
        <v>2.8776978417266189E-2</v>
      </c>
    </row>
    <row r="1854" spans="20:21" x14ac:dyDescent="0.25">
      <c r="T1854" s="57">
        <v>38354</v>
      </c>
      <c r="U1854" s="41">
        <v>4.4919786096256686E-2</v>
      </c>
    </row>
    <row r="1855" spans="20:21" x14ac:dyDescent="0.25">
      <c r="T1855" s="57">
        <v>38361</v>
      </c>
      <c r="U1855" s="41">
        <v>4.0192926045016078E-2</v>
      </c>
    </row>
    <row r="1856" spans="20:21" x14ac:dyDescent="0.25">
      <c r="T1856" s="57">
        <v>38368</v>
      </c>
      <c r="U1856" s="41">
        <v>3.4090909090909088E-2</v>
      </c>
    </row>
    <row r="1857" spans="20:21" x14ac:dyDescent="0.25">
      <c r="T1857" s="57">
        <v>38375</v>
      </c>
      <c r="U1857" s="41">
        <v>2.3454157782515993E-2</v>
      </c>
    </row>
    <row r="1858" spans="20:21" x14ac:dyDescent="0.25">
      <c r="T1858" s="57">
        <v>38382</v>
      </c>
      <c r="U1858" s="41">
        <v>1.7326732673267328E-2</v>
      </c>
    </row>
    <row r="1859" spans="20:21" x14ac:dyDescent="0.25">
      <c r="T1859" s="57">
        <v>38389</v>
      </c>
      <c r="U1859" s="41">
        <v>1.7421602787456445E-2</v>
      </c>
    </row>
    <row r="1860" spans="20:21" x14ac:dyDescent="0.25">
      <c r="T1860" s="57">
        <v>38396</v>
      </c>
      <c r="U1860" s="41">
        <v>1.4925373134328358E-2</v>
      </c>
    </row>
    <row r="1861" spans="20:21" x14ac:dyDescent="0.25">
      <c r="T1861" s="57">
        <v>38403</v>
      </c>
      <c r="U1861" s="41">
        <v>2.2813688212927757E-2</v>
      </c>
    </row>
    <row r="1862" spans="20:21" x14ac:dyDescent="0.25">
      <c r="T1862" s="57">
        <v>38410</v>
      </c>
      <c r="U1862" s="41">
        <v>2.567237163814181E-2</v>
      </c>
    </row>
    <row r="1863" spans="20:21" x14ac:dyDescent="0.25">
      <c r="T1863" s="57">
        <v>38417</v>
      </c>
      <c r="U1863" s="41">
        <v>1.368421052631579E-2</v>
      </c>
    </row>
    <row r="1864" spans="20:21" x14ac:dyDescent="0.25">
      <c r="T1864" s="57">
        <v>38424</v>
      </c>
      <c r="U1864" s="41">
        <v>3.0769230769230771E-2</v>
      </c>
    </row>
    <row r="1865" spans="20:21" x14ac:dyDescent="0.25">
      <c r="T1865" s="57">
        <v>38431</v>
      </c>
      <c r="U1865" s="41">
        <v>1.023391812865497E-2</v>
      </c>
    </row>
    <row r="1866" spans="20:21" x14ac:dyDescent="0.25">
      <c r="T1866" s="57">
        <v>38431</v>
      </c>
      <c r="U1866" s="41">
        <v>2.3400936037441498E-2</v>
      </c>
    </row>
    <row r="1867" spans="20:21" x14ac:dyDescent="0.25">
      <c r="T1867" s="57">
        <v>38438</v>
      </c>
      <c r="U1867" s="41">
        <v>2.5732031943212066E-2</v>
      </c>
    </row>
    <row r="1868" spans="20:21" x14ac:dyDescent="0.25">
      <c r="T1868" s="57">
        <v>38445</v>
      </c>
      <c r="U1868" s="41">
        <v>2.5316455696202531E-2</v>
      </c>
    </row>
    <row r="1869" spans="20:21" x14ac:dyDescent="0.25">
      <c r="T1869" s="57">
        <v>38450</v>
      </c>
      <c r="U1869" s="41">
        <v>2.5316455696202531E-2</v>
      </c>
    </row>
    <row r="1870" spans="20:21" x14ac:dyDescent="0.25">
      <c r="T1870" s="57">
        <v>38452</v>
      </c>
      <c r="U1870" s="41">
        <v>2.8528528528528527E-2</v>
      </c>
    </row>
    <row r="1871" spans="20:21" x14ac:dyDescent="0.25">
      <c r="T1871" s="57">
        <v>38459</v>
      </c>
      <c r="U1871" s="41">
        <v>2.309782608695652E-2</v>
      </c>
    </row>
    <row r="1872" spans="20:21" x14ac:dyDescent="0.25">
      <c r="T1872" s="57">
        <v>38466</v>
      </c>
      <c r="U1872" s="41">
        <v>2.4E-2</v>
      </c>
    </row>
    <row r="1873" spans="20:21" x14ac:dyDescent="0.25">
      <c r="T1873" s="57">
        <v>38473</v>
      </c>
      <c r="U1873" s="41">
        <v>3.5765379113018601E-2</v>
      </c>
    </row>
    <row r="1874" spans="20:21" x14ac:dyDescent="0.25">
      <c r="T1874" s="57">
        <v>38477</v>
      </c>
      <c r="U1874" s="41">
        <v>2.0600858369098713E-2</v>
      </c>
    </row>
    <row r="1875" spans="20:21" x14ac:dyDescent="0.25">
      <c r="T1875" s="57">
        <v>38480</v>
      </c>
      <c r="U1875" s="41">
        <v>3.7383177570093455E-2</v>
      </c>
    </row>
    <row r="1876" spans="20:21" x14ac:dyDescent="0.25">
      <c r="T1876" s="57">
        <v>38487</v>
      </c>
      <c r="U1876" s="41">
        <v>3.669724770642202E-2</v>
      </c>
    </row>
    <row r="1877" spans="20:21" x14ac:dyDescent="0.25">
      <c r="T1877" s="57">
        <v>38494</v>
      </c>
      <c r="U1877" s="41">
        <v>4.0169133192389003E-2</v>
      </c>
    </row>
    <row r="1878" spans="20:21" x14ac:dyDescent="0.25">
      <c r="T1878" s="57">
        <v>38501</v>
      </c>
      <c r="U1878" s="41">
        <v>2.564102564102564E-2</v>
      </c>
    </row>
    <row r="1879" spans="20:21" x14ac:dyDescent="0.25">
      <c r="T1879" s="57">
        <v>38508</v>
      </c>
      <c r="U1879" s="41">
        <v>2.1863117870722433E-2</v>
      </c>
    </row>
    <row r="1880" spans="20:21" x14ac:dyDescent="0.25">
      <c r="T1880" s="57">
        <v>38515</v>
      </c>
      <c r="U1880" s="41">
        <v>2.2072936660268713E-2</v>
      </c>
    </row>
    <row r="1881" spans="20:21" x14ac:dyDescent="0.25">
      <c r="T1881" s="57">
        <v>38522</v>
      </c>
      <c r="U1881" s="41">
        <v>1.9889502762430938E-2</v>
      </c>
    </row>
    <row r="1882" spans="20:21" x14ac:dyDescent="0.25">
      <c r="T1882" s="57">
        <v>38529</v>
      </c>
      <c r="U1882" s="41">
        <v>2.7552674230145867E-2</v>
      </c>
    </row>
    <row r="1883" spans="20:21" x14ac:dyDescent="0.25">
      <c r="T1883" s="57">
        <v>38536</v>
      </c>
      <c r="U1883" s="41">
        <v>3.0916844349680169E-2</v>
      </c>
    </row>
    <row r="1884" spans="20:21" x14ac:dyDescent="0.25">
      <c r="T1884" s="57">
        <v>38543</v>
      </c>
      <c r="U1884" s="41">
        <v>1.6798418972332016E-2</v>
      </c>
    </row>
    <row r="1885" spans="20:21" x14ac:dyDescent="0.25">
      <c r="T1885" s="57">
        <v>38550</v>
      </c>
      <c r="U1885" s="41">
        <v>1.4218009478672985E-2</v>
      </c>
    </row>
    <row r="1886" spans="20:21" x14ac:dyDescent="0.25">
      <c r="T1886" s="57">
        <v>38557</v>
      </c>
      <c r="U1886" s="41">
        <v>2.3076923076923078E-2</v>
      </c>
    </row>
    <row r="1887" spans="20:21" x14ac:dyDescent="0.25">
      <c r="T1887" s="57">
        <v>38564</v>
      </c>
      <c r="U1887" s="41">
        <v>1.8111254851228976E-2</v>
      </c>
    </row>
    <row r="1888" spans="20:21" x14ac:dyDescent="0.25">
      <c r="T1888" s="57">
        <v>38571</v>
      </c>
      <c r="U1888" s="41">
        <v>2.9654036243822075E-2</v>
      </c>
    </row>
    <row r="1889" spans="20:21" x14ac:dyDescent="0.25">
      <c r="T1889" s="57">
        <v>38578</v>
      </c>
      <c r="U1889" s="41">
        <v>1.9400352733686066E-2</v>
      </c>
    </row>
    <row r="1890" spans="20:21" x14ac:dyDescent="0.25">
      <c r="T1890" s="57">
        <v>38579</v>
      </c>
      <c r="U1890" s="41">
        <v>2.9702970297029702E-2</v>
      </c>
    </row>
    <row r="1891" spans="20:21" x14ac:dyDescent="0.25">
      <c r="T1891" s="57">
        <v>38585</v>
      </c>
      <c r="U1891" s="41">
        <v>0</v>
      </c>
    </row>
    <row r="1892" spans="20:21" x14ac:dyDescent="0.25">
      <c r="T1892" s="57">
        <v>38592</v>
      </c>
      <c r="U1892" s="41">
        <v>2.598870056497175E-2</v>
      </c>
    </row>
    <row r="1893" spans="20:21" x14ac:dyDescent="0.25">
      <c r="T1893" s="57">
        <v>38599</v>
      </c>
      <c r="U1893" s="41">
        <v>1.6597510373443983E-2</v>
      </c>
    </row>
    <row r="1894" spans="20:21" x14ac:dyDescent="0.25">
      <c r="T1894" s="57">
        <v>38606</v>
      </c>
      <c r="U1894" s="41">
        <v>6.369426751592357E-3</v>
      </c>
    </row>
    <row r="1895" spans="20:21" x14ac:dyDescent="0.25">
      <c r="T1895" s="57">
        <v>38613</v>
      </c>
      <c r="U1895" s="41">
        <v>2.5078369905956112E-2</v>
      </c>
    </row>
    <row r="1896" spans="20:21" x14ac:dyDescent="0.25">
      <c r="T1896" s="57">
        <v>38620</v>
      </c>
      <c r="U1896" s="41">
        <v>3.2581453634085211E-2</v>
      </c>
    </row>
    <row r="1897" spans="20:21" x14ac:dyDescent="0.25">
      <c r="T1897" s="57">
        <v>38627</v>
      </c>
      <c r="U1897" s="41">
        <v>2.7253668763102725E-2</v>
      </c>
    </row>
    <row r="1898" spans="20:21" x14ac:dyDescent="0.25">
      <c r="T1898" s="57">
        <v>38634</v>
      </c>
      <c r="U1898" s="41">
        <v>4.7026279391424619E-2</v>
      </c>
    </row>
    <row r="1899" spans="20:21" x14ac:dyDescent="0.25">
      <c r="T1899" s="57">
        <v>38641</v>
      </c>
      <c r="U1899" s="41">
        <v>3.1578947368421054E-2</v>
      </c>
    </row>
    <row r="1900" spans="20:21" x14ac:dyDescent="0.25">
      <c r="T1900" s="57">
        <v>38648</v>
      </c>
      <c r="U1900" s="41">
        <v>6.6945606694560664E-2</v>
      </c>
    </row>
    <row r="1901" spans="20:21" x14ac:dyDescent="0.25">
      <c r="T1901" s="57">
        <v>38655</v>
      </c>
      <c r="U1901" s="41">
        <v>1.4537902388369679E-2</v>
      </c>
    </row>
    <row r="1902" spans="20:21" x14ac:dyDescent="0.25">
      <c r="T1902" s="57">
        <v>38657</v>
      </c>
      <c r="U1902" s="41">
        <v>2.2093023255813953E-2</v>
      </c>
    </row>
    <row r="1903" spans="20:21" x14ac:dyDescent="0.25">
      <c r="T1903" s="57">
        <v>38662</v>
      </c>
      <c r="U1903" s="41">
        <v>1.9271948608137045E-2</v>
      </c>
    </row>
    <row r="1904" spans="20:21" x14ac:dyDescent="0.25">
      <c r="T1904" s="57">
        <v>38669</v>
      </c>
      <c r="U1904" s="41">
        <v>2.8806584362139918E-2</v>
      </c>
    </row>
    <row r="1905" spans="20:21" x14ac:dyDescent="0.25">
      <c r="T1905" s="57">
        <v>38676</v>
      </c>
      <c r="U1905" s="41">
        <v>2.0814479638009049E-2</v>
      </c>
    </row>
    <row r="1906" spans="20:21" x14ac:dyDescent="0.25">
      <c r="T1906" s="57">
        <v>38683</v>
      </c>
      <c r="U1906" s="41">
        <v>2.8846153846153848E-2</v>
      </c>
    </row>
    <row r="1907" spans="20:21" x14ac:dyDescent="0.25">
      <c r="T1907" s="57">
        <v>38690</v>
      </c>
      <c r="U1907" s="41">
        <v>1.5845070422535211E-2</v>
      </c>
    </row>
    <row r="1908" spans="20:21" x14ac:dyDescent="0.25">
      <c r="T1908" s="57">
        <v>38697</v>
      </c>
      <c r="U1908" s="41">
        <v>1.5306122448979591E-2</v>
      </c>
    </row>
    <row r="1909" spans="20:21" x14ac:dyDescent="0.25">
      <c r="T1909" s="57">
        <v>38704</v>
      </c>
      <c r="U1909" s="41">
        <v>2.8284098051539912E-2</v>
      </c>
    </row>
    <row r="1910" spans="20:21" x14ac:dyDescent="0.25">
      <c r="T1910" s="57">
        <v>38710</v>
      </c>
      <c r="U1910" s="41">
        <v>2.402022756005057E-2</v>
      </c>
    </row>
    <row r="1911" spans="20:21" x14ac:dyDescent="0.25">
      <c r="T1911" s="57">
        <v>38711</v>
      </c>
      <c r="U1911" s="41">
        <v>2.3720349563046191E-2</v>
      </c>
    </row>
    <row r="1912" spans="20:21" x14ac:dyDescent="0.25">
      <c r="T1912" s="57">
        <v>38718</v>
      </c>
      <c r="U1912" s="41">
        <v>1.7094017094017096E-2</v>
      </c>
    </row>
    <row r="1913" spans="20:21" x14ac:dyDescent="0.25">
      <c r="T1913" s="57">
        <v>38725</v>
      </c>
      <c r="U1913" s="41">
        <v>8.6741016109045856E-3</v>
      </c>
    </row>
    <row r="1914" spans="20:21" x14ac:dyDescent="0.25">
      <c r="T1914" s="57">
        <v>38732</v>
      </c>
      <c r="U1914" s="41">
        <v>7.6045627376425855E-3</v>
      </c>
    </row>
    <row r="1915" spans="20:21" x14ac:dyDescent="0.25">
      <c r="T1915" s="57">
        <v>38739</v>
      </c>
      <c r="U1915" s="41">
        <v>2.8428093645484948E-2</v>
      </c>
    </row>
    <row r="1916" spans="20:21" x14ac:dyDescent="0.25">
      <c r="T1916" s="57">
        <v>38746</v>
      </c>
      <c r="U1916" s="41">
        <v>1.4204545454545454E-2</v>
      </c>
    </row>
    <row r="1917" spans="20:21" x14ac:dyDescent="0.25">
      <c r="T1917" s="57">
        <v>38753</v>
      </c>
      <c r="U1917" s="41">
        <v>0.02</v>
      </c>
    </row>
    <row r="1918" spans="20:21" x14ac:dyDescent="0.25">
      <c r="T1918" s="57">
        <v>38760</v>
      </c>
      <c r="U1918" s="41">
        <v>8.6042065009560229E-3</v>
      </c>
    </row>
    <row r="1919" spans="20:21" x14ac:dyDescent="0.25">
      <c r="T1919" s="57">
        <v>38767</v>
      </c>
      <c r="U1919" s="41">
        <v>3.3591731266149873E-2</v>
      </c>
    </row>
    <row r="1920" spans="20:21" x14ac:dyDescent="0.25">
      <c r="T1920" s="57">
        <v>38774</v>
      </c>
      <c r="U1920" s="41">
        <v>1.5736766809728183E-2</v>
      </c>
    </row>
    <row r="1921" spans="20:21" x14ac:dyDescent="0.25">
      <c r="T1921" s="57">
        <v>38781</v>
      </c>
      <c r="U1921" s="41">
        <v>4.6772684752104769E-3</v>
      </c>
    </row>
    <row r="1922" spans="20:21" x14ac:dyDescent="0.25">
      <c r="T1922" s="57">
        <v>38788</v>
      </c>
      <c r="U1922" s="41">
        <v>2.7131782945736434E-2</v>
      </c>
    </row>
    <row r="1923" spans="20:21" x14ac:dyDescent="0.25">
      <c r="T1923" s="57">
        <v>38795</v>
      </c>
      <c r="U1923" s="41">
        <v>3.8231780167264036E-2</v>
      </c>
    </row>
    <row r="1924" spans="20:21" x14ac:dyDescent="0.25">
      <c r="T1924" s="57">
        <v>38802</v>
      </c>
      <c r="U1924" s="41">
        <v>2.0247469066366704E-2</v>
      </c>
    </row>
    <row r="1925" spans="20:21" x14ac:dyDescent="0.25">
      <c r="T1925" s="57">
        <v>38809</v>
      </c>
      <c r="U1925" s="41">
        <v>1.8518518518518517E-2</v>
      </c>
    </row>
    <row r="1926" spans="20:21" x14ac:dyDescent="0.25">
      <c r="T1926" s="57">
        <v>38816</v>
      </c>
      <c r="U1926" s="41">
        <v>1.5604681404421327E-2</v>
      </c>
    </row>
    <row r="1927" spans="20:21" x14ac:dyDescent="0.25">
      <c r="T1927" s="57">
        <v>38823</v>
      </c>
      <c r="U1927" s="41">
        <v>4.1431261770244823E-2</v>
      </c>
    </row>
    <row r="1928" spans="20:21" x14ac:dyDescent="0.25">
      <c r="T1928" s="57">
        <v>38830</v>
      </c>
      <c r="U1928" s="41">
        <v>2.9540481400437638E-2</v>
      </c>
    </row>
    <row r="1929" spans="20:21" x14ac:dyDescent="0.25">
      <c r="T1929" s="57">
        <v>38837</v>
      </c>
      <c r="U1929" s="41">
        <v>1.5290519877675841E-2</v>
      </c>
    </row>
    <row r="1930" spans="20:21" x14ac:dyDescent="0.25">
      <c r="T1930" s="57">
        <v>38844</v>
      </c>
      <c r="U1930" s="41">
        <v>2.564102564102564E-2</v>
      </c>
    </row>
    <row r="1931" spans="20:21" x14ac:dyDescent="0.25">
      <c r="T1931" s="57">
        <v>38851</v>
      </c>
      <c r="U1931" s="41">
        <v>2.0026702269692925E-2</v>
      </c>
    </row>
    <row r="1932" spans="20:21" x14ac:dyDescent="0.25">
      <c r="T1932" s="57">
        <v>38858</v>
      </c>
      <c r="U1932" s="41">
        <v>1.2254901960784314E-2</v>
      </c>
    </row>
    <row r="1933" spans="20:21" x14ac:dyDescent="0.25">
      <c r="T1933" s="57">
        <v>38862</v>
      </c>
      <c r="U1933" s="41">
        <v>2.318840579710145E-2</v>
      </c>
    </row>
    <row r="1934" spans="20:21" x14ac:dyDescent="0.25">
      <c r="T1934" s="57">
        <v>38865</v>
      </c>
      <c r="U1934" s="41">
        <v>4.0241448692152921E-3</v>
      </c>
    </row>
    <row r="1935" spans="20:21" x14ac:dyDescent="0.25">
      <c r="T1935" s="57">
        <v>38872</v>
      </c>
      <c r="U1935" s="41">
        <v>4.3204320432043204E-2</v>
      </c>
    </row>
    <row r="1936" spans="20:21" x14ac:dyDescent="0.25">
      <c r="T1936" s="57">
        <v>38879</v>
      </c>
      <c r="U1936" s="41">
        <v>2.9955947136563875E-2</v>
      </c>
    </row>
    <row r="1937" spans="20:21" x14ac:dyDescent="0.25">
      <c r="T1937" s="57">
        <v>38886</v>
      </c>
      <c r="U1937" s="41">
        <v>4.4642857142857144E-2</v>
      </c>
    </row>
    <row r="1938" spans="20:21" x14ac:dyDescent="0.25">
      <c r="T1938" s="57">
        <v>38893</v>
      </c>
      <c r="U1938" s="41">
        <v>1.6949152542372881E-2</v>
      </c>
    </row>
    <row r="1939" spans="20:21" x14ac:dyDescent="0.25">
      <c r="T1939" s="57">
        <v>38900</v>
      </c>
      <c r="U1939" s="41">
        <v>1.8867924528301886E-2</v>
      </c>
    </row>
    <row r="1940" spans="20:21" x14ac:dyDescent="0.25">
      <c r="T1940" s="57">
        <v>38907</v>
      </c>
      <c r="U1940" s="41">
        <v>3.3846153846153845E-2</v>
      </c>
    </row>
    <row r="1941" spans="20:21" x14ac:dyDescent="0.25">
      <c r="T1941" s="57">
        <v>38914</v>
      </c>
      <c r="U1941" s="41">
        <v>2.5358324145534728E-2</v>
      </c>
    </row>
    <row r="1942" spans="20:21" x14ac:dyDescent="0.25">
      <c r="T1942" s="57">
        <v>38921</v>
      </c>
      <c r="U1942" s="41">
        <v>2.8895768833849329E-2</v>
      </c>
    </row>
    <row r="1943" spans="20:21" x14ac:dyDescent="0.25">
      <c r="T1943" s="57">
        <v>38928</v>
      </c>
      <c r="U1943" s="41">
        <v>1.951951951951952E-2</v>
      </c>
    </row>
    <row r="1944" spans="20:21" x14ac:dyDescent="0.25">
      <c r="T1944" s="57">
        <v>38935</v>
      </c>
      <c r="U1944" s="41">
        <v>2.9818956336528223E-2</v>
      </c>
    </row>
    <row r="1945" spans="20:21" x14ac:dyDescent="0.25">
      <c r="T1945" s="57">
        <v>38942</v>
      </c>
      <c r="U1945" s="41">
        <v>2.9106029106029108E-2</v>
      </c>
    </row>
    <row r="1946" spans="20:21" x14ac:dyDescent="0.25">
      <c r="T1946" s="57">
        <v>38944</v>
      </c>
      <c r="U1946" s="41">
        <v>2.0168067226890758E-2</v>
      </c>
    </row>
    <row r="1947" spans="20:21" x14ac:dyDescent="0.25">
      <c r="T1947" s="57">
        <v>38949</v>
      </c>
      <c r="U1947" s="41">
        <v>3.0217186024551465E-2</v>
      </c>
    </row>
    <row r="1948" spans="20:21" x14ac:dyDescent="0.25">
      <c r="T1948" s="57">
        <v>38956</v>
      </c>
      <c r="U1948" s="41">
        <v>3.177257525083612E-2</v>
      </c>
    </row>
    <row r="1949" spans="20:21" x14ac:dyDescent="0.25">
      <c r="T1949" s="57">
        <v>38963</v>
      </c>
      <c r="U1949" s="41">
        <v>2.508361204013378E-2</v>
      </c>
    </row>
    <row r="1950" spans="20:21" x14ac:dyDescent="0.25">
      <c r="T1950" s="57">
        <v>38970</v>
      </c>
      <c r="U1950" s="41">
        <v>3.0303030303030304E-2</v>
      </c>
    </row>
    <row r="1951" spans="20:21" x14ac:dyDescent="0.25">
      <c r="T1951" s="57">
        <v>38977</v>
      </c>
      <c r="U1951" s="41">
        <v>3.1219512195121951E-2</v>
      </c>
    </row>
    <row r="1952" spans="20:21" x14ac:dyDescent="0.25">
      <c r="T1952" s="57">
        <v>38984</v>
      </c>
      <c r="U1952" s="41">
        <v>2.3454157782515993E-2</v>
      </c>
    </row>
    <row r="1953" spans="20:21" x14ac:dyDescent="0.25">
      <c r="T1953" s="57">
        <v>38991</v>
      </c>
      <c r="U1953" s="41">
        <v>3.2148900169204735E-2</v>
      </c>
    </row>
    <row r="1954" spans="20:21" x14ac:dyDescent="0.25">
      <c r="T1954" s="57">
        <v>38998</v>
      </c>
      <c r="U1954" s="41">
        <v>1.9077901430842606E-2</v>
      </c>
    </row>
    <row r="1955" spans="20:21" x14ac:dyDescent="0.25">
      <c r="T1955" s="57">
        <v>39005</v>
      </c>
      <c r="U1955" s="41">
        <v>2.4110218140068886E-2</v>
      </c>
    </row>
    <row r="1956" spans="20:21" x14ac:dyDescent="0.25">
      <c r="T1956" s="57">
        <v>39012</v>
      </c>
      <c r="U1956" s="41">
        <v>1.8789144050104383E-2</v>
      </c>
    </row>
    <row r="1957" spans="20:21" x14ac:dyDescent="0.25">
      <c r="T1957" s="57">
        <v>39019</v>
      </c>
      <c r="U1957" s="41">
        <v>1.5037593984962405E-2</v>
      </c>
    </row>
    <row r="1958" spans="20:21" x14ac:dyDescent="0.25">
      <c r="T1958" s="57">
        <v>39022</v>
      </c>
      <c r="U1958" s="41">
        <v>1.646090534979424E-2</v>
      </c>
    </row>
    <row r="1959" spans="20:21" x14ac:dyDescent="0.25">
      <c r="T1959" s="57">
        <v>39026</v>
      </c>
      <c r="U1959" s="41">
        <v>2.3809523809523808E-2</v>
      </c>
    </row>
    <row r="1960" spans="20:21" x14ac:dyDescent="0.25">
      <c r="T1960" s="57">
        <v>39033</v>
      </c>
      <c r="U1960" s="41">
        <v>2.7237354085603113E-2</v>
      </c>
    </row>
    <row r="1961" spans="20:21" x14ac:dyDescent="0.25">
      <c r="T1961" s="57">
        <v>39040</v>
      </c>
      <c r="U1961" s="41">
        <v>2.8322440087145968E-2</v>
      </c>
    </row>
    <row r="1962" spans="20:21" x14ac:dyDescent="0.25">
      <c r="T1962" s="57">
        <v>39047</v>
      </c>
      <c r="U1962" s="41">
        <v>1.5706806282722512E-2</v>
      </c>
    </row>
    <row r="1963" spans="20:21" x14ac:dyDescent="0.25">
      <c r="T1963" s="57">
        <v>39054</v>
      </c>
      <c r="U1963" s="41">
        <v>2.0047169811320754E-2</v>
      </c>
    </row>
    <row r="1964" spans="20:21" x14ac:dyDescent="0.25">
      <c r="T1964" s="57">
        <v>39061</v>
      </c>
      <c r="U1964" s="41">
        <v>1.2048192771084338E-2</v>
      </c>
    </row>
    <row r="1965" spans="20:21" x14ac:dyDescent="0.25">
      <c r="T1965" s="57">
        <v>39068</v>
      </c>
      <c r="U1965" s="41">
        <v>1.4457831325301205E-2</v>
      </c>
    </row>
    <row r="1966" spans="20:21" x14ac:dyDescent="0.25">
      <c r="T1966" s="57">
        <v>39075</v>
      </c>
      <c r="U1966" s="41">
        <v>9.0791180285343717E-3</v>
      </c>
    </row>
    <row r="1967" spans="20:21" x14ac:dyDescent="0.25">
      <c r="T1967" s="57">
        <v>39075</v>
      </c>
      <c r="U1967" s="41">
        <v>2.6647966339410939E-2</v>
      </c>
    </row>
    <row r="1968" spans="20:21" x14ac:dyDescent="0.25">
      <c r="T1968" s="57">
        <v>39076</v>
      </c>
      <c r="U1968" s="41">
        <v>5.3763440860215055E-2</v>
      </c>
    </row>
    <row r="1969" spans="20:21" x14ac:dyDescent="0.25">
      <c r="T1969" s="57">
        <v>39082</v>
      </c>
      <c r="U1969" s="41">
        <v>3.111111111111111E-2</v>
      </c>
    </row>
    <row r="1970" spans="20:21" x14ac:dyDescent="0.25">
      <c r="T1970" s="57">
        <v>39089</v>
      </c>
      <c r="U1970" s="41">
        <v>2.0501138952164009E-2</v>
      </c>
    </row>
    <row r="1971" spans="20:21" x14ac:dyDescent="0.25">
      <c r="T1971" s="57">
        <v>39096</v>
      </c>
      <c r="U1971" s="41">
        <v>1.4893617021276596E-2</v>
      </c>
    </row>
    <row r="1972" spans="20:21" x14ac:dyDescent="0.25">
      <c r="T1972" s="57">
        <v>39103</v>
      </c>
      <c r="U1972" s="41">
        <v>1.4606741573033709E-2</v>
      </c>
    </row>
    <row r="1973" spans="20:21" x14ac:dyDescent="0.25">
      <c r="T1973" s="57">
        <v>39110</v>
      </c>
      <c r="U1973" s="41">
        <v>1.9889502762430938E-2</v>
      </c>
    </row>
    <row r="1974" spans="20:21" x14ac:dyDescent="0.25">
      <c r="T1974" s="57">
        <v>39117</v>
      </c>
      <c r="U1974" s="41">
        <v>2.5210084033613446E-2</v>
      </c>
    </row>
    <row r="1975" spans="20:21" x14ac:dyDescent="0.25">
      <c r="T1975" s="57">
        <v>39124</v>
      </c>
      <c r="U1975" s="41">
        <v>6.0975609756097563E-3</v>
      </c>
    </row>
    <row r="1976" spans="20:21" x14ac:dyDescent="0.25">
      <c r="T1976" s="57">
        <v>39131</v>
      </c>
      <c r="U1976" s="41">
        <v>4.8338368580060423E-2</v>
      </c>
    </row>
    <row r="1977" spans="20:21" x14ac:dyDescent="0.25">
      <c r="T1977" s="57">
        <v>39138</v>
      </c>
      <c r="U1977" s="41">
        <v>1.5957446808510637E-2</v>
      </c>
    </row>
    <row r="1978" spans="20:21" x14ac:dyDescent="0.25">
      <c r="T1978" s="57">
        <v>39145</v>
      </c>
      <c r="U1978" s="41">
        <v>3.1991744066047469E-2</v>
      </c>
    </row>
    <row r="1979" spans="20:21" x14ac:dyDescent="0.25">
      <c r="T1979" s="57">
        <v>39152</v>
      </c>
      <c r="U1979" s="41">
        <v>2.9315960912052116E-2</v>
      </c>
    </row>
    <row r="1980" spans="20:21" x14ac:dyDescent="0.25">
      <c r="T1980" s="57">
        <v>39159</v>
      </c>
      <c r="U1980" s="41">
        <v>2.1043000914913082E-2</v>
      </c>
    </row>
    <row r="1981" spans="20:21" x14ac:dyDescent="0.25">
      <c r="T1981" s="57">
        <v>39166</v>
      </c>
      <c r="U1981" s="41">
        <v>1.834862385321101E-2</v>
      </c>
    </row>
    <row r="1982" spans="20:21" x14ac:dyDescent="0.25">
      <c r="T1982" s="57">
        <v>39173</v>
      </c>
      <c r="U1982" s="41">
        <v>2.0050125313283207E-2</v>
      </c>
    </row>
    <row r="1983" spans="20:21" x14ac:dyDescent="0.25">
      <c r="T1983" s="57">
        <v>39180</v>
      </c>
      <c r="U1983" s="41">
        <v>1.5312131919905771E-2</v>
      </c>
    </row>
    <row r="1984" spans="20:21" x14ac:dyDescent="0.25">
      <c r="T1984" s="57">
        <v>39187</v>
      </c>
      <c r="U1984" s="41">
        <v>2.5408348457350273E-2</v>
      </c>
    </row>
    <row r="1985" spans="20:21" x14ac:dyDescent="0.25">
      <c r="T1985" s="57">
        <v>39194</v>
      </c>
      <c r="U1985" s="41">
        <v>1.4358974358974359E-2</v>
      </c>
    </row>
    <row r="1986" spans="20:21" x14ac:dyDescent="0.25">
      <c r="T1986" s="57">
        <v>39201</v>
      </c>
      <c r="U1986" s="41">
        <v>2.1814006888633754E-2</v>
      </c>
    </row>
    <row r="1987" spans="20:21" x14ac:dyDescent="0.25">
      <c r="T1987" s="57">
        <v>39208</v>
      </c>
      <c r="U1987" s="41">
        <v>2.4767801857585141E-2</v>
      </c>
    </row>
    <row r="1988" spans="20:21" x14ac:dyDescent="0.25">
      <c r="T1988" s="57">
        <v>39215</v>
      </c>
      <c r="U1988" s="41">
        <v>3.0303030303030304E-2</v>
      </c>
    </row>
    <row r="1989" spans="20:21" x14ac:dyDescent="0.25">
      <c r="T1989" s="57">
        <v>39219</v>
      </c>
      <c r="U1989" s="41">
        <v>2.3657870791628753E-2</v>
      </c>
    </row>
    <row r="1990" spans="20:21" x14ac:dyDescent="0.25">
      <c r="T1990" s="57">
        <v>39222</v>
      </c>
      <c r="U1990" s="41">
        <v>1.60481444332999E-2</v>
      </c>
    </row>
    <row r="1991" spans="20:21" x14ac:dyDescent="0.25">
      <c r="T1991" s="57">
        <v>39229</v>
      </c>
      <c r="U1991" s="41">
        <v>1.4598540145985401E-2</v>
      </c>
    </row>
    <row r="1992" spans="20:21" x14ac:dyDescent="0.25">
      <c r="T1992" s="57">
        <v>39236</v>
      </c>
      <c r="U1992" s="41">
        <v>3.5755478662053058E-2</v>
      </c>
    </row>
    <row r="1993" spans="20:21" x14ac:dyDescent="0.25">
      <c r="T1993" s="57">
        <v>39243</v>
      </c>
      <c r="U1993" s="41">
        <v>1.5783540022547914E-2</v>
      </c>
    </row>
    <row r="1994" spans="20:21" x14ac:dyDescent="0.25">
      <c r="T1994" s="57">
        <v>39250</v>
      </c>
      <c r="U1994" s="41">
        <v>3.1825795644891124E-2</v>
      </c>
    </row>
    <row r="1995" spans="20:21" x14ac:dyDescent="0.25">
      <c r="T1995" s="57">
        <v>39257</v>
      </c>
      <c r="U1995" s="41">
        <v>1.7241379310344827E-2</v>
      </c>
    </row>
    <row r="1996" spans="20:21" x14ac:dyDescent="0.25">
      <c r="T1996" s="57">
        <v>39264</v>
      </c>
      <c r="U1996" s="41">
        <v>2.1914648212226068E-2</v>
      </c>
    </row>
    <row r="1997" spans="20:21" x14ac:dyDescent="0.25">
      <c r="T1997" s="57">
        <v>39271</v>
      </c>
      <c r="U1997" s="41">
        <v>2.1680216802168022E-2</v>
      </c>
    </row>
    <row r="1998" spans="20:21" x14ac:dyDescent="0.25">
      <c r="T1998" s="57">
        <v>39278</v>
      </c>
      <c r="U1998" s="41">
        <v>2.1528525296017224E-2</v>
      </c>
    </row>
    <row r="1999" spans="20:21" x14ac:dyDescent="0.25">
      <c r="T1999" s="57">
        <v>39285</v>
      </c>
      <c r="U1999" s="41">
        <v>1.6891891891891893E-2</v>
      </c>
    </row>
    <row r="2000" spans="20:21" x14ac:dyDescent="0.25">
      <c r="T2000" s="57">
        <v>39292</v>
      </c>
      <c r="U2000" s="41">
        <v>3.8062283737024222E-2</v>
      </c>
    </row>
    <row r="2001" spans="20:21" x14ac:dyDescent="0.25">
      <c r="T2001" s="57">
        <v>39299</v>
      </c>
      <c r="U2001" s="41">
        <v>2.616279069767442E-2</v>
      </c>
    </row>
    <row r="2002" spans="20:21" x14ac:dyDescent="0.25">
      <c r="T2002" s="57">
        <v>39306</v>
      </c>
      <c r="U2002" s="41">
        <v>2.6815642458100558E-2</v>
      </c>
    </row>
    <row r="2003" spans="20:21" x14ac:dyDescent="0.25">
      <c r="T2003" s="57">
        <v>39309</v>
      </c>
      <c r="U2003" s="41">
        <v>1.8264840182648401E-2</v>
      </c>
    </row>
    <row r="2004" spans="20:21" x14ac:dyDescent="0.25">
      <c r="T2004" s="57">
        <v>39313</v>
      </c>
      <c r="U2004" s="41">
        <v>4.0705563093622797E-2</v>
      </c>
    </row>
    <row r="2005" spans="20:21" x14ac:dyDescent="0.25">
      <c r="T2005" s="57">
        <v>39320</v>
      </c>
      <c r="U2005" s="41">
        <v>1.9650655021834062E-2</v>
      </c>
    </row>
    <row r="2006" spans="20:21" x14ac:dyDescent="0.25">
      <c r="T2006" s="57">
        <v>39327</v>
      </c>
      <c r="U2006" s="41">
        <v>2.3407022106631991E-2</v>
      </c>
    </row>
    <row r="2007" spans="20:21" x14ac:dyDescent="0.25">
      <c r="T2007" s="57">
        <v>39334</v>
      </c>
      <c r="U2007" s="41">
        <v>1.4646053702196907E-2</v>
      </c>
    </row>
    <row r="2008" spans="20:21" x14ac:dyDescent="0.25">
      <c r="T2008" s="57">
        <v>39341</v>
      </c>
      <c r="U2008" s="41">
        <v>3.2044198895027624E-2</v>
      </c>
    </row>
    <row r="2009" spans="20:21" x14ac:dyDescent="0.25">
      <c r="T2009" s="57">
        <v>39348</v>
      </c>
      <c r="U2009" s="41">
        <v>3.6870503597122302E-2</v>
      </c>
    </row>
    <row r="2010" spans="20:21" x14ac:dyDescent="0.25">
      <c r="T2010" s="57">
        <v>39355</v>
      </c>
      <c r="U2010" s="41">
        <v>1.4557670772676373E-2</v>
      </c>
    </row>
    <row r="2011" spans="20:21" x14ac:dyDescent="0.25">
      <c r="T2011" s="57">
        <v>39362</v>
      </c>
      <c r="U2011" s="41">
        <v>2.886002886002886E-2</v>
      </c>
    </row>
    <row r="2012" spans="20:21" x14ac:dyDescent="0.25">
      <c r="T2012" s="57">
        <v>39369</v>
      </c>
      <c r="U2012" s="41">
        <v>4.3357933579335796E-2</v>
      </c>
    </row>
    <row r="2013" spans="20:21" x14ac:dyDescent="0.25">
      <c r="T2013" s="57">
        <v>39376</v>
      </c>
      <c r="U2013" s="41">
        <v>3.4444444444444444E-2</v>
      </c>
    </row>
    <row r="2014" spans="20:21" x14ac:dyDescent="0.25">
      <c r="T2014" s="57">
        <v>39383</v>
      </c>
      <c r="U2014" s="41">
        <v>2.7640671273445213E-2</v>
      </c>
    </row>
    <row r="2015" spans="20:21" x14ac:dyDescent="0.25">
      <c r="T2015" s="57">
        <v>39387</v>
      </c>
      <c r="U2015" s="41">
        <v>1.2838801711840228E-2</v>
      </c>
    </row>
    <row r="2016" spans="20:21" x14ac:dyDescent="0.25">
      <c r="T2016" s="57">
        <v>39390</v>
      </c>
      <c r="U2016" s="41">
        <v>3.8152610441767071E-2</v>
      </c>
    </row>
    <row r="2017" spans="20:21" x14ac:dyDescent="0.25">
      <c r="T2017" s="57">
        <v>39397</v>
      </c>
      <c r="U2017" s="41">
        <v>1.9375672766415501E-2</v>
      </c>
    </row>
    <row r="2018" spans="20:21" x14ac:dyDescent="0.25">
      <c r="T2018" s="57">
        <v>39404</v>
      </c>
      <c r="U2018" s="41">
        <v>2.6411657559198543E-2</v>
      </c>
    </row>
    <row r="2019" spans="20:21" x14ac:dyDescent="0.25">
      <c r="T2019" s="57">
        <v>39411</v>
      </c>
      <c r="U2019" s="41">
        <v>3.5108958837772396E-2</v>
      </c>
    </row>
    <row r="2020" spans="20:21" x14ac:dyDescent="0.25">
      <c r="T2020" s="57">
        <v>39418</v>
      </c>
      <c r="U2020" s="41">
        <v>2.0481927710843374E-2</v>
      </c>
    </row>
    <row r="2021" spans="20:21" x14ac:dyDescent="0.25">
      <c r="T2021" s="57">
        <v>39425</v>
      </c>
      <c r="U2021" s="41">
        <v>1.032258064516129E-2</v>
      </c>
    </row>
    <row r="2022" spans="20:21" x14ac:dyDescent="0.25">
      <c r="T2022" s="57">
        <v>39432</v>
      </c>
      <c r="U2022" s="41">
        <v>3.1434184675834968E-2</v>
      </c>
    </row>
    <row r="2023" spans="20:21" x14ac:dyDescent="0.25">
      <c r="T2023" s="57">
        <v>39439</v>
      </c>
      <c r="U2023" s="41">
        <v>1.0463378176382661E-2</v>
      </c>
    </row>
    <row r="2024" spans="20:21" x14ac:dyDescent="0.25">
      <c r="T2024" s="57">
        <v>39440</v>
      </c>
      <c r="U2024" s="41">
        <v>1.1981566820276499E-2</v>
      </c>
    </row>
    <row r="2025" spans="20:21" x14ac:dyDescent="0.25">
      <c r="T2025" s="57">
        <v>39441</v>
      </c>
      <c r="U2025" s="41">
        <v>1.5364916773367477E-2</v>
      </c>
    </row>
    <row r="2026" spans="20:21" x14ac:dyDescent="0.25">
      <c r="T2026" s="57">
        <v>39446</v>
      </c>
      <c r="U2026" s="41">
        <v>1.875901875901876E-2</v>
      </c>
    </row>
    <row r="2027" spans="20:21" x14ac:dyDescent="0.25">
      <c r="T2027" s="57">
        <v>39453</v>
      </c>
      <c r="U2027" s="41">
        <v>1.9088016967126194E-2</v>
      </c>
    </row>
    <row r="2028" spans="20:21" x14ac:dyDescent="0.25">
      <c r="T2028" s="57">
        <v>39460</v>
      </c>
      <c r="U2028" s="41">
        <v>1.5418502202643172E-2</v>
      </c>
    </row>
    <row r="2029" spans="20:21" x14ac:dyDescent="0.25">
      <c r="T2029" s="57">
        <v>39467</v>
      </c>
      <c r="U2029" s="41">
        <v>2.3054755043227664E-2</v>
      </c>
    </row>
    <row r="2030" spans="20:21" x14ac:dyDescent="0.25">
      <c r="T2030" s="57">
        <v>39474</v>
      </c>
      <c r="U2030" s="41">
        <v>3.439153439153439E-2</v>
      </c>
    </row>
    <row r="2031" spans="20:21" x14ac:dyDescent="0.25">
      <c r="T2031" s="57">
        <v>39481</v>
      </c>
      <c r="U2031" s="41">
        <v>1.4099783080260303E-2</v>
      </c>
    </row>
    <row r="2032" spans="20:21" x14ac:dyDescent="0.25">
      <c r="T2032" s="57">
        <v>39488</v>
      </c>
      <c r="U2032" s="41">
        <v>7.9787234042553185E-3</v>
      </c>
    </row>
    <row r="2033" spans="20:21" x14ac:dyDescent="0.25">
      <c r="T2033" s="57">
        <v>39495</v>
      </c>
      <c r="U2033" s="41">
        <v>2.6315789473684209E-2</v>
      </c>
    </row>
    <row r="2034" spans="20:21" x14ac:dyDescent="0.25">
      <c r="T2034" s="57">
        <v>39502</v>
      </c>
      <c r="U2034" s="41">
        <v>1.5400410677618069E-2</v>
      </c>
    </row>
    <row r="2035" spans="20:21" x14ac:dyDescent="0.25">
      <c r="T2035" s="57">
        <v>39509</v>
      </c>
      <c r="U2035" s="41">
        <v>2.3508137432188065E-2</v>
      </c>
    </row>
    <row r="2036" spans="20:21" x14ac:dyDescent="0.25">
      <c r="T2036" s="57">
        <v>39516</v>
      </c>
      <c r="U2036" s="41">
        <v>2.2038567493112948E-2</v>
      </c>
    </row>
    <row r="2037" spans="20:21" x14ac:dyDescent="0.25">
      <c r="T2037" s="57">
        <v>39523</v>
      </c>
      <c r="U2037" s="41">
        <v>2.1308980213089801E-2</v>
      </c>
    </row>
    <row r="2038" spans="20:21" x14ac:dyDescent="0.25">
      <c r="T2038" s="57">
        <v>39530</v>
      </c>
      <c r="U2038" s="41">
        <v>3.7151702786377708E-2</v>
      </c>
    </row>
    <row r="2039" spans="20:21" x14ac:dyDescent="0.25">
      <c r="T2039" s="57">
        <v>39537</v>
      </c>
      <c r="U2039" s="41">
        <v>2.0806241872561769E-2</v>
      </c>
    </row>
    <row r="2040" spans="20:21" x14ac:dyDescent="0.25">
      <c r="T2040" s="57">
        <v>39544</v>
      </c>
      <c r="U2040" s="41">
        <v>3.1192660550458717E-2</v>
      </c>
    </row>
    <row r="2041" spans="20:21" x14ac:dyDescent="0.25">
      <c r="T2041" s="57">
        <v>39551</v>
      </c>
      <c r="U2041" s="41">
        <v>1.5366430260047281E-2</v>
      </c>
    </row>
    <row r="2042" spans="20:21" x14ac:dyDescent="0.25">
      <c r="T2042" s="57">
        <v>39558</v>
      </c>
      <c r="U2042" s="41">
        <v>2.491506228765572E-2</v>
      </c>
    </row>
    <row r="2043" spans="20:21" x14ac:dyDescent="0.25">
      <c r="T2043" s="57">
        <v>39565</v>
      </c>
      <c r="U2043" s="41">
        <v>2.8846153846153848E-2</v>
      </c>
    </row>
    <row r="2044" spans="20:21" x14ac:dyDescent="0.25">
      <c r="T2044" s="57">
        <v>39569</v>
      </c>
      <c r="U2044" s="41">
        <v>3.255813953488372E-2</v>
      </c>
    </row>
    <row r="2045" spans="20:21" x14ac:dyDescent="0.25">
      <c r="T2045" s="57">
        <v>39572</v>
      </c>
      <c r="U2045" s="41">
        <v>3.4990791896869246E-2</v>
      </c>
    </row>
    <row r="2046" spans="20:21" x14ac:dyDescent="0.25">
      <c r="T2046" s="57">
        <v>39579</v>
      </c>
      <c r="U2046" s="41">
        <v>4.1251778093883355E-2</v>
      </c>
    </row>
    <row r="2047" spans="20:21" x14ac:dyDescent="0.25">
      <c r="T2047" s="57">
        <v>39586</v>
      </c>
      <c r="U2047" s="41">
        <v>4.878048780487805E-2</v>
      </c>
    </row>
    <row r="2048" spans="20:21" x14ac:dyDescent="0.25">
      <c r="T2048" s="57">
        <v>39593</v>
      </c>
      <c r="U2048" s="41">
        <v>2.1551724137931036E-2</v>
      </c>
    </row>
    <row r="2049" spans="20:21" x14ac:dyDescent="0.25">
      <c r="T2049" s="57">
        <v>39600</v>
      </c>
      <c r="U2049" s="41">
        <v>2.3976023976023976E-2</v>
      </c>
    </row>
    <row r="2050" spans="20:21" x14ac:dyDescent="0.25">
      <c r="T2050" s="57">
        <v>39607</v>
      </c>
      <c r="U2050" s="41">
        <v>6.3451776649746192E-3</v>
      </c>
    </row>
    <row r="2051" spans="20:21" x14ac:dyDescent="0.25">
      <c r="T2051" s="57">
        <v>39614</v>
      </c>
      <c r="U2051" s="41">
        <v>1.770956316410862E-2</v>
      </c>
    </row>
    <row r="2052" spans="20:21" x14ac:dyDescent="0.25">
      <c r="T2052" s="57">
        <v>39621</v>
      </c>
      <c r="U2052" s="41">
        <v>1.6286644951140065E-2</v>
      </c>
    </row>
    <row r="2053" spans="20:21" x14ac:dyDescent="0.25">
      <c r="T2053" s="57">
        <v>39628</v>
      </c>
      <c r="U2053" s="41">
        <v>4.1621029572836803E-2</v>
      </c>
    </row>
    <row r="2054" spans="20:21" x14ac:dyDescent="0.25">
      <c r="T2054" s="57">
        <v>39635</v>
      </c>
      <c r="U2054" s="41">
        <v>1.5189873417721518E-2</v>
      </c>
    </row>
    <row r="2055" spans="20:21" x14ac:dyDescent="0.25">
      <c r="T2055" s="57">
        <v>39642</v>
      </c>
      <c r="U2055" s="41">
        <v>1.3698630136986301E-2</v>
      </c>
    </row>
    <row r="2056" spans="20:21" x14ac:dyDescent="0.25">
      <c r="T2056" s="57">
        <v>39649</v>
      </c>
      <c r="U2056" s="41">
        <v>4.2521260630315159E-2</v>
      </c>
    </row>
    <row r="2057" spans="20:21" x14ac:dyDescent="0.25">
      <c r="T2057" s="57">
        <v>39656</v>
      </c>
      <c r="U2057" s="41">
        <v>3.870967741935484E-2</v>
      </c>
    </row>
    <row r="2058" spans="20:21" x14ac:dyDescent="0.25">
      <c r="T2058" s="57">
        <v>39663</v>
      </c>
      <c r="U2058" s="41">
        <v>1.0652463382157125E-2</v>
      </c>
    </row>
    <row r="2059" spans="20:21" x14ac:dyDescent="0.25">
      <c r="T2059" s="57">
        <v>39670</v>
      </c>
      <c r="U2059" s="41">
        <v>2.3662551440329218E-2</v>
      </c>
    </row>
    <row r="2060" spans="20:21" x14ac:dyDescent="0.25">
      <c r="T2060" s="57">
        <v>39675</v>
      </c>
      <c r="U2060" s="41">
        <v>2.3653088042049936E-2</v>
      </c>
    </row>
    <row r="2061" spans="20:21" x14ac:dyDescent="0.25">
      <c r="T2061" s="57">
        <v>39677</v>
      </c>
      <c r="U2061" s="41">
        <v>3.3287101248266296E-2</v>
      </c>
    </row>
    <row r="2062" spans="20:21" x14ac:dyDescent="0.25">
      <c r="T2062" s="57">
        <v>39684</v>
      </c>
      <c r="U2062" s="41">
        <v>4.0966386554621849E-2</v>
      </c>
    </row>
    <row r="2063" spans="20:21" x14ac:dyDescent="0.25">
      <c r="T2063" s="57">
        <v>39691</v>
      </c>
      <c r="U2063" s="41">
        <v>2.5675675675675677E-2</v>
      </c>
    </row>
    <row r="2064" spans="20:21" x14ac:dyDescent="0.25">
      <c r="T2064" s="57">
        <v>39698</v>
      </c>
      <c r="U2064" s="41">
        <v>2.2413793103448276E-2</v>
      </c>
    </row>
    <row r="2065" spans="20:21" x14ac:dyDescent="0.25">
      <c r="T2065" s="57">
        <v>39704</v>
      </c>
      <c r="U2065" s="41">
        <v>2.0804438280166437E-2</v>
      </c>
    </row>
    <row r="2066" spans="20:21" x14ac:dyDescent="0.25">
      <c r="T2066" s="57">
        <v>39705</v>
      </c>
      <c r="U2066" s="41">
        <v>2.0348837209302327E-2</v>
      </c>
    </row>
    <row r="2067" spans="20:21" x14ac:dyDescent="0.25">
      <c r="T2067" s="57">
        <v>39712</v>
      </c>
      <c r="U2067" s="41">
        <v>3.0010718113612004E-2</v>
      </c>
    </row>
    <row r="2068" spans="20:21" x14ac:dyDescent="0.25">
      <c r="T2068" s="57">
        <v>39719</v>
      </c>
      <c r="U2068" s="41">
        <v>1.906158357771261E-2</v>
      </c>
    </row>
    <row r="2069" spans="20:21" x14ac:dyDescent="0.25">
      <c r="T2069" s="57">
        <v>39726</v>
      </c>
      <c r="U2069" s="41">
        <v>2.2781774580335732E-2</v>
      </c>
    </row>
    <row r="2070" spans="20:21" x14ac:dyDescent="0.25">
      <c r="T2070" s="57">
        <v>39733</v>
      </c>
      <c r="U2070" s="41">
        <v>2.0481927710843374E-2</v>
      </c>
    </row>
    <row r="2071" spans="20:21" x14ac:dyDescent="0.25">
      <c r="T2071" s="57">
        <v>39740</v>
      </c>
      <c r="U2071" s="41">
        <v>2.4357239512855209E-2</v>
      </c>
    </row>
    <row r="2072" spans="20:21" x14ac:dyDescent="0.25">
      <c r="T2072" s="57">
        <v>39747</v>
      </c>
      <c r="U2072" s="41">
        <v>2.8601694915254237E-2</v>
      </c>
    </row>
    <row r="2073" spans="20:21" x14ac:dyDescent="0.25">
      <c r="T2073" s="57">
        <v>39753</v>
      </c>
      <c r="U2073" s="41">
        <v>2.109300095877277E-2</v>
      </c>
    </row>
    <row r="2074" spans="20:21" x14ac:dyDescent="0.25">
      <c r="T2074" s="57">
        <v>39754</v>
      </c>
      <c r="U2074" s="41">
        <v>1.0025062656641603E-2</v>
      </c>
    </row>
    <row r="2075" spans="20:21" x14ac:dyDescent="0.25">
      <c r="T2075" s="57">
        <v>39761</v>
      </c>
      <c r="U2075" s="41">
        <v>3.6862003780718335E-2</v>
      </c>
    </row>
    <row r="2076" spans="20:21" x14ac:dyDescent="0.25">
      <c r="T2076" s="57">
        <v>39768</v>
      </c>
      <c r="U2076" s="41">
        <v>1.8309859154929577E-2</v>
      </c>
    </row>
    <row r="2077" spans="20:21" x14ac:dyDescent="0.25">
      <c r="T2077" s="57">
        <v>39775</v>
      </c>
      <c r="U2077" s="41">
        <v>3.7037037037037035E-2</v>
      </c>
    </row>
    <row r="2078" spans="20:21" x14ac:dyDescent="0.25">
      <c r="T2078" s="57">
        <v>39782</v>
      </c>
      <c r="U2078" s="41">
        <v>1.6519823788546256E-2</v>
      </c>
    </row>
    <row r="2079" spans="20:21" x14ac:dyDescent="0.25">
      <c r="T2079" s="57">
        <v>39789</v>
      </c>
      <c r="U2079" s="41">
        <v>2.4365482233502538E-2</v>
      </c>
    </row>
    <row r="2080" spans="20:21" x14ac:dyDescent="0.25">
      <c r="T2080" s="57">
        <v>39796</v>
      </c>
      <c r="U2080" s="41">
        <v>1.7543859649122806E-2</v>
      </c>
    </row>
    <row r="2081" spans="20:21" x14ac:dyDescent="0.25">
      <c r="T2081" s="57">
        <v>39803</v>
      </c>
      <c r="U2081" s="41">
        <v>2.5280898876404494E-2</v>
      </c>
    </row>
    <row r="2082" spans="20:21" x14ac:dyDescent="0.25">
      <c r="T2082" s="57">
        <v>39806</v>
      </c>
      <c r="U2082" s="41">
        <v>1.9347037484885126E-2</v>
      </c>
    </row>
    <row r="2083" spans="20:21" x14ac:dyDescent="0.25">
      <c r="T2083" s="57">
        <v>39807</v>
      </c>
      <c r="U2083" s="41">
        <v>1.7751479289940829E-2</v>
      </c>
    </row>
    <row r="2084" spans="20:21" x14ac:dyDescent="0.25">
      <c r="T2084" s="57">
        <v>39810</v>
      </c>
      <c r="U2084" s="41">
        <v>3.90625E-2</v>
      </c>
    </row>
    <row r="2085" spans="20:21" x14ac:dyDescent="0.25">
      <c r="T2085" s="57">
        <v>39817</v>
      </c>
      <c r="U2085" s="41">
        <v>8.3432657926102508E-3</v>
      </c>
    </row>
    <row r="2086" spans="20:21" x14ac:dyDescent="0.25">
      <c r="T2086" s="57">
        <v>39824</v>
      </c>
      <c r="U2086" s="41">
        <v>2.781456953642384E-2</v>
      </c>
    </row>
    <row r="2087" spans="20:21" x14ac:dyDescent="0.25">
      <c r="T2087" s="57">
        <v>39831</v>
      </c>
      <c r="U2087" s="41">
        <v>2.6666666666666668E-2</v>
      </c>
    </row>
    <row r="2088" spans="20:21" x14ac:dyDescent="0.25">
      <c r="T2088" s="57">
        <v>39838</v>
      </c>
      <c r="U2088" s="41">
        <v>3.9263803680981597E-2</v>
      </c>
    </row>
    <row r="2089" spans="20:21" x14ac:dyDescent="0.25">
      <c r="T2089" s="57">
        <v>39845</v>
      </c>
      <c r="U2089" s="41">
        <v>1.83982683982684E-2</v>
      </c>
    </row>
    <row r="2090" spans="20:21" x14ac:dyDescent="0.25">
      <c r="T2090" s="57">
        <v>39852</v>
      </c>
      <c r="U2090" s="41">
        <v>2.3166023166023165E-2</v>
      </c>
    </row>
    <row r="2091" spans="20:21" x14ac:dyDescent="0.25">
      <c r="T2091" s="57">
        <v>39859</v>
      </c>
      <c r="U2091" s="41">
        <v>2.185792349726776E-2</v>
      </c>
    </row>
    <row r="2092" spans="20:21" x14ac:dyDescent="0.25">
      <c r="T2092" s="57">
        <v>39866</v>
      </c>
      <c r="U2092" s="41">
        <v>1.3372956909361069E-2</v>
      </c>
    </row>
    <row r="2093" spans="20:21" x14ac:dyDescent="0.25">
      <c r="T2093" s="57">
        <v>39873</v>
      </c>
      <c r="U2093" s="41">
        <v>2.9411764705882353E-2</v>
      </c>
    </row>
    <row r="2094" spans="20:21" x14ac:dyDescent="0.25">
      <c r="T2094" s="57">
        <v>39880</v>
      </c>
      <c r="U2094" s="41">
        <v>1.4397905759162303E-2</v>
      </c>
    </row>
    <row r="2095" spans="20:21" x14ac:dyDescent="0.25">
      <c r="T2095" s="57">
        <v>39887</v>
      </c>
      <c r="U2095" s="41">
        <v>2.3557126030624265E-2</v>
      </c>
    </row>
    <row r="2096" spans="20:21" x14ac:dyDescent="0.25">
      <c r="T2096" s="57">
        <v>39894</v>
      </c>
      <c r="U2096" s="41">
        <v>2.0146520146520148E-2</v>
      </c>
    </row>
    <row r="2097" spans="20:21" x14ac:dyDescent="0.25">
      <c r="T2097" s="57">
        <v>39901</v>
      </c>
      <c r="U2097" s="41">
        <v>2.1791767554479417E-2</v>
      </c>
    </row>
    <row r="2098" spans="20:21" x14ac:dyDescent="0.25">
      <c r="T2098" s="57">
        <v>39908</v>
      </c>
      <c r="U2098" s="41">
        <v>4.7961630695443642E-3</v>
      </c>
    </row>
    <row r="2099" spans="20:21" x14ac:dyDescent="0.25">
      <c r="T2099" s="57">
        <v>39915</v>
      </c>
      <c r="U2099" s="41">
        <v>2.1547502448579822E-2</v>
      </c>
    </row>
    <row r="2100" spans="20:21" x14ac:dyDescent="0.25">
      <c r="T2100" s="57">
        <v>39922</v>
      </c>
      <c r="U2100" s="41">
        <v>2.6950354609929079E-2</v>
      </c>
    </row>
    <row r="2101" spans="20:21" x14ac:dyDescent="0.25">
      <c r="T2101" s="57">
        <v>39929</v>
      </c>
      <c r="U2101" s="41">
        <v>1.4030612244897959E-2</v>
      </c>
    </row>
    <row r="2102" spans="20:21" x14ac:dyDescent="0.25">
      <c r="T2102" s="57">
        <v>39936</v>
      </c>
      <c r="U2102" s="41">
        <v>4.0566037735849055E-2</v>
      </c>
    </row>
    <row r="2103" spans="20:21" x14ac:dyDescent="0.25">
      <c r="T2103" s="57">
        <v>39943</v>
      </c>
      <c r="U2103" s="41">
        <v>3.8802660753880266E-2</v>
      </c>
    </row>
    <row r="2104" spans="20:21" x14ac:dyDescent="0.25">
      <c r="T2104" s="57">
        <v>39950</v>
      </c>
      <c r="U2104" s="41">
        <v>3.1674208144796379E-2</v>
      </c>
    </row>
    <row r="2105" spans="20:21" x14ac:dyDescent="0.25">
      <c r="T2105" s="57">
        <v>39954</v>
      </c>
      <c r="U2105" s="41">
        <v>3.0013642564802184E-2</v>
      </c>
    </row>
    <row r="2106" spans="20:21" x14ac:dyDescent="0.25">
      <c r="T2106" s="57">
        <v>39957</v>
      </c>
      <c r="U2106" s="41">
        <v>2.1141649048625793E-2</v>
      </c>
    </row>
    <row r="2107" spans="20:21" x14ac:dyDescent="0.25">
      <c r="T2107" s="57">
        <v>39964</v>
      </c>
      <c r="U2107" s="41">
        <v>3.7644787644787646E-2</v>
      </c>
    </row>
    <row r="2108" spans="20:21" x14ac:dyDescent="0.25">
      <c r="T2108" s="57">
        <v>39971</v>
      </c>
      <c r="U2108" s="41">
        <v>3.2731376975169299E-2</v>
      </c>
    </row>
    <row r="2109" spans="20:21" x14ac:dyDescent="0.25">
      <c r="T2109" s="57">
        <v>39978</v>
      </c>
      <c r="U2109" s="41">
        <v>4.9019607843137254E-2</v>
      </c>
    </row>
    <row r="2110" spans="20:21" x14ac:dyDescent="0.25">
      <c r="T2110" s="57">
        <v>39985</v>
      </c>
      <c r="U2110" s="41">
        <v>2.5974025974025976E-2</v>
      </c>
    </row>
    <row r="2111" spans="20:21" x14ac:dyDescent="0.25">
      <c r="T2111" s="57">
        <v>39992</v>
      </c>
      <c r="U2111" s="41">
        <v>2.8943560057887119E-2</v>
      </c>
    </row>
    <row r="2112" spans="20:21" x14ac:dyDescent="0.25">
      <c r="T2112" s="57">
        <v>40003</v>
      </c>
      <c r="U2112" s="41">
        <v>1.3698630136986301E-2</v>
      </c>
    </row>
    <row r="2113" spans="20:21" x14ac:dyDescent="0.25">
      <c r="T2113" s="57">
        <v>40006</v>
      </c>
      <c r="U2113" s="41">
        <v>5.8083252662149082E-3</v>
      </c>
    </row>
    <row r="2114" spans="20:21" x14ac:dyDescent="0.25">
      <c r="T2114" s="57">
        <v>40013</v>
      </c>
      <c r="U2114" s="41">
        <v>3.399122807017544E-2</v>
      </c>
    </row>
    <row r="2115" spans="20:21" x14ac:dyDescent="0.25">
      <c r="T2115" s="57">
        <v>40020</v>
      </c>
      <c r="U2115" s="41">
        <v>2.7741083223249668E-2</v>
      </c>
    </row>
    <row r="2116" spans="20:21" x14ac:dyDescent="0.25">
      <c r="T2116" s="57">
        <v>40027</v>
      </c>
      <c r="U2116" s="41">
        <v>1.2195121951219513E-2</v>
      </c>
    </row>
    <row r="2117" spans="20:21" x14ac:dyDescent="0.25">
      <c r="T2117" s="57">
        <v>40034</v>
      </c>
      <c r="U2117" s="41">
        <v>1.1568123393316195E-2</v>
      </c>
    </row>
    <row r="2118" spans="20:21" x14ac:dyDescent="0.25">
      <c r="T2118" s="57">
        <v>40040</v>
      </c>
      <c r="U2118" s="41">
        <v>2.0472440944881889E-2</v>
      </c>
    </row>
    <row r="2119" spans="20:21" x14ac:dyDescent="0.25">
      <c r="T2119" s="57">
        <v>40041</v>
      </c>
      <c r="U2119" s="41">
        <v>2.0278833967046894E-2</v>
      </c>
    </row>
    <row r="2120" spans="20:21" x14ac:dyDescent="0.25">
      <c r="T2120" s="57">
        <v>40048</v>
      </c>
      <c r="U2120" s="41">
        <v>2.5100401606425703E-2</v>
      </c>
    </row>
    <row r="2121" spans="20:21" x14ac:dyDescent="0.25">
      <c r="T2121" s="57">
        <v>40055</v>
      </c>
      <c r="U2121" s="41">
        <v>2.3661270236612703E-2</v>
      </c>
    </row>
    <row r="2122" spans="20:21" x14ac:dyDescent="0.25">
      <c r="T2122" s="57">
        <v>40062</v>
      </c>
      <c r="U2122" s="41">
        <v>2.20162224797219E-2</v>
      </c>
    </row>
    <row r="2123" spans="20:21" x14ac:dyDescent="0.25">
      <c r="T2123" s="57">
        <v>40069</v>
      </c>
      <c r="U2123" s="41">
        <v>2.4333719582850522E-2</v>
      </c>
    </row>
    <row r="2124" spans="20:21" x14ac:dyDescent="0.25">
      <c r="T2124" s="57">
        <v>40076</v>
      </c>
      <c r="U2124" s="41">
        <v>1.3091641490433032E-2</v>
      </c>
    </row>
    <row r="2125" spans="20:21" x14ac:dyDescent="0.25">
      <c r="T2125" s="57">
        <v>40083</v>
      </c>
      <c r="U2125" s="41">
        <v>2.4657534246575342E-2</v>
      </c>
    </row>
    <row r="2126" spans="20:21" x14ac:dyDescent="0.25">
      <c r="T2126" s="57">
        <v>40090</v>
      </c>
      <c r="U2126" s="41">
        <v>2.7925531914893616E-2</v>
      </c>
    </row>
    <row r="2127" spans="20:21" x14ac:dyDescent="0.25">
      <c r="T2127" s="57">
        <v>40097</v>
      </c>
      <c r="U2127" s="41">
        <v>1.8359853121175031E-2</v>
      </c>
    </row>
    <row r="2128" spans="20:21" x14ac:dyDescent="0.25">
      <c r="T2128" s="57">
        <v>40104</v>
      </c>
      <c r="U2128" s="41">
        <v>1.5065913370998116E-2</v>
      </c>
    </row>
    <row r="2129" spans="20:21" x14ac:dyDescent="0.25">
      <c r="T2129" s="57">
        <v>40111</v>
      </c>
      <c r="U2129" s="41">
        <v>2.3863636363636365E-2</v>
      </c>
    </row>
    <row r="2130" spans="20:21" x14ac:dyDescent="0.25">
      <c r="T2130" s="57">
        <v>40118</v>
      </c>
      <c r="U2130" s="41">
        <v>7.2992700729927005E-3</v>
      </c>
    </row>
    <row r="2131" spans="20:21" x14ac:dyDescent="0.25">
      <c r="T2131" s="57">
        <v>40125</v>
      </c>
      <c r="U2131" s="41">
        <v>1.8534863195057368E-2</v>
      </c>
    </row>
    <row r="2132" spans="20:21" x14ac:dyDescent="0.25">
      <c r="T2132" s="57">
        <v>40132</v>
      </c>
      <c r="U2132" s="41">
        <v>2.1621621621621623E-2</v>
      </c>
    </row>
    <row r="2133" spans="20:21" x14ac:dyDescent="0.25">
      <c r="T2133" s="57">
        <v>40139</v>
      </c>
      <c r="U2133" s="41">
        <v>3.8155802861685212E-2</v>
      </c>
    </row>
    <row r="2134" spans="20:21" x14ac:dyDescent="0.25">
      <c r="T2134" s="57">
        <v>40146</v>
      </c>
      <c r="U2134" s="41">
        <v>8.2644628099173556E-3</v>
      </c>
    </row>
    <row r="2135" spans="20:21" x14ac:dyDescent="0.25">
      <c r="T2135" s="57">
        <v>40153</v>
      </c>
      <c r="U2135" s="41">
        <v>9.3071354705274046E-3</v>
      </c>
    </row>
    <row r="2136" spans="20:21" x14ac:dyDescent="0.25">
      <c r="T2136" s="57">
        <v>40160</v>
      </c>
      <c r="U2136" s="41">
        <v>2.1374045801526718E-2</v>
      </c>
    </row>
    <row r="2137" spans="20:21" x14ac:dyDescent="0.25">
      <c r="T2137" s="57">
        <v>40167</v>
      </c>
      <c r="U2137" s="41">
        <v>3.4755134281200632E-2</v>
      </c>
    </row>
    <row r="2138" spans="20:21" x14ac:dyDescent="0.25">
      <c r="T2138" s="57">
        <v>40171</v>
      </c>
      <c r="U2138" s="41">
        <v>3.0506721820062047E-2</v>
      </c>
    </row>
    <row r="2139" spans="20:21" x14ac:dyDescent="0.25">
      <c r="T2139" s="57">
        <v>40172</v>
      </c>
      <c r="U2139" s="41">
        <v>5.5989583333333336E-2</v>
      </c>
    </row>
    <row r="2140" spans="20:21" x14ac:dyDescent="0.25">
      <c r="T2140" s="57">
        <v>40174</v>
      </c>
      <c r="U2140" s="41">
        <v>1.0738255033557046E-2</v>
      </c>
    </row>
    <row r="2141" spans="20:21" x14ac:dyDescent="0.25">
      <c r="T2141" s="57">
        <v>40181</v>
      </c>
      <c r="U2141" s="41">
        <v>2.0766773162939296E-2</v>
      </c>
    </row>
    <row r="2142" spans="20:21" x14ac:dyDescent="0.25">
      <c r="T2142" s="57">
        <v>40188</v>
      </c>
      <c r="U2142" s="41">
        <v>2.7237354085603113E-2</v>
      </c>
    </row>
    <row r="2143" spans="20:21" x14ac:dyDescent="0.25">
      <c r="T2143" s="57">
        <v>40195</v>
      </c>
      <c r="U2143" s="41">
        <v>1.9909502262443438E-2</v>
      </c>
    </row>
    <row r="2144" spans="20:21" x14ac:dyDescent="0.25">
      <c r="T2144" s="57">
        <v>40202</v>
      </c>
      <c r="U2144" s="41">
        <v>2.3200475907198096E-2</v>
      </c>
    </row>
    <row r="2145" spans="20:21" x14ac:dyDescent="0.25">
      <c r="T2145" s="57">
        <v>40209</v>
      </c>
      <c r="U2145" s="41">
        <v>1.7142857142857144E-2</v>
      </c>
    </row>
    <row r="2146" spans="20:21" x14ac:dyDescent="0.25">
      <c r="T2146" s="57">
        <v>40216</v>
      </c>
      <c r="U2146" s="41">
        <v>3.3934252386002124E-2</v>
      </c>
    </row>
    <row r="2147" spans="20:21" x14ac:dyDescent="0.25">
      <c r="T2147" s="57">
        <v>40223</v>
      </c>
      <c r="U2147" s="41">
        <v>1.6607354685646499E-2</v>
      </c>
    </row>
    <row r="2148" spans="20:21" x14ac:dyDescent="0.25">
      <c r="T2148" s="57">
        <v>40230</v>
      </c>
      <c r="U2148" s="41">
        <v>2.247191011235955E-2</v>
      </c>
    </row>
    <row r="2149" spans="20:21" x14ac:dyDescent="0.25">
      <c r="T2149" s="57">
        <v>40237</v>
      </c>
      <c r="U2149" s="41">
        <v>1.6835016835016835E-2</v>
      </c>
    </row>
    <row r="2150" spans="20:21" x14ac:dyDescent="0.25">
      <c r="T2150" s="57">
        <v>40244</v>
      </c>
      <c r="U2150" s="41">
        <v>2.2727272727272728E-2</v>
      </c>
    </row>
    <row r="2151" spans="20:21" x14ac:dyDescent="0.25">
      <c r="T2151" s="57">
        <v>40251</v>
      </c>
      <c r="U2151" s="41">
        <v>2.2929936305732482E-2</v>
      </c>
    </row>
    <row r="2152" spans="20:21" x14ac:dyDescent="0.25">
      <c r="T2152" s="57">
        <v>40258</v>
      </c>
      <c r="U2152" s="41">
        <v>1.6556291390728478E-2</v>
      </c>
    </row>
    <row r="2153" spans="20:21" x14ac:dyDescent="0.25">
      <c r="T2153" s="57">
        <v>40265</v>
      </c>
      <c r="U2153" s="41">
        <v>2.0793950850661626E-2</v>
      </c>
    </row>
    <row r="2154" spans="20:21" x14ac:dyDescent="0.25">
      <c r="T2154" s="57">
        <v>40272</v>
      </c>
      <c r="U2154" s="41">
        <v>3.1286210892236384E-2</v>
      </c>
    </row>
    <row r="2155" spans="20:21" x14ac:dyDescent="0.25">
      <c r="T2155" s="57">
        <v>40279</v>
      </c>
      <c r="U2155" s="41">
        <v>3.4334763948497854E-2</v>
      </c>
    </row>
    <row r="2156" spans="20:21" x14ac:dyDescent="0.25">
      <c r="T2156" s="57">
        <v>40286</v>
      </c>
      <c r="U2156" s="41">
        <v>1.8181818181818181E-2</v>
      </c>
    </row>
    <row r="2157" spans="20:21" x14ac:dyDescent="0.25">
      <c r="T2157" s="57">
        <v>40293</v>
      </c>
      <c r="U2157" s="41">
        <v>2.1601016518424398E-2</v>
      </c>
    </row>
    <row r="2158" spans="20:21" x14ac:dyDescent="0.25">
      <c r="T2158" s="57">
        <v>40300</v>
      </c>
      <c r="U2158" s="41">
        <v>1.1508951406649617E-2</v>
      </c>
    </row>
    <row r="2159" spans="20:21" x14ac:dyDescent="0.25">
      <c r="T2159" s="57">
        <v>40307</v>
      </c>
      <c r="U2159" s="41">
        <v>5.9620596205962058E-2</v>
      </c>
    </row>
    <row r="2160" spans="20:21" x14ac:dyDescent="0.25">
      <c r="T2160" s="57">
        <v>40311</v>
      </c>
      <c r="U2160" s="41">
        <v>2.8393966282165041E-2</v>
      </c>
    </row>
    <row r="2161" spans="20:21" x14ac:dyDescent="0.25">
      <c r="T2161" s="57">
        <v>40314</v>
      </c>
      <c r="U2161" s="41">
        <v>4.2876901798063624E-2</v>
      </c>
    </row>
    <row r="2162" spans="20:21" x14ac:dyDescent="0.25">
      <c r="T2162" s="57">
        <v>40321</v>
      </c>
      <c r="U2162" s="41">
        <v>3.7919826652221017E-2</v>
      </c>
    </row>
    <row r="2163" spans="20:21" x14ac:dyDescent="0.25">
      <c r="T2163" s="57">
        <v>40328</v>
      </c>
      <c r="U2163" s="41">
        <v>3.255813953488372E-2</v>
      </c>
    </row>
    <row r="2164" spans="20:21" x14ac:dyDescent="0.25">
      <c r="T2164" s="57">
        <v>40335</v>
      </c>
      <c r="U2164" s="41">
        <v>2.7027027027027029E-2</v>
      </c>
    </row>
    <row r="2165" spans="20:21" x14ac:dyDescent="0.25">
      <c r="T2165" s="57">
        <v>40342</v>
      </c>
      <c r="U2165" s="41">
        <v>3.1496062992125984E-2</v>
      </c>
    </row>
    <row r="2166" spans="20:21" x14ac:dyDescent="0.25">
      <c r="T2166" s="57">
        <v>40349</v>
      </c>
      <c r="U2166" s="41">
        <v>2.9141104294478526E-2</v>
      </c>
    </row>
    <row r="2167" spans="20:21" x14ac:dyDescent="0.25">
      <c r="T2167" s="57">
        <v>40356</v>
      </c>
      <c r="U2167" s="41">
        <v>4.8387096774193547E-2</v>
      </c>
    </row>
    <row r="2168" spans="20:21" x14ac:dyDescent="0.25">
      <c r="T2168" s="57">
        <v>40363</v>
      </c>
      <c r="U2168" s="41">
        <v>1.4767932489451477E-2</v>
      </c>
    </row>
    <row r="2169" spans="20:21" x14ac:dyDescent="0.25">
      <c r="T2169" s="57">
        <v>40370</v>
      </c>
      <c r="U2169" s="41">
        <v>1.9230769230769232E-2</v>
      </c>
    </row>
    <row r="2170" spans="20:21" x14ac:dyDescent="0.25">
      <c r="T2170" s="57">
        <v>40377</v>
      </c>
      <c r="U2170" s="41">
        <v>1.3071895424836602E-2</v>
      </c>
    </row>
    <row r="2171" spans="20:21" x14ac:dyDescent="0.25">
      <c r="T2171" s="57">
        <v>40384</v>
      </c>
      <c r="U2171" s="41">
        <v>3.4234234234234232E-2</v>
      </c>
    </row>
    <row r="2172" spans="20:21" x14ac:dyDescent="0.25">
      <c r="T2172" s="57">
        <v>40391</v>
      </c>
      <c r="U2172" s="41">
        <v>3.4234234234234232E-2</v>
      </c>
    </row>
    <row r="2173" spans="20:21" x14ac:dyDescent="0.25">
      <c r="T2173" s="57">
        <v>40398</v>
      </c>
      <c r="U2173" s="41">
        <v>3.1897926634768738E-2</v>
      </c>
    </row>
    <row r="2174" spans="20:21" x14ac:dyDescent="0.25">
      <c r="T2174" s="57">
        <v>40405</v>
      </c>
      <c r="U2174" s="41">
        <v>1.2302284710017574E-2</v>
      </c>
    </row>
    <row r="2175" spans="20:21" x14ac:dyDescent="0.25">
      <c r="T2175" s="57">
        <v>40412</v>
      </c>
      <c r="U2175" s="41">
        <v>4.3117744610281922E-2</v>
      </c>
    </row>
    <row r="2176" spans="20:21" x14ac:dyDescent="0.25">
      <c r="T2176" s="57">
        <v>40419</v>
      </c>
      <c r="U2176" s="41">
        <v>3.5714285714285712E-2</v>
      </c>
    </row>
    <row r="2177" spans="20:21" x14ac:dyDescent="0.25">
      <c r="T2177" s="57">
        <v>40426</v>
      </c>
      <c r="U2177" s="41">
        <v>2.0378457059679767E-2</v>
      </c>
    </row>
    <row r="2178" spans="20:21" x14ac:dyDescent="0.25">
      <c r="T2178" s="57">
        <v>40433</v>
      </c>
      <c r="U2178" s="41">
        <v>3.345070422535211E-2</v>
      </c>
    </row>
    <row r="2179" spans="20:21" x14ac:dyDescent="0.25">
      <c r="T2179" s="57">
        <v>40440</v>
      </c>
      <c r="U2179" s="41">
        <v>3.0476190476190476E-2</v>
      </c>
    </row>
    <row r="2180" spans="20:21" x14ac:dyDescent="0.25">
      <c r="T2180" s="57">
        <v>40447</v>
      </c>
      <c r="U2180" s="41">
        <v>1.2589928057553957E-2</v>
      </c>
    </row>
    <row r="2181" spans="20:21" x14ac:dyDescent="0.25">
      <c r="T2181" s="57">
        <v>40454</v>
      </c>
      <c r="U2181" s="41">
        <v>1.9230769230769232E-2</v>
      </c>
    </row>
    <row r="2182" spans="20:21" x14ac:dyDescent="0.25">
      <c r="T2182" s="57">
        <v>40461</v>
      </c>
      <c r="U2182" s="41">
        <v>4.4685990338164248E-2</v>
      </c>
    </row>
    <row r="2183" spans="20:21" x14ac:dyDescent="0.25">
      <c r="T2183" s="57">
        <v>40468</v>
      </c>
      <c r="U2183" s="41">
        <v>3.7821482602118005E-2</v>
      </c>
    </row>
    <row r="2184" spans="20:21" x14ac:dyDescent="0.25">
      <c r="T2184" s="57">
        <v>40475</v>
      </c>
      <c r="U2184" s="41">
        <v>1.0101010101010102E-2</v>
      </c>
    </row>
    <row r="2185" spans="20:21" x14ac:dyDescent="0.25">
      <c r="T2185" s="57">
        <v>40482</v>
      </c>
      <c r="U2185" s="41">
        <v>2.6119402985074626E-2</v>
      </c>
    </row>
    <row r="2186" spans="20:21" x14ac:dyDescent="0.25">
      <c r="T2186" s="57">
        <v>40483</v>
      </c>
      <c r="U2186" s="41">
        <v>2.0408163265306121E-2</v>
      </c>
    </row>
    <row r="2187" spans="20:21" x14ac:dyDescent="0.25">
      <c r="T2187" s="57">
        <v>40489</v>
      </c>
      <c r="U2187" s="41">
        <v>1.7636684303350969E-2</v>
      </c>
    </row>
    <row r="2188" spans="20:21" x14ac:dyDescent="0.25">
      <c r="T2188" s="57">
        <v>40496</v>
      </c>
      <c r="U2188" s="41">
        <v>2.4154589371980676E-2</v>
      </c>
    </row>
    <row r="2189" spans="20:21" x14ac:dyDescent="0.25">
      <c r="T2189" s="57">
        <v>40503</v>
      </c>
      <c r="U2189" s="41">
        <v>5.1622418879056046E-2</v>
      </c>
    </row>
    <row r="2190" spans="20:21" x14ac:dyDescent="0.25">
      <c r="T2190" s="57">
        <v>40510</v>
      </c>
      <c r="U2190" s="41">
        <v>1.4285714285714285E-2</v>
      </c>
    </row>
    <row r="2191" spans="20:21" x14ac:dyDescent="0.25">
      <c r="T2191" s="57">
        <v>40517</v>
      </c>
      <c r="U2191" s="41">
        <v>1.9790454016298021E-2</v>
      </c>
    </row>
    <row r="2192" spans="20:21" x14ac:dyDescent="0.25">
      <c r="T2192" s="57">
        <v>40524</v>
      </c>
      <c r="U2192" s="41">
        <v>1.8547140649149921E-2</v>
      </c>
    </row>
    <row r="2193" spans="20:21" x14ac:dyDescent="0.25">
      <c r="T2193" s="57">
        <v>40531</v>
      </c>
      <c r="U2193" s="41">
        <v>3.6161335187760782E-2</v>
      </c>
    </row>
    <row r="2194" spans="20:21" x14ac:dyDescent="0.25">
      <c r="T2194" s="57">
        <v>40536</v>
      </c>
      <c r="U2194" s="41">
        <v>3.2290615539858729E-2</v>
      </c>
    </row>
    <row r="2195" spans="20:21" x14ac:dyDescent="0.25">
      <c r="T2195" s="57">
        <v>40537</v>
      </c>
      <c r="U2195" s="41">
        <v>2.0202020202020204E-2</v>
      </c>
    </row>
    <row r="2196" spans="20:21" x14ac:dyDescent="0.25">
      <c r="T2196" s="57">
        <v>40538</v>
      </c>
      <c r="U2196" s="41">
        <v>3.3771106941838651E-2</v>
      </c>
    </row>
    <row r="2197" spans="20:21" x14ac:dyDescent="0.25">
      <c r="T2197" s="57">
        <v>40545</v>
      </c>
      <c r="U2197" s="41">
        <v>1.5734265734265736E-2</v>
      </c>
    </row>
    <row r="2198" spans="20:21" x14ac:dyDescent="0.25">
      <c r="T2198" s="57">
        <v>40552</v>
      </c>
      <c r="U2198" s="41">
        <v>4.1522491349480967E-2</v>
      </c>
    </row>
    <row r="2199" spans="20:21" x14ac:dyDescent="0.25">
      <c r="T2199" s="57">
        <v>40559</v>
      </c>
      <c r="U2199" s="41">
        <v>2.6063100137174212E-2</v>
      </c>
    </row>
    <row r="2200" spans="20:21" x14ac:dyDescent="0.25">
      <c r="T2200" s="57">
        <v>40566</v>
      </c>
      <c r="U2200" s="41">
        <v>1.3289036544850499E-2</v>
      </c>
    </row>
    <row r="2201" spans="20:21" x14ac:dyDescent="0.25">
      <c r="T2201" s="57">
        <v>40573</v>
      </c>
      <c r="U2201" s="41">
        <v>4.4750430292598967E-2</v>
      </c>
    </row>
    <row r="2202" spans="20:21" x14ac:dyDescent="0.25">
      <c r="T2202" s="57">
        <v>40580</v>
      </c>
      <c r="U2202" s="41">
        <v>1.8255578093306288E-2</v>
      </c>
    </row>
    <row r="2203" spans="20:21" x14ac:dyDescent="0.25">
      <c r="T2203" s="57">
        <v>40587</v>
      </c>
      <c r="U2203" s="41">
        <v>2.0332717190388171E-2</v>
      </c>
    </row>
    <row r="2204" spans="20:21" x14ac:dyDescent="0.25">
      <c r="T2204" s="57">
        <v>40594</v>
      </c>
      <c r="U2204" s="41">
        <v>3.4267912772585667E-2</v>
      </c>
    </row>
    <row r="2205" spans="20:21" x14ac:dyDescent="0.25">
      <c r="T2205" s="57">
        <v>40601</v>
      </c>
      <c r="U2205" s="41">
        <v>3.4862385321100919E-2</v>
      </c>
    </row>
    <row r="2206" spans="20:21" x14ac:dyDescent="0.25">
      <c r="T2206" s="57">
        <v>40608</v>
      </c>
      <c r="U2206" s="41">
        <v>1.524390243902439E-2</v>
      </c>
    </row>
    <row r="2207" spans="20:21" x14ac:dyDescent="0.25">
      <c r="T2207" s="57">
        <v>40615</v>
      </c>
      <c r="U2207" s="41">
        <v>4.0492957746478875E-2</v>
      </c>
    </row>
    <row r="2208" spans="20:21" x14ac:dyDescent="0.25">
      <c r="T2208" s="57">
        <v>40622</v>
      </c>
      <c r="U2208" s="41">
        <v>2.462121212121212E-2</v>
      </c>
    </row>
    <row r="2209" spans="20:21" x14ac:dyDescent="0.25">
      <c r="T2209" s="57">
        <v>40629</v>
      </c>
      <c r="U2209" s="41">
        <v>3.0915576694411414E-2</v>
      </c>
    </row>
    <row r="2210" spans="20:21" x14ac:dyDescent="0.25">
      <c r="T2210" s="57">
        <v>40636</v>
      </c>
      <c r="U2210" s="41">
        <v>3.5714285714285712E-2</v>
      </c>
    </row>
    <row r="2211" spans="20:21" x14ac:dyDescent="0.25">
      <c r="T2211" s="57">
        <v>40643</v>
      </c>
      <c r="U2211" s="41">
        <v>3.5937499999999997E-2</v>
      </c>
    </row>
    <row r="2212" spans="20:21" x14ac:dyDescent="0.25">
      <c r="T2212" s="57">
        <v>40650</v>
      </c>
      <c r="U2212" s="41">
        <v>2.6829268292682926E-2</v>
      </c>
    </row>
    <row r="2213" spans="20:21" x14ac:dyDescent="0.25">
      <c r="T2213" s="57">
        <v>40657</v>
      </c>
      <c r="U2213" s="41">
        <v>1.5250544662309368E-2</v>
      </c>
    </row>
    <row r="2214" spans="20:21" x14ac:dyDescent="0.25">
      <c r="T2214" s="57">
        <v>40664</v>
      </c>
      <c r="U2214" s="41">
        <v>2.1382396817503729E-2</v>
      </c>
    </row>
    <row r="2215" spans="20:21" x14ac:dyDescent="0.25">
      <c r="T2215" s="57">
        <v>40671</v>
      </c>
      <c r="U2215" s="41">
        <v>1.9197207678883072E-2</v>
      </c>
    </row>
    <row r="2216" spans="20:21" x14ac:dyDescent="0.25">
      <c r="T2216" s="57">
        <v>40678</v>
      </c>
      <c r="U2216" s="41">
        <v>1.8276762402088774E-2</v>
      </c>
    </row>
    <row r="2217" spans="20:21" x14ac:dyDescent="0.25">
      <c r="T2217" s="57">
        <v>40685</v>
      </c>
      <c r="U2217" s="41">
        <v>1.8518518518518517E-2</v>
      </c>
    </row>
    <row r="2218" spans="20:21" x14ac:dyDescent="0.25">
      <c r="T2218" s="57">
        <v>40692</v>
      </c>
      <c r="U2218" s="41">
        <v>2.4347826086956521E-2</v>
      </c>
    </row>
    <row r="2219" spans="20:21" x14ac:dyDescent="0.25">
      <c r="T2219" s="57">
        <v>40696</v>
      </c>
      <c r="U2219" s="41">
        <v>6.3342318059299185E-2</v>
      </c>
    </row>
    <row r="2220" spans="20:21" x14ac:dyDescent="0.25">
      <c r="T2220" s="57">
        <v>40699</v>
      </c>
      <c r="U2220" s="41">
        <v>1.3035381750465549E-2</v>
      </c>
    </row>
    <row r="2221" spans="20:21" x14ac:dyDescent="0.25">
      <c r="T2221" s="57">
        <v>40706</v>
      </c>
      <c r="U2221" s="41">
        <v>5.0179211469534052E-2</v>
      </c>
    </row>
    <row r="2222" spans="20:21" x14ac:dyDescent="0.25">
      <c r="T2222" s="57">
        <v>40713</v>
      </c>
      <c r="U2222" s="41">
        <v>4.5180722891566265E-2</v>
      </c>
    </row>
    <row r="2223" spans="20:21" x14ac:dyDescent="0.25">
      <c r="T2223" s="57">
        <v>40720</v>
      </c>
      <c r="U2223" s="41">
        <v>2.3715415019762844E-2</v>
      </c>
    </row>
    <row r="2224" spans="20:21" x14ac:dyDescent="0.25">
      <c r="T2224" s="57">
        <v>40727</v>
      </c>
      <c r="U2224" s="41">
        <v>2.6229508196721311E-2</v>
      </c>
    </row>
    <row r="2225" spans="20:21" x14ac:dyDescent="0.25">
      <c r="T2225" s="57">
        <v>40734</v>
      </c>
      <c r="U2225" s="41">
        <v>1.3916500994035786E-2</v>
      </c>
    </row>
    <row r="2226" spans="20:21" x14ac:dyDescent="0.25">
      <c r="T2226" s="57">
        <v>40741</v>
      </c>
      <c r="U2226" s="41">
        <v>2.9197080291970802E-2</v>
      </c>
    </row>
    <row r="2227" spans="20:21" x14ac:dyDescent="0.25">
      <c r="T2227" s="57">
        <v>40748</v>
      </c>
      <c r="U2227" s="41">
        <v>2.4509803921568627E-2</v>
      </c>
    </row>
    <row r="2228" spans="20:21" x14ac:dyDescent="0.25">
      <c r="T2228" s="57">
        <v>40755</v>
      </c>
      <c r="U2228" s="41">
        <v>1.5025041736227046E-2</v>
      </c>
    </row>
    <row r="2229" spans="20:21" x14ac:dyDescent="0.25">
      <c r="T2229" s="57">
        <v>40762</v>
      </c>
      <c r="U2229" s="41">
        <v>5.514705882352941E-2</v>
      </c>
    </row>
    <row r="2230" spans="20:21" x14ac:dyDescent="0.25">
      <c r="T2230" s="57">
        <v>40769</v>
      </c>
      <c r="U2230" s="41">
        <v>3.614457831325301E-2</v>
      </c>
    </row>
    <row r="2231" spans="20:21" x14ac:dyDescent="0.25">
      <c r="T2231" s="57">
        <v>40770</v>
      </c>
      <c r="U2231" s="41">
        <v>9.0497737556561094E-3</v>
      </c>
    </row>
    <row r="2232" spans="20:21" x14ac:dyDescent="0.25">
      <c r="T2232" s="57">
        <v>40776</v>
      </c>
      <c r="U2232" s="41">
        <v>3.6490683229813664E-2</v>
      </c>
    </row>
    <row r="2233" spans="20:21" x14ac:dyDescent="0.25">
      <c r="T2233" s="57">
        <v>40783</v>
      </c>
      <c r="U2233" s="41">
        <v>2.7642276422764227E-2</v>
      </c>
    </row>
    <row r="2234" spans="20:21" x14ac:dyDescent="0.25">
      <c r="T2234" s="57">
        <v>40790</v>
      </c>
      <c r="U2234" s="41">
        <v>9.0090090090090089E-3</v>
      </c>
    </row>
    <row r="2235" spans="20:21" x14ac:dyDescent="0.25">
      <c r="T2235" s="57">
        <v>40797</v>
      </c>
      <c r="U2235" s="41">
        <v>2.5000000000000001E-2</v>
      </c>
    </row>
    <row r="2236" spans="20:21" x14ac:dyDescent="0.25">
      <c r="T2236" s="57">
        <v>40804</v>
      </c>
      <c r="U2236" s="41">
        <v>1.549053356282272E-2</v>
      </c>
    </row>
    <row r="2237" spans="20:21" x14ac:dyDescent="0.25">
      <c r="T2237" s="57">
        <v>40811</v>
      </c>
      <c r="U2237" s="41">
        <v>2.3064250411861616E-2</v>
      </c>
    </row>
    <row r="2238" spans="20:21" x14ac:dyDescent="0.25">
      <c r="T2238" s="57">
        <v>40818</v>
      </c>
      <c r="U2238" s="41">
        <v>4.2253521126760559E-3</v>
      </c>
    </row>
    <row r="2239" spans="20:21" x14ac:dyDescent="0.25">
      <c r="T2239" s="57">
        <v>40825</v>
      </c>
      <c r="U2239" s="41">
        <v>8.6100861008610082E-3</v>
      </c>
    </row>
    <row r="2240" spans="20:21" x14ac:dyDescent="0.25">
      <c r="T2240" s="57">
        <v>40832</v>
      </c>
      <c r="U2240" s="41">
        <v>3.8698328935795952E-2</v>
      </c>
    </row>
    <row r="2241" spans="20:21" x14ac:dyDescent="0.25">
      <c r="T2241" s="57">
        <v>40839</v>
      </c>
      <c r="U2241" s="41">
        <v>2.1798365122615803E-2</v>
      </c>
    </row>
    <row r="2242" spans="20:21" x14ac:dyDescent="0.25">
      <c r="T2242" s="57">
        <v>40846</v>
      </c>
      <c r="U2242" s="41">
        <v>2.5196850393700787E-2</v>
      </c>
    </row>
    <row r="2243" spans="20:21" x14ac:dyDescent="0.25">
      <c r="T2243" s="57">
        <v>40848</v>
      </c>
      <c r="U2243" s="41">
        <v>2.5993883792048929E-2</v>
      </c>
    </row>
    <row r="2244" spans="20:21" x14ac:dyDescent="0.25">
      <c r="T2244" s="57">
        <v>40853</v>
      </c>
      <c r="U2244" s="41">
        <v>1.916058394160584E-2</v>
      </c>
    </row>
    <row r="2245" spans="20:21" x14ac:dyDescent="0.25">
      <c r="T2245" s="57">
        <v>40860</v>
      </c>
      <c r="U2245" s="41">
        <v>1.6309887869520898E-2</v>
      </c>
    </row>
    <row r="2246" spans="20:21" x14ac:dyDescent="0.25">
      <c r="T2246" s="57">
        <v>40867</v>
      </c>
      <c r="U2246" s="41">
        <v>5.9701492537313433E-3</v>
      </c>
    </row>
    <row r="2247" spans="20:21" x14ac:dyDescent="0.25">
      <c r="T2247" s="57">
        <v>40874</v>
      </c>
      <c r="U2247" s="41">
        <v>2.5679758308157101E-2</v>
      </c>
    </row>
    <row r="2248" spans="20:21" x14ac:dyDescent="0.25">
      <c r="T2248" s="57">
        <v>40881</v>
      </c>
      <c r="U2248" s="41">
        <v>3.3568904593639579E-2</v>
      </c>
    </row>
    <row r="2249" spans="20:21" x14ac:dyDescent="0.25">
      <c r="T2249" s="57">
        <v>40888</v>
      </c>
      <c r="U2249" s="41">
        <v>2.7285129604365622E-2</v>
      </c>
    </row>
    <row r="2250" spans="20:21" x14ac:dyDescent="0.25">
      <c r="T2250" s="57">
        <v>40895</v>
      </c>
      <c r="U2250" s="41">
        <v>1.7799352750809062E-2</v>
      </c>
    </row>
    <row r="2251" spans="20:21" x14ac:dyDescent="0.25">
      <c r="T2251" s="57">
        <v>40901</v>
      </c>
      <c r="U2251" s="41">
        <v>2.8409090909090908E-2</v>
      </c>
    </row>
    <row r="2252" spans="20:21" x14ac:dyDescent="0.25">
      <c r="T2252" s="57">
        <v>40902</v>
      </c>
      <c r="U2252" s="41">
        <v>2.6399155227032733E-2</v>
      </c>
    </row>
    <row r="2253" spans="20:21" x14ac:dyDescent="0.25">
      <c r="T2253" s="57">
        <v>40909</v>
      </c>
      <c r="U2253" s="41">
        <v>2.0084566596194502E-2</v>
      </c>
    </row>
    <row r="2254" spans="20:21" x14ac:dyDescent="0.25">
      <c r="T2254" s="57">
        <v>40916</v>
      </c>
      <c r="U2254" s="41">
        <v>1.7985611510791366E-2</v>
      </c>
    </row>
    <row r="2255" spans="20:21" x14ac:dyDescent="0.25">
      <c r="T2255" s="57">
        <v>40923</v>
      </c>
      <c r="U2255" s="41">
        <v>2.2821576763485476E-2</v>
      </c>
    </row>
    <row r="2256" spans="20:21" x14ac:dyDescent="0.25">
      <c r="T2256" s="57">
        <v>40930</v>
      </c>
      <c r="U2256" s="41">
        <v>1.6317016317016316E-2</v>
      </c>
    </row>
    <row r="2257" spans="20:21" x14ac:dyDescent="0.25">
      <c r="T2257" s="57">
        <v>40937</v>
      </c>
      <c r="U2257" s="41">
        <v>3.4188034188034191E-2</v>
      </c>
    </row>
    <row r="2258" spans="20:21" x14ac:dyDescent="0.25">
      <c r="T2258" s="57">
        <v>40944</v>
      </c>
      <c r="U2258" s="41">
        <v>2.0864381520119227E-2</v>
      </c>
    </row>
    <row r="2259" spans="20:21" x14ac:dyDescent="0.25">
      <c r="T2259" s="57">
        <v>40951</v>
      </c>
      <c r="U2259" s="41">
        <v>1.8358531317494601E-2</v>
      </c>
    </row>
    <row r="2260" spans="20:21" x14ac:dyDescent="0.25">
      <c r="T2260" s="57">
        <v>40958</v>
      </c>
      <c r="U2260" s="41">
        <v>1.4771048744460856E-2</v>
      </c>
    </row>
    <row r="2261" spans="20:21" x14ac:dyDescent="0.25">
      <c r="T2261" s="57">
        <v>40965</v>
      </c>
      <c r="U2261" s="41">
        <v>1.1128775834658187E-2</v>
      </c>
    </row>
    <row r="2262" spans="20:21" x14ac:dyDescent="0.25">
      <c r="T2262" s="57">
        <v>40972</v>
      </c>
      <c r="U2262" s="41">
        <v>9.8039215686274508E-3</v>
      </c>
    </row>
    <row r="2263" spans="20:21" x14ac:dyDescent="0.25">
      <c r="T2263" s="57">
        <v>40979</v>
      </c>
      <c r="U2263" s="41">
        <v>2.5276461295418641E-2</v>
      </c>
    </row>
    <row r="2264" spans="20:21" x14ac:dyDescent="0.25">
      <c r="T2264" s="57">
        <v>40986</v>
      </c>
      <c r="U2264" s="41">
        <v>2.0634920634920634E-2</v>
      </c>
    </row>
    <row r="2265" spans="20:21" x14ac:dyDescent="0.25">
      <c r="T2265" s="57">
        <v>40993</v>
      </c>
      <c r="U2265" s="41">
        <v>6.1919504643962852E-3</v>
      </c>
    </row>
    <row r="2266" spans="20:21" x14ac:dyDescent="0.25">
      <c r="T2266" s="57">
        <v>41000</v>
      </c>
      <c r="U2266" s="41">
        <v>1.2448132780082987E-2</v>
      </c>
    </row>
    <row r="2267" spans="20:21" x14ac:dyDescent="0.25">
      <c r="T2267" s="57">
        <v>41007</v>
      </c>
      <c r="U2267" s="41">
        <v>2.197802197802198E-2</v>
      </c>
    </row>
    <row r="2268" spans="20:21" x14ac:dyDescent="0.25">
      <c r="T2268" s="57">
        <v>41014</v>
      </c>
      <c r="U2268" s="41">
        <v>2.6706231454005934E-2</v>
      </c>
    </row>
    <row r="2269" spans="20:21" x14ac:dyDescent="0.25">
      <c r="T2269" s="57">
        <v>41021</v>
      </c>
      <c r="U2269" s="41">
        <v>2.9020556227327691E-2</v>
      </c>
    </row>
    <row r="2270" spans="20:21" x14ac:dyDescent="0.25">
      <c r="T2270" s="57">
        <v>41028</v>
      </c>
      <c r="U2270" s="41">
        <v>1.8633540372670808E-2</v>
      </c>
    </row>
    <row r="2271" spans="20:21" x14ac:dyDescent="0.25">
      <c r="T2271" s="57">
        <v>41035</v>
      </c>
      <c r="U2271" s="41">
        <v>2.0654044750430294E-2</v>
      </c>
    </row>
    <row r="2272" spans="20:21" x14ac:dyDescent="0.25">
      <c r="T2272" s="57">
        <v>41042</v>
      </c>
      <c r="U2272" s="41">
        <v>3.0769230769230771E-2</v>
      </c>
    </row>
    <row r="2273" spans="20:21" x14ac:dyDescent="0.25">
      <c r="T2273" s="57">
        <v>41046</v>
      </c>
      <c r="U2273" s="41">
        <v>2.7552674230145867E-2</v>
      </c>
    </row>
    <row r="2274" spans="20:21" x14ac:dyDescent="0.25">
      <c r="T2274" s="57">
        <v>41049</v>
      </c>
      <c r="U2274" s="41">
        <v>3.873239436619718E-2</v>
      </c>
    </row>
    <row r="2275" spans="20:21" x14ac:dyDescent="0.25">
      <c r="T2275" s="57">
        <v>41056</v>
      </c>
      <c r="U2275" s="41">
        <v>1.9607843137254902E-2</v>
      </c>
    </row>
    <row r="2276" spans="20:21" x14ac:dyDescent="0.25">
      <c r="T2276" s="57">
        <v>41063</v>
      </c>
      <c r="U2276" s="41">
        <v>5.8922558922558925E-2</v>
      </c>
    </row>
    <row r="2277" spans="20:21" x14ac:dyDescent="0.25">
      <c r="T2277" s="57">
        <v>41070</v>
      </c>
      <c r="U2277" s="41">
        <v>3.0598052851182198E-2</v>
      </c>
    </row>
    <row r="2278" spans="20:21" x14ac:dyDescent="0.25">
      <c r="T2278" s="57">
        <v>41077</v>
      </c>
      <c r="U2278" s="41">
        <v>1.6793893129770993E-2</v>
      </c>
    </row>
    <row r="2279" spans="20:21" x14ac:dyDescent="0.25">
      <c r="T2279" s="57">
        <v>41084</v>
      </c>
      <c r="U2279" s="41">
        <v>2.2271714922048998E-2</v>
      </c>
    </row>
    <row r="2280" spans="20:21" x14ac:dyDescent="0.25">
      <c r="T2280" s="57">
        <v>41091</v>
      </c>
      <c r="U2280" s="41">
        <v>3.2733224222585927E-2</v>
      </c>
    </row>
    <row r="2281" spans="20:21" x14ac:dyDescent="0.25">
      <c r="T2281" s="57">
        <v>41098</v>
      </c>
      <c r="U2281" s="41">
        <v>3.201219512195122E-2</v>
      </c>
    </row>
    <row r="2282" spans="20:21" x14ac:dyDescent="0.25">
      <c r="T2282" s="57">
        <v>41105</v>
      </c>
      <c r="U2282" s="41">
        <v>2.0100502512562814E-2</v>
      </c>
    </row>
    <row r="2283" spans="20:21" x14ac:dyDescent="0.25">
      <c r="T2283" s="57">
        <v>41112</v>
      </c>
      <c r="U2283" s="41">
        <v>3.4071550255536626E-2</v>
      </c>
    </row>
    <row r="2284" spans="20:21" x14ac:dyDescent="0.25">
      <c r="T2284" s="57">
        <v>41119</v>
      </c>
      <c r="U2284" s="41">
        <v>1.8115942028985508E-2</v>
      </c>
    </row>
    <row r="2285" spans="20:21" x14ac:dyDescent="0.25">
      <c r="T2285" s="57">
        <v>41126</v>
      </c>
      <c r="U2285" s="41">
        <v>2.6359143327841845E-2</v>
      </c>
    </row>
    <row r="2286" spans="20:21" x14ac:dyDescent="0.25">
      <c r="T2286" s="57">
        <v>41133</v>
      </c>
      <c r="U2286" s="41">
        <v>2.9268292682926831E-2</v>
      </c>
    </row>
    <row r="2287" spans="20:21" x14ac:dyDescent="0.25">
      <c r="T2287" s="57">
        <v>41136</v>
      </c>
      <c r="U2287" s="41">
        <v>1.8276762402088774E-2</v>
      </c>
    </row>
    <row r="2288" spans="20:21" x14ac:dyDescent="0.25">
      <c r="T2288" s="57">
        <v>41140</v>
      </c>
      <c r="U2288" s="41">
        <v>3.0015797788309637E-2</v>
      </c>
    </row>
    <row r="2289" spans="20:21" x14ac:dyDescent="0.25">
      <c r="T2289" s="57">
        <v>41147</v>
      </c>
      <c r="U2289" s="41">
        <v>2.6813880126182965E-2</v>
      </c>
    </row>
    <row r="2290" spans="20:21" x14ac:dyDescent="0.25">
      <c r="T2290" s="57">
        <v>41154</v>
      </c>
      <c r="U2290" s="41">
        <v>1.9667170953101363E-2</v>
      </c>
    </row>
    <row r="2291" spans="20:21" x14ac:dyDescent="0.25">
      <c r="T2291" s="57">
        <v>41161</v>
      </c>
      <c r="U2291" s="41">
        <v>3.017241379310345E-2</v>
      </c>
    </row>
    <row r="2292" spans="20:21" x14ac:dyDescent="0.25">
      <c r="T2292" s="57">
        <v>41168</v>
      </c>
      <c r="U2292" s="41">
        <v>2.1885521885521887E-2</v>
      </c>
    </row>
    <row r="2293" spans="20:21" x14ac:dyDescent="0.25">
      <c r="T2293" s="57">
        <v>41175</v>
      </c>
      <c r="U2293" s="41">
        <v>2.2435897435897436E-2</v>
      </c>
    </row>
    <row r="2294" spans="20:21" x14ac:dyDescent="0.25">
      <c r="T2294" s="57">
        <v>41182</v>
      </c>
      <c r="U2294" s="41">
        <v>2.8192371475953566E-2</v>
      </c>
    </row>
    <row r="2295" spans="20:21" x14ac:dyDescent="0.25">
      <c r="T2295" s="57">
        <v>41189</v>
      </c>
      <c r="U2295" s="41">
        <v>1.9659239842726082E-2</v>
      </c>
    </row>
    <row r="2296" spans="20:21" x14ac:dyDescent="0.25">
      <c r="T2296" s="57">
        <v>41196</v>
      </c>
      <c r="U2296" s="41">
        <v>3.8580246913580245E-2</v>
      </c>
    </row>
    <row r="2297" spans="20:21" x14ac:dyDescent="0.25">
      <c r="T2297" s="57">
        <v>41203</v>
      </c>
      <c r="U2297" s="41">
        <v>3.4985422740524783E-2</v>
      </c>
    </row>
    <row r="2298" spans="20:21" x14ac:dyDescent="0.25">
      <c r="T2298" s="57">
        <v>41210</v>
      </c>
      <c r="U2298" s="41">
        <v>0.04</v>
      </c>
    </row>
    <row r="2299" spans="20:21" x14ac:dyDescent="0.25">
      <c r="T2299" s="57">
        <v>41214</v>
      </c>
      <c r="U2299" s="41">
        <v>9.126466753585397E-3</v>
      </c>
    </row>
    <row r="2300" spans="20:21" x14ac:dyDescent="0.25">
      <c r="T2300" s="57">
        <v>41217</v>
      </c>
      <c r="U2300" s="41">
        <v>1.9308943089430895E-2</v>
      </c>
    </row>
    <row r="2301" spans="20:21" x14ac:dyDescent="0.25">
      <c r="T2301" s="57">
        <v>41224</v>
      </c>
      <c r="U2301" s="41">
        <v>2.1543985637342909E-2</v>
      </c>
    </row>
    <row r="2302" spans="20:21" x14ac:dyDescent="0.25">
      <c r="T2302" s="57">
        <v>41231</v>
      </c>
      <c r="U2302" s="41">
        <v>1.3232514177693762E-2</v>
      </c>
    </row>
    <row r="2303" spans="20:21" x14ac:dyDescent="0.25">
      <c r="T2303" s="57">
        <v>41238</v>
      </c>
      <c r="U2303" s="41">
        <v>3.8399999999999997E-2</v>
      </c>
    </row>
    <row r="2304" spans="20:21" x14ac:dyDescent="0.25">
      <c r="T2304" s="57">
        <v>41245</v>
      </c>
      <c r="U2304" s="41">
        <v>1.876675603217158E-2</v>
      </c>
    </row>
    <row r="2305" spans="20:21" x14ac:dyDescent="0.25">
      <c r="T2305" s="57">
        <v>41252</v>
      </c>
      <c r="U2305" s="41">
        <v>2.8735632183908046E-2</v>
      </c>
    </row>
    <row r="2306" spans="20:21" x14ac:dyDescent="0.25">
      <c r="T2306" s="57">
        <v>41259</v>
      </c>
      <c r="U2306" s="41">
        <v>3.6809815950920248E-2</v>
      </c>
    </row>
    <row r="2307" spans="20:21" x14ac:dyDescent="0.25">
      <c r="T2307" s="57">
        <v>41266</v>
      </c>
      <c r="U2307" s="41">
        <v>2.1937842778793418E-2</v>
      </c>
    </row>
    <row r="2308" spans="20:21" x14ac:dyDescent="0.25">
      <c r="T2308" s="57">
        <v>41267</v>
      </c>
      <c r="U2308" s="41">
        <v>1.1884550084889643E-2</v>
      </c>
    </row>
    <row r="2309" spans="20:21" x14ac:dyDescent="0.25">
      <c r="T2309" s="57">
        <v>41268</v>
      </c>
      <c r="U2309" s="41">
        <v>3.3707865168539325E-2</v>
      </c>
    </row>
    <row r="2310" spans="20:21" x14ac:dyDescent="0.25">
      <c r="T2310" s="57">
        <v>41273</v>
      </c>
      <c r="U2310" s="41">
        <v>1.0835913312693499E-2</v>
      </c>
    </row>
    <row r="2311" spans="20:21" x14ac:dyDescent="0.25">
      <c r="T2311" s="57">
        <v>41280</v>
      </c>
      <c r="U2311" s="41">
        <v>1.2987012987012988E-2</v>
      </c>
    </row>
    <row r="2312" spans="20:21" x14ac:dyDescent="0.25">
      <c r="T2312" s="57">
        <v>41287</v>
      </c>
      <c r="U2312" s="41">
        <v>1.1124845488257108E-2</v>
      </c>
    </row>
    <row r="2313" spans="20:21" x14ac:dyDescent="0.25">
      <c r="T2313" s="57">
        <v>41294</v>
      </c>
      <c r="U2313" s="41">
        <v>1.8036072144288578E-2</v>
      </c>
    </row>
    <row r="2314" spans="20:21" x14ac:dyDescent="0.25">
      <c r="T2314" s="57">
        <v>41301</v>
      </c>
      <c r="U2314" s="41">
        <v>1.8619934282584884E-2</v>
      </c>
    </row>
    <row r="2315" spans="20:21" x14ac:dyDescent="0.25">
      <c r="T2315" s="57">
        <v>41308</v>
      </c>
      <c r="U2315" s="41">
        <v>1.7667844522968199E-2</v>
      </c>
    </row>
    <row r="2316" spans="20:21" x14ac:dyDescent="0.25">
      <c r="T2316" s="57">
        <v>41315</v>
      </c>
      <c r="U2316" s="41">
        <v>2.2160664819944598E-2</v>
      </c>
    </row>
    <row r="2317" spans="20:21" x14ac:dyDescent="0.25">
      <c r="T2317" s="57">
        <v>41322</v>
      </c>
      <c r="U2317" s="41">
        <v>4.72972972972973E-2</v>
      </c>
    </row>
    <row r="2318" spans="20:21" x14ac:dyDescent="0.25">
      <c r="T2318" s="57">
        <v>41329</v>
      </c>
      <c r="U2318" s="41">
        <v>2.8629856850715747E-2</v>
      </c>
    </row>
    <row r="2319" spans="20:21" x14ac:dyDescent="0.25">
      <c r="T2319" s="57">
        <v>41336</v>
      </c>
      <c r="U2319" s="41">
        <v>2.9141104294478526E-2</v>
      </c>
    </row>
    <row r="2320" spans="20:21" x14ac:dyDescent="0.25">
      <c r="T2320" s="57">
        <v>41343</v>
      </c>
      <c r="U2320" s="41">
        <v>1.2531328320802004E-2</v>
      </c>
    </row>
    <row r="2321" spans="20:21" x14ac:dyDescent="0.25">
      <c r="T2321" s="57">
        <v>41350</v>
      </c>
      <c r="U2321" s="41">
        <v>2.3300970873786409E-2</v>
      </c>
    </row>
    <row r="2322" spans="20:21" x14ac:dyDescent="0.25">
      <c r="T2322" s="57">
        <v>41357</v>
      </c>
      <c r="U2322" s="41">
        <v>1.7316017316017316E-2</v>
      </c>
    </row>
    <row r="2323" spans="20:21" x14ac:dyDescent="0.25">
      <c r="T2323" s="57">
        <v>41364</v>
      </c>
      <c r="U2323" s="41">
        <v>2.5525525525525526E-2</v>
      </c>
    </row>
    <row r="2324" spans="20:21" x14ac:dyDescent="0.25">
      <c r="T2324" s="57">
        <v>41371</v>
      </c>
      <c r="U2324" s="41">
        <v>2.2764227642276424E-2</v>
      </c>
    </row>
    <row r="2325" spans="20:21" x14ac:dyDescent="0.25">
      <c r="T2325" s="57">
        <v>41378</v>
      </c>
      <c r="U2325" s="41">
        <v>2.5889967637540454E-2</v>
      </c>
    </row>
    <row r="2326" spans="20:21" x14ac:dyDescent="0.25">
      <c r="T2326" s="57">
        <v>41385</v>
      </c>
      <c r="U2326" s="41">
        <v>2.2222222222222223E-2</v>
      </c>
    </row>
    <row r="2327" spans="20:21" x14ac:dyDescent="0.25">
      <c r="T2327" s="57">
        <v>41392</v>
      </c>
      <c r="U2327" s="41">
        <v>1.6320474777448073E-2</v>
      </c>
    </row>
    <row r="2328" spans="20:21" x14ac:dyDescent="0.25">
      <c r="T2328" s="57">
        <v>41399</v>
      </c>
      <c r="U2328" s="41">
        <v>2.1352313167259787E-2</v>
      </c>
    </row>
    <row r="2329" spans="20:21" x14ac:dyDescent="0.25">
      <c r="T2329" s="57">
        <v>41403</v>
      </c>
      <c r="U2329" s="41">
        <v>2.004008016032064E-2</v>
      </c>
    </row>
    <row r="2330" spans="20:21" x14ac:dyDescent="0.25">
      <c r="T2330" s="57">
        <v>41406</v>
      </c>
      <c r="U2330" s="41">
        <v>3.2423208191126277E-2</v>
      </c>
    </row>
    <row r="2331" spans="20:21" x14ac:dyDescent="0.25">
      <c r="T2331" s="57">
        <v>41413</v>
      </c>
      <c r="U2331" s="41">
        <v>2.7707808564231738E-2</v>
      </c>
    </row>
    <row r="2332" spans="20:21" x14ac:dyDescent="0.25">
      <c r="T2332" s="57">
        <v>41420</v>
      </c>
      <c r="U2332" s="41">
        <v>1.5768725361366621E-2</v>
      </c>
    </row>
    <row r="2333" spans="20:21" x14ac:dyDescent="0.25">
      <c r="T2333" s="57">
        <v>41427</v>
      </c>
      <c r="U2333" s="41">
        <v>2.5466893039049237E-2</v>
      </c>
    </row>
    <row r="2334" spans="20:21" x14ac:dyDescent="0.25">
      <c r="T2334" s="57">
        <v>41434</v>
      </c>
      <c r="U2334" s="41">
        <v>2.3722627737226276E-2</v>
      </c>
    </row>
    <row r="2335" spans="20:21" x14ac:dyDescent="0.25">
      <c r="T2335" s="57">
        <v>41441</v>
      </c>
      <c r="U2335" s="41">
        <v>2.1929824561403508E-2</v>
      </c>
    </row>
    <row r="2336" spans="20:21" x14ac:dyDescent="0.25">
      <c r="T2336" s="57">
        <v>41448</v>
      </c>
      <c r="U2336" s="41">
        <v>3.2733224222585927E-2</v>
      </c>
    </row>
    <row r="2337" spans="20:21" x14ac:dyDescent="0.25">
      <c r="T2337" s="57">
        <v>41455</v>
      </c>
      <c r="U2337" s="41">
        <v>2.2274325908558032E-2</v>
      </c>
    </row>
    <row r="2338" spans="20:21" x14ac:dyDescent="0.25">
      <c r="T2338" s="57">
        <v>41462</v>
      </c>
      <c r="U2338" s="41">
        <v>1.2345679012345678E-2</v>
      </c>
    </row>
    <row r="2339" spans="20:21" x14ac:dyDescent="0.25">
      <c r="T2339" s="57">
        <v>41469</v>
      </c>
      <c r="U2339" s="41">
        <v>1.2690355329949238E-3</v>
      </c>
    </row>
    <row r="2340" spans="20:21" x14ac:dyDescent="0.25">
      <c r="T2340" s="57">
        <v>41476</v>
      </c>
      <c r="U2340" s="41">
        <v>3.5598705501618123E-2</v>
      </c>
    </row>
    <row r="2341" spans="20:21" x14ac:dyDescent="0.25">
      <c r="T2341" s="57">
        <v>41483</v>
      </c>
      <c r="U2341" s="41">
        <v>2.7027027027027029E-2</v>
      </c>
    </row>
    <row r="2342" spans="20:21" x14ac:dyDescent="0.25">
      <c r="T2342" s="57">
        <v>41490</v>
      </c>
      <c r="U2342" s="41">
        <v>1.3029315960912053E-2</v>
      </c>
    </row>
    <row r="2343" spans="20:21" x14ac:dyDescent="0.25">
      <c r="T2343" s="57">
        <v>41497</v>
      </c>
      <c r="U2343" s="41">
        <v>1.9253910950661854E-2</v>
      </c>
    </row>
    <row r="2344" spans="20:21" x14ac:dyDescent="0.25">
      <c r="T2344" s="57">
        <v>41501</v>
      </c>
      <c r="U2344" s="41">
        <v>1.7751479289940829E-2</v>
      </c>
    </row>
    <row r="2345" spans="20:21" x14ac:dyDescent="0.25">
      <c r="T2345" s="57">
        <v>41504</v>
      </c>
      <c r="U2345" s="41">
        <v>3.292894280762565E-2</v>
      </c>
    </row>
    <row r="2346" spans="20:21" x14ac:dyDescent="0.25">
      <c r="T2346" s="57">
        <v>41511</v>
      </c>
      <c r="U2346" s="41">
        <v>1.5679442508710801E-2</v>
      </c>
    </row>
    <row r="2347" spans="20:21" x14ac:dyDescent="0.25">
      <c r="T2347" s="57">
        <v>41518</v>
      </c>
      <c r="U2347" s="41">
        <v>1.5730337078651686E-2</v>
      </c>
    </row>
    <row r="2348" spans="20:21" x14ac:dyDescent="0.25">
      <c r="T2348" s="57">
        <v>41525</v>
      </c>
      <c r="U2348" s="41">
        <v>3.5007610350076102E-2</v>
      </c>
    </row>
    <row r="2349" spans="20:21" x14ac:dyDescent="0.25">
      <c r="T2349" s="57">
        <v>41532</v>
      </c>
      <c r="U2349" s="41">
        <v>1.384083044982699E-2</v>
      </c>
    </row>
    <row r="2350" spans="20:21" x14ac:dyDescent="0.25">
      <c r="T2350" s="57">
        <v>41539</v>
      </c>
      <c r="U2350" s="41">
        <v>2.7397260273972601E-2</v>
      </c>
    </row>
    <row r="2351" spans="20:21" x14ac:dyDescent="0.25">
      <c r="T2351" s="57">
        <v>41546</v>
      </c>
      <c r="U2351" s="41">
        <v>1.8484288354898338E-2</v>
      </c>
    </row>
    <row r="2352" spans="20:21" x14ac:dyDescent="0.25">
      <c r="T2352" s="57">
        <v>41553</v>
      </c>
      <c r="U2352" s="41">
        <v>1.7123287671232876E-2</v>
      </c>
    </row>
    <row r="2353" spans="20:21" x14ac:dyDescent="0.25">
      <c r="T2353" s="57">
        <v>41560</v>
      </c>
      <c r="U2353" s="41">
        <v>3.0577576443941108E-2</v>
      </c>
    </row>
    <row r="2354" spans="20:21" x14ac:dyDescent="0.25">
      <c r="T2354" s="57">
        <v>41567</v>
      </c>
      <c r="U2354" s="41">
        <v>3.5812672176308541E-2</v>
      </c>
    </row>
    <row r="2355" spans="20:21" x14ac:dyDescent="0.25">
      <c r="T2355" s="57">
        <v>41574</v>
      </c>
      <c r="U2355" s="41">
        <v>3.3232628398791542E-2</v>
      </c>
    </row>
    <row r="2356" spans="20:21" x14ac:dyDescent="0.25">
      <c r="T2356" s="57">
        <v>41579</v>
      </c>
      <c r="U2356" s="41">
        <v>8.2474226804123713E-3</v>
      </c>
    </row>
    <row r="2357" spans="20:21" x14ac:dyDescent="0.25">
      <c r="T2357" s="57">
        <v>41581</v>
      </c>
      <c r="U2357" s="41">
        <v>2.1466905187835419E-2</v>
      </c>
    </row>
    <row r="2358" spans="20:21" x14ac:dyDescent="0.25">
      <c r="T2358" s="57">
        <v>41588</v>
      </c>
      <c r="U2358" s="41">
        <v>2.9929577464788731E-2</v>
      </c>
    </row>
    <row r="2359" spans="20:21" x14ac:dyDescent="0.25">
      <c r="T2359" s="57">
        <v>41595</v>
      </c>
      <c r="U2359" s="41">
        <v>1.1523687580025609E-2</v>
      </c>
    </row>
    <row r="2360" spans="20:21" x14ac:dyDescent="0.25">
      <c r="T2360" s="57">
        <v>41602</v>
      </c>
      <c r="U2360" s="41">
        <v>1.8433179723502304E-2</v>
      </c>
    </row>
    <row r="2361" spans="20:21" x14ac:dyDescent="0.25">
      <c r="T2361" s="57">
        <v>41609</v>
      </c>
      <c r="U2361" s="41">
        <v>2.0408163265306121E-2</v>
      </c>
    </row>
    <row r="2362" spans="20:21" x14ac:dyDescent="0.25">
      <c r="T2362" s="57">
        <v>41616</v>
      </c>
      <c r="U2362" s="41">
        <v>1.871657754010695E-2</v>
      </c>
    </row>
    <row r="2363" spans="20:21" x14ac:dyDescent="0.25">
      <c r="T2363" s="57">
        <v>41623</v>
      </c>
      <c r="U2363" s="41">
        <v>0.02</v>
      </c>
    </row>
    <row r="2364" spans="20:21" x14ac:dyDescent="0.25">
      <c r="T2364" s="57">
        <v>41630</v>
      </c>
      <c r="U2364" s="41">
        <v>1.4539579967689823E-2</v>
      </c>
    </row>
    <row r="2365" spans="20:21" x14ac:dyDescent="0.25">
      <c r="T2365" s="57">
        <v>41632</v>
      </c>
      <c r="U2365" s="41">
        <v>2.4096385542168676E-2</v>
      </c>
    </row>
    <row r="2366" spans="20:21" x14ac:dyDescent="0.25">
      <c r="T2366" s="57">
        <v>41633</v>
      </c>
      <c r="U2366" s="41">
        <v>1.3223140495867768E-2</v>
      </c>
    </row>
    <row r="2367" spans="20:21" x14ac:dyDescent="0.25">
      <c r="T2367" s="57">
        <v>41637</v>
      </c>
      <c r="U2367" s="41">
        <v>1.9639934533551555E-2</v>
      </c>
    </row>
    <row r="2368" spans="20:21" x14ac:dyDescent="0.25">
      <c r="T2368" s="57">
        <v>41644</v>
      </c>
      <c r="U2368" s="41">
        <v>1.3698630136986301E-2</v>
      </c>
    </row>
    <row r="2369" spans="20:21" x14ac:dyDescent="0.25">
      <c r="T2369" s="57">
        <v>41651</v>
      </c>
      <c r="U2369" s="41">
        <v>2.5606469002695417E-2</v>
      </c>
    </row>
    <row r="2370" spans="20:21" x14ac:dyDescent="0.25">
      <c r="T2370" s="57">
        <v>41658</v>
      </c>
      <c r="U2370" s="41">
        <v>2.4960998439937598E-2</v>
      </c>
    </row>
    <row r="2371" spans="20:21" x14ac:dyDescent="0.25">
      <c r="T2371" s="57">
        <v>41665</v>
      </c>
      <c r="U2371" s="41">
        <v>7.4858757062146897E-2</v>
      </c>
    </row>
    <row r="2372" spans="20:21" x14ac:dyDescent="0.25">
      <c r="T2372" s="57">
        <v>41672</v>
      </c>
      <c r="U2372" s="41">
        <v>3.294573643410853E-2</v>
      </c>
    </row>
    <row r="2373" spans="20:21" x14ac:dyDescent="0.25">
      <c r="T2373" s="57">
        <v>41679</v>
      </c>
      <c r="U2373" s="41">
        <v>8.2987551867219917E-3</v>
      </c>
    </row>
    <row r="2374" spans="20:21" x14ac:dyDescent="0.25">
      <c r="T2374" s="57">
        <v>41686</v>
      </c>
      <c r="U2374" s="41">
        <v>1.5082956259426848E-2</v>
      </c>
    </row>
    <row r="2375" spans="20:21" x14ac:dyDescent="0.25">
      <c r="T2375" s="57">
        <v>41693</v>
      </c>
      <c r="U2375" s="41">
        <v>3.47985347985348E-2</v>
      </c>
    </row>
    <row r="2376" spans="20:21" x14ac:dyDescent="0.25">
      <c r="T2376" s="57">
        <v>41700</v>
      </c>
      <c r="U2376" s="41">
        <v>1.444043321299639E-2</v>
      </c>
    </row>
    <row r="2377" spans="20:21" x14ac:dyDescent="0.25">
      <c r="T2377" s="57">
        <v>41707</v>
      </c>
      <c r="U2377" s="41">
        <v>2.5069637883008356E-2</v>
      </c>
    </row>
    <row r="2378" spans="20:21" x14ac:dyDescent="0.25">
      <c r="T2378" s="57">
        <v>41714</v>
      </c>
      <c r="U2378" s="41">
        <v>2.2082018927444796E-2</v>
      </c>
    </row>
    <row r="2379" spans="20:21" x14ac:dyDescent="0.25">
      <c r="T2379" s="57">
        <v>41718</v>
      </c>
      <c r="U2379" s="41">
        <v>1.4106583072100314E-2</v>
      </c>
    </row>
    <row r="2380" spans="20:21" x14ac:dyDescent="0.25">
      <c r="T2380" s="57">
        <v>41721</v>
      </c>
      <c r="U2380" s="41">
        <v>3.5593220338983052E-2</v>
      </c>
    </row>
    <row r="2381" spans="20:21" x14ac:dyDescent="0.25">
      <c r="T2381" s="57">
        <v>41735</v>
      </c>
      <c r="U2381" s="41">
        <v>1.5597920277296361E-2</v>
      </c>
    </row>
    <row r="2382" spans="20:21" x14ac:dyDescent="0.25">
      <c r="T2382" s="57">
        <v>41742</v>
      </c>
      <c r="U2382" s="41">
        <v>3.3653846153846152E-2</v>
      </c>
    </row>
    <row r="2383" spans="20:21" x14ac:dyDescent="0.25">
      <c r="T2383" s="57">
        <v>41749</v>
      </c>
      <c r="U2383" s="41">
        <v>1.2232415902140673E-2</v>
      </c>
    </row>
    <row r="2384" spans="20:21" x14ac:dyDescent="0.25">
      <c r="T2384" s="57">
        <v>41756</v>
      </c>
      <c r="U2384" s="41">
        <v>4.1561712846347604E-2</v>
      </c>
    </row>
    <row r="2385" spans="20:21" x14ac:dyDescent="0.25">
      <c r="T2385" s="57">
        <v>41763</v>
      </c>
      <c r="U2385" s="41">
        <v>1.0738255033557046E-2</v>
      </c>
    </row>
    <row r="2386" spans="20:21" x14ac:dyDescent="0.25">
      <c r="T2386" s="57">
        <v>41770</v>
      </c>
      <c r="U2386" s="41">
        <v>1.8404907975460124E-2</v>
      </c>
    </row>
    <row r="2387" spans="20:21" x14ac:dyDescent="0.25">
      <c r="T2387" s="57">
        <v>41777</v>
      </c>
      <c r="U2387" s="41">
        <v>1.8707482993197279E-2</v>
      </c>
    </row>
    <row r="2388" spans="20:21" x14ac:dyDescent="0.25">
      <c r="T2388" s="57">
        <v>41784</v>
      </c>
      <c r="U2388" s="41">
        <v>2.4213075060532689E-3</v>
      </c>
    </row>
    <row r="2389" spans="20:21" x14ac:dyDescent="0.25">
      <c r="T2389" s="57">
        <v>41788</v>
      </c>
      <c r="U2389" s="41">
        <v>2.2421524663677129E-2</v>
      </c>
    </row>
    <row r="2390" spans="20:21" x14ac:dyDescent="0.25">
      <c r="T2390" s="57">
        <v>41791</v>
      </c>
      <c r="U2390" s="41">
        <v>1.0135135135135136E-2</v>
      </c>
    </row>
    <row r="2391" spans="20:21" x14ac:dyDescent="0.25">
      <c r="T2391" s="57">
        <v>41798</v>
      </c>
      <c r="U2391" s="41">
        <v>1.0869565217391304E-2</v>
      </c>
    </row>
    <row r="2392" spans="20:21" x14ac:dyDescent="0.25">
      <c r="T2392" s="57">
        <v>41805</v>
      </c>
      <c r="U2392" s="41">
        <v>3.0882352941176472E-2</v>
      </c>
    </row>
    <row r="2393" spans="20:21" x14ac:dyDescent="0.25">
      <c r="T2393" s="57">
        <v>41812</v>
      </c>
      <c r="U2393" s="41">
        <v>1.9696969696969695E-2</v>
      </c>
    </row>
    <row r="2394" spans="20:21" x14ac:dyDescent="0.25">
      <c r="T2394" s="57">
        <v>41819</v>
      </c>
      <c r="U2394" s="41">
        <v>1.1820330969267139E-2</v>
      </c>
    </row>
    <row r="2395" spans="20:21" x14ac:dyDescent="0.25">
      <c r="T2395" s="57">
        <v>41826</v>
      </c>
      <c r="U2395" s="41">
        <v>2.8639618138424822E-2</v>
      </c>
    </row>
    <row r="2396" spans="20:21" x14ac:dyDescent="0.25">
      <c r="T2396" s="57">
        <v>41833</v>
      </c>
      <c r="U2396" s="41">
        <v>9.5541401273885346E-3</v>
      </c>
    </row>
    <row r="2397" spans="20:21" x14ac:dyDescent="0.25">
      <c r="T2397" s="57">
        <v>41840</v>
      </c>
      <c r="U2397" s="41">
        <v>1.098901098901099E-2</v>
      </c>
    </row>
    <row r="2398" spans="20:21" x14ac:dyDescent="0.25">
      <c r="T2398" s="57">
        <v>41847</v>
      </c>
      <c r="U2398" s="41">
        <v>1.607717041800643E-2</v>
      </c>
    </row>
    <row r="2399" spans="20:21" x14ac:dyDescent="0.25">
      <c r="T2399" s="57">
        <v>41854</v>
      </c>
      <c r="U2399" s="41">
        <v>2.247191011235955E-2</v>
      </c>
    </row>
    <row r="2400" spans="20:21" x14ac:dyDescent="0.25">
      <c r="T2400" s="57">
        <v>41861</v>
      </c>
      <c r="U2400" s="41">
        <v>3.9033457249070633E-2</v>
      </c>
    </row>
    <row r="2401" spans="20:21" x14ac:dyDescent="0.25">
      <c r="T2401" s="57">
        <v>41866</v>
      </c>
      <c r="U2401" s="41">
        <v>2.0442930153321975E-2</v>
      </c>
    </row>
    <row r="2402" spans="20:21" x14ac:dyDescent="0.25">
      <c r="T2402" s="57">
        <v>41868</v>
      </c>
      <c r="U2402" s="41">
        <v>2.0442930153321975E-2</v>
      </c>
    </row>
    <row r="2403" spans="20:21" x14ac:dyDescent="0.25">
      <c r="T2403" s="57">
        <v>41875</v>
      </c>
      <c r="U2403" s="41">
        <v>3.751803751803752E-2</v>
      </c>
    </row>
    <row r="2404" spans="20:21" x14ac:dyDescent="0.25">
      <c r="T2404" s="57">
        <v>41882</v>
      </c>
      <c r="U2404" s="41">
        <v>4.3352601156069363E-2</v>
      </c>
    </row>
    <row r="2405" spans="20:21" x14ac:dyDescent="0.25">
      <c r="T2405" s="57">
        <v>41889</v>
      </c>
      <c r="U2405" s="41">
        <v>6.379585326953748E-3</v>
      </c>
    </row>
    <row r="2406" spans="20:21" x14ac:dyDescent="0.25">
      <c r="T2406" s="57">
        <v>41896</v>
      </c>
      <c r="U2406" s="41">
        <v>2.4082568807339451E-2</v>
      </c>
    </row>
    <row r="2407" spans="20:21" x14ac:dyDescent="0.25">
      <c r="T2407" s="57">
        <v>41903</v>
      </c>
      <c r="U2407" s="41">
        <v>1.0218978102189781E-2</v>
      </c>
    </row>
    <row r="2408" spans="20:21" x14ac:dyDescent="0.25">
      <c r="T2408" s="57">
        <v>41910</v>
      </c>
      <c r="U2408" s="41">
        <v>2.6315789473684209E-2</v>
      </c>
    </row>
    <row r="2409" spans="20:21" x14ac:dyDescent="0.25">
      <c r="T2409" s="57">
        <v>41917</v>
      </c>
      <c r="U2409" s="41">
        <v>2.6755852842809364E-2</v>
      </c>
    </row>
    <row r="2410" spans="20:21" x14ac:dyDescent="0.25">
      <c r="T2410" s="57">
        <v>41924</v>
      </c>
      <c r="U2410" s="41">
        <v>2.4327784891165175E-2</v>
      </c>
    </row>
    <row r="2411" spans="20:21" x14ac:dyDescent="0.25">
      <c r="T2411" s="57">
        <v>41931</v>
      </c>
      <c r="U2411" s="41">
        <v>3.3760186263096625E-2</v>
      </c>
    </row>
    <row r="2412" spans="20:21" x14ac:dyDescent="0.25">
      <c r="T2412" s="57">
        <v>41938</v>
      </c>
      <c r="U2412" s="41">
        <v>3.5413153456998317E-2</v>
      </c>
    </row>
    <row r="2413" spans="20:21" x14ac:dyDescent="0.25">
      <c r="T2413" s="57">
        <v>41944</v>
      </c>
      <c r="U2413" s="41">
        <v>1.8450184501845018E-2</v>
      </c>
    </row>
    <row r="2414" spans="20:21" x14ac:dyDescent="0.25">
      <c r="T2414" s="57">
        <v>41945</v>
      </c>
      <c r="U2414" s="41">
        <v>1.5358361774744027E-2</v>
      </c>
    </row>
    <row r="2415" spans="20:21" x14ac:dyDescent="0.25">
      <c r="T2415" s="57">
        <v>41952</v>
      </c>
      <c r="U2415" s="41">
        <v>5.0406504065040651E-2</v>
      </c>
    </row>
    <row r="2416" spans="20:21" x14ac:dyDescent="0.25">
      <c r="T2416" s="57">
        <v>41959</v>
      </c>
      <c r="U2416" s="41">
        <v>2.1246458923512748E-2</v>
      </c>
    </row>
    <row r="2417" spans="20:21" x14ac:dyDescent="0.25">
      <c r="T2417" s="57">
        <v>41966</v>
      </c>
      <c r="U2417" s="41">
        <v>1.3477088948787063E-2</v>
      </c>
    </row>
    <row r="2418" spans="20:21" x14ac:dyDescent="0.25">
      <c r="T2418" s="57">
        <v>41973</v>
      </c>
      <c r="U2418" s="41">
        <v>2.1084337349397589E-2</v>
      </c>
    </row>
    <row r="2419" spans="20:21" x14ac:dyDescent="0.25">
      <c r="T2419" s="57">
        <v>41980</v>
      </c>
      <c r="U2419" s="41">
        <v>1.7741935483870968E-2</v>
      </c>
    </row>
    <row r="2420" spans="20:21" x14ac:dyDescent="0.25">
      <c r="T2420" s="57">
        <v>41987</v>
      </c>
      <c r="U2420" s="41">
        <v>1.4749262536873156E-3</v>
      </c>
    </row>
    <row r="2421" spans="20:21" x14ac:dyDescent="0.25">
      <c r="T2421" s="57">
        <v>41994</v>
      </c>
      <c r="U2421" s="41">
        <v>2.3112480739599383E-2</v>
      </c>
    </row>
    <row r="2422" spans="20:21" x14ac:dyDescent="0.25">
      <c r="T2422" s="57">
        <v>41997</v>
      </c>
      <c r="U2422" s="41">
        <v>2.4067388688327317E-2</v>
      </c>
    </row>
    <row r="2423" spans="20:21" x14ac:dyDescent="0.25">
      <c r="T2423" s="57">
        <v>41998</v>
      </c>
      <c r="U2423" s="41">
        <v>3.0837004405286344E-2</v>
      </c>
    </row>
    <row r="2424" spans="20:21" x14ac:dyDescent="0.25">
      <c r="T2424" s="57">
        <v>42001</v>
      </c>
      <c r="U2424" s="41">
        <v>2.0109689213893969E-2</v>
      </c>
    </row>
    <row r="2425" spans="20:21" x14ac:dyDescent="0.25">
      <c r="T2425" s="57">
        <v>42008</v>
      </c>
      <c r="U2425" s="41">
        <v>1.6313213703099509E-2</v>
      </c>
    </row>
    <row r="2426" spans="20:21" x14ac:dyDescent="0.25">
      <c r="T2426" s="57">
        <v>42015</v>
      </c>
      <c r="U2426" s="41">
        <v>3.3222591362126248E-2</v>
      </c>
    </row>
    <row r="2427" spans="20:21" x14ac:dyDescent="0.25">
      <c r="T2427" s="57">
        <v>42022</v>
      </c>
      <c r="U2427" s="41">
        <v>2.6813880126182965E-2</v>
      </c>
    </row>
    <row r="2428" spans="20:21" x14ac:dyDescent="0.25">
      <c r="T2428" s="57">
        <v>42029</v>
      </c>
      <c r="U2428" s="41">
        <v>3.439153439153439E-2</v>
      </c>
    </row>
    <row r="2429" spans="20:21" x14ac:dyDescent="0.25">
      <c r="T2429" s="57">
        <v>42036</v>
      </c>
      <c r="U2429" s="41">
        <v>2.6455026455026454E-2</v>
      </c>
    </row>
    <row r="2430" spans="20:21" x14ac:dyDescent="0.25">
      <c r="T2430" s="57">
        <v>42043</v>
      </c>
      <c r="U2430" s="41">
        <v>1.0903426791277258E-2</v>
      </c>
    </row>
    <row r="2431" spans="20:21" x14ac:dyDescent="0.25">
      <c r="T2431" s="57">
        <v>42050</v>
      </c>
      <c r="U2431" s="41">
        <v>2.9885057471264367E-2</v>
      </c>
    </row>
    <row r="2432" spans="20:21" x14ac:dyDescent="0.25">
      <c r="T2432" s="57">
        <v>42057</v>
      </c>
      <c r="U2432" s="41">
        <v>2.1739130434782608E-2</v>
      </c>
    </row>
    <row r="2433" spans="20:21" x14ac:dyDescent="0.25">
      <c r="T2433" s="57">
        <v>42064</v>
      </c>
      <c r="U2433" s="41">
        <v>3.5836177474402729E-2</v>
      </c>
    </row>
    <row r="2434" spans="20:21" x14ac:dyDescent="0.25">
      <c r="T2434" s="57">
        <v>42071</v>
      </c>
      <c r="U2434" s="41">
        <v>1.2750455373406194E-2</v>
      </c>
    </row>
    <row r="2435" spans="20:21" x14ac:dyDescent="0.25">
      <c r="T2435" s="57">
        <v>42078</v>
      </c>
      <c r="U2435" s="41">
        <v>7.5872534142640367E-3</v>
      </c>
    </row>
    <row r="2436" spans="20:21" x14ac:dyDescent="0.25">
      <c r="T2436" s="57">
        <v>42085</v>
      </c>
      <c r="U2436" s="41">
        <v>6.2893081761006293E-3</v>
      </c>
    </row>
    <row r="2437" spans="20:21" x14ac:dyDescent="0.25">
      <c r="T2437" s="57">
        <v>42092</v>
      </c>
      <c r="U2437" s="41">
        <v>5.9649122807017542E-2</v>
      </c>
    </row>
    <row r="2438" spans="20:21" x14ac:dyDescent="0.25">
      <c r="T2438" s="57">
        <v>42099</v>
      </c>
      <c r="U2438" s="41">
        <v>2.7987082884822389E-2</v>
      </c>
    </row>
    <row r="2439" spans="20:21" x14ac:dyDescent="0.25">
      <c r="T2439" s="57">
        <v>42106</v>
      </c>
      <c r="U2439" s="41">
        <v>3.2507739938080496E-2</v>
      </c>
    </row>
    <row r="2440" spans="20:21" x14ac:dyDescent="0.25">
      <c r="T2440" s="57">
        <v>42113</v>
      </c>
      <c r="U2440" s="41">
        <v>1.11731843575419E-2</v>
      </c>
    </row>
    <row r="2441" spans="20:21" x14ac:dyDescent="0.25">
      <c r="T2441" s="57">
        <v>42120</v>
      </c>
      <c r="U2441" s="41">
        <v>2.3411371237458192E-2</v>
      </c>
    </row>
    <row r="2442" spans="20:21" x14ac:dyDescent="0.25">
      <c r="T2442" s="57">
        <v>42127</v>
      </c>
      <c r="U2442" s="41">
        <v>2.5469168900804289E-2</v>
      </c>
    </row>
    <row r="2443" spans="20:21" x14ac:dyDescent="0.25">
      <c r="T2443" s="57">
        <v>42134</v>
      </c>
      <c r="U2443" s="41">
        <v>1.1804384485666104E-2</v>
      </c>
    </row>
    <row r="2444" spans="20:21" x14ac:dyDescent="0.25">
      <c r="T2444" s="57">
        <v>42138</v>
      </c>
      <c r="U2444" s="41">
        <v>2.1705426356589147E-2</v>
      </c>
    </row>
    <row r="2445" spans="20:21" x14ac:dyDescent="0.25">
      <c r="T2445" s="57">
        <v>42141</v>
      </c>
      <c r="U2445" s="41">
        <v>2.6272577996715927E-2</v>
      </c>
    </row>
    <row r="2446" spans="20:21" x14ac:dyDescent="0.25">
      <c r="T2446" s="57">
        <v>42148</v>
      </c>
      <c r="U2446" s="41">
        <v>5.9523809523809521E-3</v>
      </c>
    </row>
    <row r="2447" spans="20:21" x14ac:dyDescent="0.25">
      <c r="T2447" s="57">
        <v>42155</v>
      </c>
      <c r="U2447" s="41">
        <v>1.6366612111292964E-2</v>
      </c>
    </row>
    <row r="2448" spans="20:21" x14ac:dyDescent="0.25">
      <c r="T2448" s="57">
        <v>42162</v>
      </c>
      <c r="U2448" s="41">
        <v>3.6809815950920248E-2</v>
      </c>
    </row>
    <row r="2449" spans="20:21" x14ac:dyDescent="0.25">
      <c r="T2449" s="57">
        <v>42169</v>
      </c>
      <c r="U2449" s="41">
        <v>4.0064102564102567E-2</v>
      </c>
    </row>
    <row r="2450" spans="20:21" x14ac:dyDescent="0.25">
      <c r="T2450" s="57">
        <v>42176</v>
      </c>
      <c r="U2450" s="41">
        <v>2.1028037383177569E-2</v>
      </c>
    </row>
    <row r="2451" spans="20:21" x14ac:dyDescent="0.25">
      <c r="T2451" s="57">
        <v>42183</v>
      </c>
      <c r="U2451" s="41">
        <v>1.7543859649122806E-2</v>
      </c>
    </row>
    <row r="2452" spans="20:21" x14ac:dyDescent="0.25">
      <c r="T2452" s="57">
        <v>42190</v>
      </c>
      <c r="U2452" s="41">
        <v>3.094059405940594E-2</v>
      </c>
    </row>
    <row r="2453" spans="20:21" x14ac:dyDescent="0.25">
      <c r="T2453" s="57">
        <v>42197</v>
      </c>
      <c r="U2453" s="41">
        <v>3.3386327503974564E-2</v>
      </c>
    </row>
    <row r="2454" spans="20:21" x14ac:dyDescent="0.25">
      <c r="T2454" s="57">
        <v>42204</v>
      </c>
      <c r="U2454" s="41">
        <v>3.10192023633678E-2</v>
      </c>
    </row>
    <row r="2455" spans="20:21" x14ac:dyDescent="0.25">
      <c r="T2455" s="57">
        <v>42211</v>
      </c>
      <c r="U2455" s="41">
        <v>2.4875621890547265E-2</v>
      </c>
    </row>
    <row r="2456" spans="20:21" x14ac:dyDescent="0.25">
      <c r="T2456" s="57">
        <v>42218</v>
      </c>
      <c r="U2456" s="41">
        <v>2.0602218700475437E-2</v>
      </c>
    </row>
    <row r="2457" spans="20:21" x14ac:dyDescent="0.25">
      <c r="T2457" s="57">
        <v>42225</v>
      </c>
      <c r="U2457" s="41">
        <v>2.556818181818182E-2</v>
      </c>
    </row>
    <row r="2458" spans="20:21" x14ac:dyDescent="0.25">
      <c r="T2458" s="57">
        <v>42231</v>
      </c>
      <c r="U2458" s="41">
        <v>1.8709073900841908E-2</v>
      </c>
    </row>
    <row r="2459" spans="20:21" x14ac:dyDescent="0.25">
      <c r="T2459" s="57">
        <v>42232</v>
      </c>
      <c r="U2459" s="41">
        <v>2.8571428571428571E-2</v>
      </c>
    </row>
    <row r="2460" spans="20:21" x14ac:dyDescent="0.25">
      <c r="T2460" s="57">
        <v>42239</v>
      </c>
      <c r="U2460" s="41">
        <v>2.0569620253164556E-2</v>
      </c>
    </row>
    <row r="2461" spans="20:21" x14ac:dyDescent="0.25">
      <c r="T2461" s="57">
        <v>42246</v>
      </c>
      <c r="U2461" s="41">
        <v>2.4918743228602384E-2</v>
      </c>
    </row>
    <row r="2462" spans="20:21" x14ac:dyDescent="0.25">
      <c r="T2462" s="57">
        <v>42253</v>
      </c>
      <c r="U2462" s="41">
        <v>1.5100671140939598E-2</v>
      </c>
    </row>
    <row r="2463" spans="20:21" x14ac:dyDescent="0.25">
      <c r="T2463" s="57">
        <v>42260</v>
      </c>
      <c r="U2463" s="41">
        <v>3.017832647462277E-2</v>
      </c>
    </row>
    <row r="2464" spans="20:21" x14ac:dyDescent="0.25">
      <c r="T2464" s="57">
        <v>42267</v>
      </c>
      <c r="U2464" s="41">
        <v>2.7149321266968326E-2</v>
      </c>
    </row>
    <row r="2465" spans="20:21" x14ac:dyDescent="0.25">
      <c r="T2465" s="57">
        <v>42274</v>
      </c>
      <c r="U2465" s="41">
        <v>1.5734265734265736E-2</v>
      </c>
    </row>
    <row r="2466" spans="20:21" x14ac:dyDescent="0.25">
      <c r="T2466" s="57">
        <v>42281</v>
      </c>
      <c r="U2466" s="41">
        <v>2.5110782865583457E-2</v>
      </c>
    </row>
    <row r="2467" spans="20:21" x14ac:dyDescent="0.25">
      <c r="T2467" s="57">
        <v>42288</v>
      </c>
      <c r="U2467" s="41">
        <v>1.2600229095074456E-2</v>
      </c>
    </row>
    <row r="2468" spans="20:21" x14ac:dyDescent="0.25">
      <c r="T2468" s="57">
        <v>42295</v>
      </c>
      <c r="U2468" s="41">
        <v>3.430531732418525E-2</v>
      </c>
    </row>
    <row r="2469" spans="20:21" x14ac:dyDescent="0.25">
      <c r="T2469" s="57">
        <v>42302</v>
      </c>
      <c r="U2469" s="41">
        <v>2.197802197802198E-2</v>
      </c>
    </row>
    <row r="2470" spans="20:21" x14ac:dyDescent="0.25">
      <c r="T2470" s="57">
        <v>42309</v>
      </c>
      <c r="U2470" s="41">
        <v>1.8433179723502304E-2</v>
      </c>
    </row>
    <row r="2471" spans="20:21" x14ac:dyDescent="0.25">
      <c r="T2471" s="57">
        <v>42316</v>
      </c>
      <c r="U2471" s="41">
        <v>1.1811023622047244E-2</v>
      </c>
    </row>
    <row r="2472" spans="20:21" x14ac:dyDescent="0.25">
      <c r="T2472" s="57">
        <v>42323</v>
      </c>
      <c r="U2472" s="41">
        <v>2.3385300668151449E-2</v>
      </c>
    </row>
    <row r="2473" spans="20:21" x14ac:dyDescent="0.25">
      <c r="T2473" s="57">
        <v>42330</v>
      </c>
      <c r="U2473" s="41">
        <v>2.336448598130841E-2</v>
      </c>
    </row>
    <row r="2474" spans="20:21" x14ac:dyDescent="0.25">
      <c r="T2474" s="57">
        <v>42337</v>
      </c>
      <c r="U2474" s="41">
        <v>2.6470588235294117E-2</v>
      </c>
    </row>
    <row r="2475" spans="20:21" x14ac:dyDescent="0.25">
      <c r="T2475" s="57">
        <v>42344</v>
      </c>
      <c r="U2475" s="41">
        <v>8.0000000000000002E-3</v>
      </c>
    </row>
    <row r="2476" spans="20:21" x14ac:dyDescent="0.25">
      <c r="T2476" s="57">
        <v>42351</v>
      </c>
      <c r="U2476" s="41">
        <v>1.6286644951140065E-2</v>
      </c>
    </row>
    <row r="2477" spans="20:21" x14ac:dyDescent="0.25">
      <c r="T2477" s="57">
        <v>42358</v>
      </c>
      <c r="U2477" s="41">
        <v>1.9938650306748466E-2</v>
      </c>
    </row>
    <row r="2478" spans="20:21" x14ac:dyDescent="0.25">
      <c r="T2478" s="57">
        <v>42362</v>
      </c>
      <c r="U2478" s="41">
        <v>1.5942028985507246E-2</v>
      </c>
    </row>
    <row r="2479" spans="20:21" x14ac:dyDescent="0.25">
      <c r="T2479" s="57">
        <v>42363</v>
      </c>
      <c r="U2479" s="41">
        <v>2.5673940949935817E-2</v>
      </c>
    </row>
    <row r="2480" spans="20:21" x14ac:dyDescent="0.25">
      <c r="T2480" s="57">
        <v>42365</v>
      </c>
      <c r="U2480" s="41">
        <v>8.8028169014084511E-3</v>
      </c>
    </row>
    <row r="2481" spans="20:21" x14ac:dyDescent="0.25">
      <c r="T2481" s="57">
        <v>42372</v>
      </c>
      <c r="U2481" s="41">
        <v>2.1874999999999999E-2</v>
      </c>
    </row>
    <row r="2482" spans="20:21" x14ac:dyDescent="0.25">
      <c r="T2482" s="57">
        <v>42379</v>
      </c>
      <c r="U2482" s="41">
        <v>3.7096774193548385E-2</v>
      </c>
    </row>
    <row r="2483" spans="20:21" x14ac:dyDescent="0.25">
      <c r="T2483" s="57">
        <v>42386</v>
      </c>
      <c r="U2483" s="41">
        <v>1.9204389574759947E-2</v>
      </c>
    </row>
    <row r="2484" spans="20:21" x14ac:dyDescent="0.25">
      <c r="T2484" s="57">
        <v>42393</v>
      </c>
      <c r="U2484" s="41">
        <v>2.9239766081871343E-2</v>
      </c>
    </row>
    <row r="2485" spans="20:21" x14ac:dyDescent="0.25">
      <c r="T2485" s="57">
        <v>42400</v>
      </c>
      <c r="U2485" s="41">
        <v>2.3450586264656615E-2</v>
      </c>
    </row>
    <row r="2486" spans="20:21" x14ac:dyDescent="0.25">
      <c r="T2486" s="57">
        <v>42407</v>
      </c>
      <c r="U2486" s="41">
        <v>2.0504731861198739E-2</v>
      </c>
    </row>
    <row r="2487" spans="20:21" x14ac:dyDescent="0.25">
      <c r="T2487" s="57">
        <v>42414</v>
      </c>
      <c r="U2487" s="41">
        <v>2.7510316368638238E-2</v>
      </c>
    </row>
    <row r="2488" spans="20:21" x14ac:dyDescent="0.25">
      <c r="T2488" s="57">
        <v>42421</v>
      </c>
      <c r="U2488" s="41">
        <v>2.8169014084507043E-2</v>
      </c>
    </row>
    <row r="2489" spans="20:21" x14ac:dyDescent="0.25">
      <c r="T2489" s="57">
        <v>42428</v>
      </c>
      <c r="U2489" s="41">
        <v>2.5793650793650792E-2</v>
      </c>
    </row>
    <row r="2490" spans="20:21" x14ac:dyDescent="0.25">
      <c r="T2490" s="57">
        <v>42435</v>
      </c>
      <c r="U2490" s="41">
        <v>1.859504132231405E-2</v>
      </c>
    </row>
    <row r="2491" spans="20:21" x14ac:dyDescent="0.25">
      <c r="T2491" s="57">
        <v>42442</v>
      </c>
      <c r="U2491" s="41">
        <v>8.7829360100376407E-3</v>
      </c>
    </row>
    <row r="2492" spans="20:21" x14ac:dyDescent="0.25">
      <c r="T2492" s="57">
        <v>42449</v>
      </c>
      <c r="U2492" s="41">
        <v>4.8622366288492709E-2</v>
      </c>
    </row>
    <row r="2493" spans="20:21" x14ac:dyDescent="0.25">
      <c r="T2493" s="57">
        <v>42456</v>
      </c>
      <c r="U2493" s="41">
        <v>1.8251681075888569E-2</v>
      </c>
    </row>
    <row r="2494" spans="20:21" x14ac:dyDescent="0.25">
      <c r="T2494" s="57">
        <v>42463</v>
      </c>
      <c r="U2494" s="41">
        <v>2.996845425867508E-2</v>
      </c>
    </row>
    <row r="2495" spans="20:21" x14ac:dyDescent="0.25">
      <c r="T2495" s="57">
        <v>42470</v>
      </c>
      <c r="U2495" s="41">
        <v>2.4793388429752067E-2</v>
      </c>
    </row>
    <row r="2496" spans="20:21" x14ac:dyDescent="0.25">
      <c r="T2496" s="57">
        <v>42477</v>
      </c>
      <c r="U2496" s="41">
        <v>3.1298904538341159E-2</v>
      </c>
    </row>
    <row r="2497" spans="20:21" x14ac:dyDescent="0.25">
      <c r="T2497" s="57">
        <v>42484</v>
      </c>
      <c r="U2497" s="41">
        <v>2.5167785234899327E-2</v>
      </c>
    </row>
    <row r="2498" spans="20:21" x14ac:dyDescent="0.25">
      <c r="T2498" s="57">
        <v>42491</v>
      </c>
      <c r="U2498" s="41">
        <v>2.2146507666098807E-2</v>
      </c>
    </row>
    <row r="2499" spans="20:21" x14ac:dyDescent="0.25">
      <c r="T2499" s="57">
        <v>42495</v>
      </c>
      <c r="U2499" s="41">
        <v>2.2068965517241378E-2</v>
      </c>
    </row>
    <row r="2500" spans="20:21" x14ac:dyDescent="0.25">
      <c r="T2500" s="57">
        <v>42498</v>
      </c>
      <c r="U2500" s="41">
        <v>3.2733224222585927E-2</v>
      </c>
    </row>
    <row r="2501" spans="20:21" x14ac:dyDescent="0.25">
      <c r="T2501" s="57">
        <v>42505</v>
      </c>
      <c r="U2501" s="41">
        <v>1.2716763005780347E-2</v>
      </c>
    </row>
    <row r="2502" spans="20:21" x14ac:dyDescent="0.25">
      <c r="T2502" s="57">
        <v>42512</v>
      </c>
      <c r="U2502" s="41">
        <v>1.8433179723502304E-2</v>
      </c>
    </row>
    <row r="2503" spans="20:21" x14ac:dyDescent="0.25">
      <c r="T2503" s="57">
        <v>42519</v>
      </c>
      <c r="U2503" s="41">
        <v>1.1293634496919919E-2</v>
      </c>
    </row>
    <row r="2504" spans="20:21" x14ac:dyDescent="0.25">
      <c r="T2504" s="57">
        <v>42526</v>
      </c>
      <c r="U2504" s="41">
        <v>2.3547880690737835E-2</v>
      </c>
    </row>
    <row r="2505" spans="20:21" x14ac:dyDescent="0.25">
      <c r="T2505" s="57">
        <v>42533</v>
      </c>
      <c r="U2505" s="41">
        <v>3.0844155844155844E-2</v>
      </c>
    </row>
    <row r="2506" spans="20:21" x14ac:dyDescent="0.25">
      <c r="T2506" s="57">
        <v>42540</v>
      </c>
      <c r="U2506" s="41">
        <v>4.3806646525679761E-2</v>
      </c>
    </row>
    <row r="2507" spans="20:21" x14ac:dyDescent="0.25">
      <c r="T2507" s="57">
        <v>42547</v>
      </c>
      <c r="U2507" s="41">
        <v>2.1037868162692847E-2</v>
      </c>
    </row>
    <row r="2508" spans="20:21" x14ac:dyDescent="0.25">
      <c r="T2508" s="57">
        <v>42554</v>
      </c>
      <c r="U2508" s="41">
        <v>2.0183486238532111E-2</v>
      </c>
    </row>
    <row r="2509" spans="20:21" x14ac:dyDescent="0.25">
      <c r="T2509" s="57">
        <v>42561</v>
      </c>
      <c r="U2509" s="41">
        <v>2.2617124394184167E-2</v>
      </c>
    </row>
    <row r="2510" spans="20:21" x14ac:dyDescent="0.25">
      <c r="T2510" s="57">
        <v>42568</v>
      </c>
      <c r="U2510" s="41">
        <v>2.5600000000000001E-2</v>
      </c>
    </row>
    <row r="2511" spans="20:21" x14ac:dyDescent="0.25">
      <c r="T2511" s="57">
        <v>42575</v>
      </c>
      <c r="U2511" s="41">
        <v>2.9940119760479042E-2</v>
      </c>
    </row>
    <row r="2512" spans="20:21" x14ac:dyDescent="0.25">
      <c r="T2512" s="57">
        <v>42582</v>
      </c>
      <c r="U2512" s="41">
        <v>2.4590163934426229E-2</v>
      </c>
    </row>
    <row r="2513" spans="20:21" x14ac:dyDescent="0.25">
      <c r="T2513" s="57">
        <v>42589</v>
      </c>
      <c r="U2513" s="41">
        <v>6.6844919786096255E-3</v>
      </c>
    </row>
    <row r="2514" spans="20:21" x14ac:dyDescent="0.25">
      <c r="T2514" s="57">
        <v>42596</v>
      </c>
      <c r="U2514" s="41">
        <v>2.4169184290030211E-2</v>
      </c>
    </row>
    <row r="2515" spans="20:21" x14ac:dyDescent="0.25">
      <c r="T2515" s="57">
        <v>42597</v>
      </c>
      <c r="U2515" s="41">
        <v>2.923076923076923E-2</v>
      </c>
    </row>
    <row r="2516" spans="20:21" x14ac:dyDescent="0.25">
      <c r="T2516" s="57">
        <v>42603</v>
      </c>
      <c r="U2516" s="41">
        <v>3.6328871892925434E-2</v>
      </c>
    </row>
    <row r="2517" spans="20:21" x14ac:dyDescent="0.25">
      <c r="T2517" s="57">
        <v>42610</v>
      </c>
      <c r="U2517" s="41">
        <v>2.2257551669316374E-2</v>
      </c>
    </row>
    <row r="2518" spans="20:21" x14ac:dyDescent="0.25">
      <c r="T2518" s="57">
        <v>42617</v>
      </c>
      <c r="U2518" s="41">
        <v>2.0618556701030927E-2</v>
      </c>
    </row>
    <row r="2519" spans="20:21" x14ac:dyDescent="0.25">
      <c r="T2519" s="57">
        <v>42624</v>
      </c>
      <c r="U2519" s="41">
        <v>1.2345679012345678E-2</v>
      </c>
    </row>
    <row r="2520" spans="20:21" x14ac:dyDescent="0.25">
      <c r="T2520" s="57">
        <v>42631</v>
      </c>
      <c r="U2520" s="41">
        <v>2.6711185308848081E-2</v>
      </c>
    </row>
    <row r="2521" spans="20:21" x14ac:dyDescent="0.25">
      <c r="T2521" s="57">
        <v>42638</v>
      </c>
      <c r="U2521" s="41">
        <v>4.261363636363636E-3</v>
      </c>
    </row>
    <row r="2522" spans="20:21" x14ac:dyDescent="0.25">
      <c r="T2522" s="57">
        <v>42645</v>
      </c>
      <c r="U2522" s="41">
        <v>2.6587887740029542E-2</v>
      </c>
    </row>
    <row r="2523" spans="20:21" x14ac:dyDescent="0.25">
      <c r="T2523" s="57">
        <v>42652</v>
      </c>
      <c r="U2523" s="41">
        <v>4.5088566827697261E-2</v>
      </c>
    </row>
    <row r="2524" spans="20:21" x14ac:dyDescent="0.25">
      <c r="T2524" s="57">
        <v>42659</v>
      </c>
      <c r="U2524" s="41">
        <v>9.22266139657444E-3</v>
      </c>
    </row>
    <row r="2525" spans="20:21" x14ac:dyDescent="0.25">
      <c r="T2525" s="57">
        <v>42666</v>
      </c>
      <c r="U2525" s="41">
        <v>1.4084507042253521E-2</v>
      </c>
    </row>
    <row r="2526" spans="20:21" x14ac:dyDescent="0.25">
      <c r="T2526" s="57">
        <v>42673</v>
      </c>
      <c r="U2526" s="41">
        <v>1.397712833545108E-2</v>
      </c>
    </row>
    <row r="2527" spans="20:21" x14ac:dyDescent="0.25">
      <c r="T2527" s="57">
        <v>42675</v>
      </c>
      <c r="U2527" s="41">
        <v>7.4999999999999997E-3</v>
      </c>
    </row>
    <row r="2528" spans="20:21" x14ac:dyDescent="0.25">
      <c r="T2528" s="57">
        <v>42680</v>
      </c>
      <c r="U2528" s="41">
        <v>4.6204620462046202E-2</v>
      </c>
    </row>
    <row r="2529" spans="20:21" x14ac:dyDescent="0.25">
      <c r="T2529" s="57">
        <v>42687</v>
      </c>
      <c r="U2529" s="41">
        <v>2.1390374331550801E-2</v>
      </c>
    </row>
    <row r="2530" spans="20:21" x14ac:dyDescent="0.25">
      <c r="T2530" s="57">
        <v>42694</v>
      </c>
      <c r="U2530" s="41">
        <v>2.3679417122040074E-2</v>
      </c>
    </row>
    <row r="2531" spans="20:21" x14ac:dyDescent="0.25">
      <c r="T2531" s="57">
        <v>42701</v>
      </c>
      <c r="U2531" s="41">
        <v>2.2857142857142857E-2</v>
      </c>
    </row>
    <row r="2532" spans="20:21" x14ac:dyDescent="0.25">
      <c r="T2532" s="57">
        <v>42708</v>
      </c>
      <c r="U2532" s="41">
        <v>8.8235294117647058E-3</v>
      </c>
    </row>
    <row r="2533" spans="20:21" x14ac:dyDescent="0.25">
      <c r="T2533" s="57">
        <v>42715</v>
      </c>
      <c r="U2533" s="41">
        <v>3.8167938931297711E-2</v>
      </c>
    </row>
    <row r="2534" spans="20:21" x14ac:dyDescent="0.25">
      <c r="T2534" s="57">
        <v>42722</v>
      </c>
      <c r="U2534" s="41">
        <v>1.7241379310344827E-2</v>
      </c>
    </row>
    <row r="2535" spans="20:21" x14ac:dyDescent="0.25">
      <c r="T2535" s="57">
        <v>42728</v>
      </c>
      <c r="U2535" s="41">
        <v>2.2774327122153208E-2</v>
      </c>
    </row>
    <row r="2536" spans="20:21" x14ac:dyDescent="0.25">
      <c r="T2536" s="57">
        <v>42729</v>
      </c>
      <c r="U2536" s="41">
        <v>2.8768699654775604E-2</v>
      </c>
    </row>
    <row r="2537" spans="20:21" x14ac:dyDescent="0.25">
      <c r="T2537" s="57">
        <v>42736</v>
      </c>
      <c r="U2537" s="41">
        <v>2.5036818851251842E-2</v>
      </c>
    </row>
    <row r="2538" spans="20:21" x14ac:dyDescent="0.25">
      <c r="T2538" s="57">
        <v>42743</v>
      </c>
      <c r="U2538" s="41">
        <v>2.3608768971332208E-2</v>
      </c>
    </row>
    <row r="2539" spans="20:21" x14ac:dyDescent="0.25">
      <c r="T2539" s="57">
        <v>42750</v>
      </c>
      <c r="U2539" s="41">
        <v>1.984126984126984E-2</v>
      </c>
    </row>
    <row r="2540" spans="20:21" x14ac:dyDescent="0.25">
      <c r="T2540" s="57">
        <v>42757</v>
      </c>
      <c r="U2540" s="41">
        <v>1.5037593984962405E-2</v>
      </c>
    </row>
    <row r="2541" spans="20:21" x14ac:dyDescent="0.25">
      <c r="T2541" s="57">
        <v>42764</v>
      </c>
      <c r="U2541" s="41">
        <v>3.6121673003802278E-2</v>
      </c>
    </row>
    <row r="2542" spans="20:21" x14ac:dyDescent="0.25">
      <c r="T2542" s="57">
        <v>42771</v>
      </c>
      <c r="U2542" s="41">
        <v>1.50093808630394E-2</v>
      </c>
    </row>
    <row r="2543" spans="20:21" x14ac:dyDescent="0.25">
      <c r="T2543" s="57">
        <v>42778</v>
      </c>
      <c r="U2543" s="41">
        <v>1.2924071082390954E-2</v>
      </c>
    </row>
    <row r="2544" spans="20:21" x14ac:dyDescent="0.25">
      <c r="T2544" s="57">
        <v>42785</v>
      </c>
      <c r="U2544" s="41">
        <v>1.2480499219968799E-2</v>
      </c>
    </row>
    <row r="2545" spans="20:21" x14ac:dyDescent="0.25">
      <c r="T2545" s="57">
        <v>42792</v>
      </c>
      <c r="U2545" s="41">
        <v>1.9548872180451128E-2</v>
      </c>
    </row>
    <row r="2546" spans="20:21" x14ac:dyDescent="0.25">
      <c r="T2546" s="57">
        <v>42799</v>
      </c>
      <c r="U2546" s="41">
        <v>1.3182674199623353E-2</v>
      </c>
    </row>
    <row r="2547" spans="20:21" x14ac:dyDescent="0.25">
      <c r="T2547" s="57">
        <v>42806</v>
      </c>
      <c r="U2547" s="41">
        <v>3.4090909090909088E-2</v>
      </c>
    </row>
    <row r="2548" spans="20:21" x14ac:dyDescent="0.25">
      <c r="T2548" s="57">
        <v>42813</v>
      </c>
      <c r="U2548" s="41">
        <v>2.1543985637342909E-2</v>
      </c>
    </row>
    <row r="2549" spans="20:21" x14ac:dyDescent="0.25">
      <c r="T2549" s="57">
        <v>42820</v>
      </c>
      <c r="U2549" s="41">
        <v>3.1397174254317109E-2</v>
      </c>
    </row>
    <row r="2550" spans="20:21" x14ac:dyDescent="0.25">
      <c r="T2550" s="57">
        <v>42827</v>
      </c>
      <c r="U2550" s="41">
        <v>1.1034482758620689E-2</v>
      </c>
    </row>
    <row r="2551" spans="20:21" x14ac:dyDescent="0.25">
      <c r="T2551" s="57">
        <v>42834</v>
      </c>
      <c r="U2551" s="41">
        <v>2.8000000000000001E-2</v>
      </c>
    </row>
    <row r="2552" spans="20:21" x14ac:dyDescent="0.25">
      <c r="T2552" s="57">
        <v>42841</v>
      </c>
      <c r="U2552" s="41">
        <v>1.9172552976791119E-2</v>
      </c>
    </row>
    <row r="2553" spans="20:21" x14ac:dyDescent="0.25">
      <c r="T2553" s="57">
        <v>42848</v>
      </c>
      <c r="U2553" s="41">
        <v>4.1720990873533245E-2</v>
      </c>
    </row>
    <row r="2554" spans="20:21" x14ac:dyDescent="0.25">
      <c r="T2554" s="57">
        <v>42855</v>
      </c>
      <c r="U2554" s="41">
        <v>2.8081123244929798E-2</v>
      </c>
    </row>
    <row r="2555" spans="20:21" x14ac:dyDescent="0.25">
      <c r="T2555" s="57">
        <v>42862</v>
      </c>
      <c r="U2555" s="41">
        <v>2.0057306590257881E-2</v>
      </c>
    </row>
    <row r="2556" spans="20:21" x14ac:dyDescent="0.25">
      <c r="T2556" s="57">
        <v>42869</v>
      </c>
      <c r="U2556" s="41">
        <v>2.2432113341204249E-2</v>
      </c>
    </row>
    <row r="2557" spans="20:21" x14ac:dyDescent="0.25">
      <c r="T2557" s="57">
        <v>42876</v>
      </c>
      <c r="U2557" s="41">
        <v>1.6207455429497569E-2</v>
      </c>
    </row>
    <row r="2558" spans="20:21" x14ac:dyDescent="0.25">
      <c r="T2558" s="57">
        <v>42880</v>
      </c>
      <c r="U2558" s="41">
        <v>1.3755158184319119E-2</v>
      </c>
    </row>
    <row r="2559" spans="20:21" x14ac:dyDescent="0.25">
      <c r="T2559" s="57">
        <v>42883</v>
      </c>
      <c r="U2559" s="41">
        <v>4.4262295081967211E-2</v>
      </c>
    </row>
    <row r="2560" spans="20:21" x14ac:dyDescent="0.25">
      <c r="T2560" s="57">
        <v>42890</v>
      </c>
      <c r="U2560" s="41">
        <v>5.1993067590987867E-2</v>
      </c>
    </row>
    <row r="2561" spans="20:21" x14ac:dyDescent="0.25">
      <c r="T2561" s="57">
        <v>42897</v>
      </c>
      <c r="U2561" s="41">
        <v>3.2345013477088951E-2</v>
      </c>
    </row>
    <row r="2562" spans="20:21" x14ac:dyDescent="0.25">
      <c r="T2562" s="57">
        <v>42904</v>
      </c>
      <c r="U2562" s="41">
        <v>2.3985239852398525E-2</v>
      </c>
    </row>
    <row r="2563" spans="20:21" x14ac:dyDescent="0.25">
      <c r="T2563" s="57">
        <v>42911</v>
      </c>
      <c r="U2563" s="41">
        <v>2.2968197879858657E-2</v>
      </c>
    </row>
    <row r="2564" spans="20:21" x14ac:dyDescent="0.25">
      <c r="T2564" s="57">
        <v>42918</v>
      </c>
      <c r="U2564" s="41">
        <v>2.1538461538461538E-2</v>
      </c>
    </row>
    <row r="2565" spans="20:21" x14ac:dyDescent="0.25">
      <c r="T2565" s="57">
        <v>42925</v>
      </c>
      <c r="U2565" s="41">
        <v>2.9605263157894735E-2</v>
      </c>
    </row>
    <row r="2566" spans="20:21" x14ac:dyDescent="0.25">
      <c r="T2566" s="57">
        <v>42932</v>
      </c>
      <c r="U2566" s="41">
        <v>2.7777777777777776E-2</v>
      </c>
    </row>
    <row r="2567" spans="20:21" x14ac:dyDescent="0.25">
      <c r="T2567" s="57">
        <v>42939</v>
      </c>
      <c r="U2567" s="41">
        <v>1.9138755980861243E-2</v>
      </c>
    </row>
    <row r="2568" spans="20:21" x14ac:dyDescent="0.25">
      <c r="T2568" s="57">
        <v>42946</v>
      </c>
      <c r="U2568" s="41">
        <v>2.0061728395061727E-2</v>
      </c>
    </row>
    <row r="2569" spans="20:21" x14ac:dyDescent="0.25">
      <c r="T2569" s="57">
        <v>42953</v>
      </c>
      <c r="U2569" s="41">
        <v>2.643171806167401E-2</v>
      </c>
    </row>
    <row r="2570" spans="20:21" x14ac:dyDescent="0.25">
      <c r="T2570" s="57">
        <v>42960</v>
      </c>
      <c r="U2570" s="41">
        <v>1.4265335235378032E-2</v>
      </c>
    </row>
    <row r="2571" spans="20:21" x14ac:dyDescent="0.25">
      <c r="T2571" s="57">
        <v>42962</v>
      </c>
      <c r="U2571" s="41">
        <v>2.7950310559006212E-2</v>
      </c>
    </row>
    <row r="2572" spans="20:21" x14ac:dyDescent="0.25">
      <c r="T2572" s="57">
        <v>42967</v>
      </c>
      <c r="U2572" s="41">
        <v>2.9096477794793262E-2</v>
      </c>
    </row>
    <row r="2573" spans="20:21" x14ac:dyDescent="0.25">
      <c r="T2573" s="57">
        <v>42974</v>
      </c>
      <c r="U2573" s="41">
        <v>4.807692307692308E-2</v>
      </c>
    </row>
    <row r="2574" spans="20:21" x14ac:dyDescent="0.25">
      <c r="T2574" s="57">
        <v>42981</v>
      </c>
      <c r="U2574" s="41">
        <v>1.2522361359570662E-2</v>
      </c>
    </row>
    <row r="2575" spans="20:21" x14ac:dyDescent="0.25">
      <c r="T2575" s="57">
        <v>42988</v>
      </c>
      <c r="U2575" s="41">
        <v>1.6975308641975308E-2</v>
      </c>
    </row>
    <row r="2576" spans="20:21" x14ac:dyDescent="0.25">
      <c r="T2576" s="57">
        <v>42995</v>
      </c>
      <c r="U2576" s="41">
        <v>2.5682182985553772E-2</v>
      </c>
    </row>
    <row r="2577" spans="20:21" x14ac:dyDescent="0.25">
      <c r="T2577" s="57">
        <v>43002</v>
      </c>
      <c r="U2577" s="41">
        <v>4.30416068866571E-3</v>
      </c>
    </row>
    <row r="2578" spans="20:21" x14ac:dyDescent="0.25">
      <c r="T2578" s="57">
        <v>43009</v>
      </c>
      <c r="U2578" s="41">
        <v>1.7574692442882251E-2</v>
      </c>
    </row>
    <row r="2579" spans="20:21" x14ac:dyDescent="0.25">
      <c r="T2579" s="57">
        <v>43016</v>
      </c>
      <c r="U2579" s="41">
        <v>3.0303030303030304E-2</v>
      </c>
    </row>
    <row r="2580" spans="20:21" x14ac:dyDescent="0.25">
      <c r="T2580" s="57">
        <v>43023</v>
      </c>
      <c r="U2580" s="41">
        <v>2.564102564102564E-2</v>
      </c>
    </row>
    <row r="2581" spans="20:21" x14ac:dyDescent="0.25">
      <c r="T2581" s="57">
        <v>43030</v>
      </c>
      <c r="U2581" s="41">
        <v>2.4258760107816711E-2</v>
      </c>
    </row>
    <row r="2582" spans="20:21" x14ac:dyDescent="0.25">
      <c r="T2582" s="57">
        <v>43037</v>
      </c>
      <c r="U2582" s="41">
        <v>2.2321428571428572E-2</v>
      </c>
    </row>
    <row r="2583" spans="20:21" x14ac:dyDescent="0.25">
      <c r="T2583" s="57">
        <v>43040</v>
      </c>
      <c r="U2583" s="41">
        <v>1.4802631578947368E-2</v>
      </c>
    </row>
    <row r="2584" spans="20:21" x14ac:dyDescent="0.25">
      <c r="T2584" s="57">
        <v>43044</v>
      </c>
      <c r="U2584" s="41">
        <v>1.7182130584192441E-2</v>
      </c>
    </row>
    <row r="2585" spans="20:21" x14ac:dyDescent="0.25">
      <c r="T2585" s="57">
        <v>43051</v>
      </c>
      <c r="U2585" s="41">
        <v>2.734375E-2</v>
      </c>
    </row>
    <row r="2586" spans="20:21" x14ac:dyDescent="0.25">
      <c r="T2586" s="57">
        <v>43058</v>
      </c>
      <c r="U2586" s="41">
        <v>1.7295597484276729E-2</v>
      </c>
    </row>
    <row r="2587" spans="20:21" x14ac:dyDescent="0.25">
      <c r="T2587" s="57">
        <v>43065</v>
      </c>
      <c r="U2587" s="41">
        <v>1.83982683982684E-2</v>
      </c>
    </row>
    <row r="2588" spans="20:21" x14ac:dyDescent="0.25">
      <c r="T2588" s="57">
        <v>43072</v>
      </c>
      <c r="U2588" s="41">
        <v>1.6891891891891893E-2</v>
      </c>
    </row>
    <row r="2589" spans="20:21" x14ac:dyDescent="0.25">
      <c r="T2589" s="57">
        <v>43079</v>
      </c>
      <c r="U2589" s="41">
        <v>1.4059753954305799E-2</v>
      </c>
    </row>
    <row r="2590" spans="20:21" x14ac:dyDescent="0.25">
      <c r="T2590" s="57">
        <v>43086</v>
      </c>
      <c r="U2590" s="41">
        <v>2.0100502512562814E-2</v>
      </c>
    </row>
    <row r="2591" spans="20:21" x14ac:dyDescent="0.25">
      <c r="T2591" s="57">
        <v>43093</v>
      </c>
      <c r="U2591" s="41">
        <v>1.0009099181073703E-2</v>
      </c>
    </row>
    <row r="2592" spans="20:21" x14ac:dyDescent="0.25">
      <c r="T2592" s="57">
        <v>43093</v>
      </c>
      <c r="U2592" s="41">
        <v>9.5693779904306216E-3</v>
      </c>
    </row>
    <row r="2593" spans="20:21" x14ac:dyDescent="0.25">
      <c r="T2593" s="57">
        <v>43094</v>
      </c>
      <c r="U2593" s="41">
        <v>1.9047619047619049E-2</v>
      </c>
    </row>
    <row r="2594" spans="20:21" x14ac:dyDescent="0.25">
      <c r="T2594" s="57">
        <v>43100</v>
      </c>
      <c r="U2594" s="41">
        <v>1.3215859030837005E-2</v>
      </c>
    </row>
    <row r="2595" spans="20:21" x14ac:dyDescent="0.25">
      <c r="T2595" s="57">
        <v>43107</v>
      </c>
      <c r="U2595" s="41">
        <v>7.331378299120235E-3</v>
      </c>
    </row>
    <row r="2596" spans="20:21" x14ac:dyDescent="0.25">
      <c r="T2596" s="57">
        <v>43114</v>
      </c>
      <c r="U2596" s="41">
        <v>3.4071550255536626E-2</v>
      </c>
    </row>
    <row r="2597" spans="20:21" x14ac:dyDescent="0.25">
      <c r="T2597" s="57">
        <v>43121</v>
      </c>
      <c r="U2597" s="41">
        <v>2.0044543429844099E-2</v>
      </c>
    </row>
    <row r="2598" spans="20:21" x14ac:dyDescent="0.25">
      <c r="T2598" s="57">
        <v>43128</v>
      </c>
      <c r="U2598" s="41">
        <v>2.9315960912052116E-2</v>
      </c>
    </row>
    <row r="2599" spans="20:21" x14ac:dyDescent="0.25">
      <c r="T2599" s="57">
        <v>43135</v>
      </c>
      <c r="U2599" s="41">
        <v>6.55307994757536E-3</v>
      </c>
    </row>
    <row r="2600" spans="20:21" x14ac:dyDescent="0.25">
      <c r="T2600" s="57">
        <v>43142</v>
      </c>
      <c r="U2600" s="41">
        <v>2.0270270270270271E-2</v>
      </c>
    </row>
    <row r="2601" spans="20:21" x14ac:dyDescent="0.25">
      <c r="T2601" s="57">
        <v>43149</v>
      </c>
      <c r="U2601" s="41">
        <v>2.0527859237536656E-2</v>
      </c>
    </row>
    <row r="2602" spans="20:21" x14ac:dyDescent="0.25">
      <c r="T2602" s="57">
        <v>43156</v>
      </c>
      <c r="U2602" s="41">
        <v>1.6129032258064516E-2</v>
      </c>
    </row>
    <row r="2603" spans="20:21" x14ac:dyDescent="0.25">
      <c r="T2603" s="57">
        <v>43163</v>
      </c>
      <c r="U2603" s="41">
        <v>2.3734177215189875E-2</v>
      </c>
    </row>
    <row r="2604" spans="20:21" x14ac:dyDescent="0.25">
      <c r="T2604" s="57">
        <v>43170</v>
      </c>
      <c r="U2604" s="41">
        <v>2.7419354838709678E-2</v>
      </c>
    </row>
    <row r="2605" spans="20:21" x14ac:dyDescent="0.25">
      <c r="T2605" s="57">
        <v>43177</v>
      </c>
      <c r="U2605" s="41">
        <v>1.2162162162162163E-2</v>
      </c>
    </row>
    <row r="2606" spans="20:21" x14ac:dyDescent="0.25">
      <c r="T2606" s="57">
        <v>43184</v>
      </c>
      <c r="U2606" s="41">
        <v>3.5087719298245612E-2</v>
      </c>
    </row>
    <row r="2607" spans="20:21" x14ac:dyDescent="0.25">
      <c r="T2607" s="57">
        <v>43191</v>
      </c>
      <c r="U2607" s="41">
        <v>3.2569360675512665E-2</v>
      </c>
    </row>
    <row r="2608" spans="20:21" x14ac:dyDescent="0.25">
      <c r="T2608" s="57">
        <v>43198</v>
      </c>
      <c r="U2608" s="41">
        <v>3.0721966205837174E-2</v>
      </c>
    </row>
    <row r="2609" spans="20:21" x14ac:dyDescent="0.25">
      <c r="T2609" s="57">
        <v>43205</v>
      </c>
      <c r="U2609" s="41">
        <v>4.3541364296081275E-3</v>
      </c>
    </row>
    <row r="2610" spans="20:21" x14ac:dyDescent="0.25">
      <c r="T2610" s="57">
        <v>43212</v>
      </c>
      <c r="U2610" s="41">
        <v>2.1126760563380281E-2</v>
      </c>
    </row>
    <row r="2611" spans="20:21" x14ac:dyDescent="0.25">
      <c r="T2611" s="57">
        <v>43219</v>
      </c>
      <c r="U2611" s="41">
        <v>0.04</v>
      </c>
    </row>
    <row r="2612" spans="20:21" x14ac:dyDescent="0.25">
      <c r="T2612" s="57">
        <v>43226</v>
      </c>
      <c r="U2612" s="41">
        <v>3.7337662337662336E-2</v>
      </c>
    </row>
    <row r="2613" spans="20:21" x14ac:dyDescent="0.25">
      <c r="T2613" s="57">
        <v>43230</v>
      </c>
      <c r="U2613" s="41">
        <v>2.8506271379703536E-2</v>
      </c>
    </row>
    <row r="2614" spans="20:21" x14ac:dyDescent="0.25">
      <c r="T2614" s="57">
        <v>43233</v>
      </c>
      <c r="U2614" s="41">
        <v>4.4999999999999998E-2</v>
      </c>
    </row>
    <row r="2615" spans="20:21" x14ac:dyDescent="0.25">
      <c r="T2615" s="57">
        <v>43240</v>
      </c>
      <c r="U2615" s="41">
        <v>3.7296037296037296E-2</v>
      </c>
    </row>
    <row r="2616" spans="20:21" x14ac:dyDescent="0.25">
      <c r="T2616" s="57">
        <v>43247</v>
      </c>
      <c r="U2616" s="41">
        <v>4.3706293706293704E-2</v>
      </c>
    </row>
    <row r="2617" spans="20:21" x14ac:dyDescent="0.25">
      <c r="T2617" s="57">
        <v>43254</v>
      </c>
      <c r="U2617" s="41">
        <v>9.9857346647646214E-3</v>
      </c>
    </row>
    <row r="2618" spans="20:21" x14ac:dyDescent="0.25">
      <c r="T2618" s="57">
        <v>43261</v>
      </c>
      <c r="U2618" s="41">
        <v>1.1379800853485065E-2</v>
      </c>
    </row>
    <row r="2619" spans="20:21" x14ac:dyDescent="0.25">
      <c r="T2619" s="57">
        <v>43268</v>
      </c>
      <c r="U2619" s="41">
        <v>2.1739130434782608E-2</v>
      </c>
    </row>
    <row r="2620" spans="20:21" x14ac:dyDescent="0.25">
      <c r="T2620" s="57">
        <v>43275</v>
      </c>
      <c r="U2620" s="41">
        <v>2.385008517887564E-2</v>
      </c>
    </row>
    <row r="2621" spans="20:21" x14ac:dyDescent="0.25">
      <c r="T2621" s="57">
        <v>43282</v>
      </c>
      <c r="U2621" s="41">
        <v>2.5948103792415168E-2</v>
      </c>
    </row>
    <row r="2622" spans="20:21" x14ac:dyDescent="0.25">
      <c r="T2622" s="57">
        <v>43289</v>
      </c>
      <c r="U2622" s="41">
        <v>6.0553633217993078E-2</v>
      </c>
    </row>
    <row r="2623" spans="20:21" x14ac:dyDescent="0.25">
      <c r="T2623" s="57">
        <v>43296</v>
      </c>
      <c r="U2623" s="41">
        <v>1.5358361774744027E-2</v>
      </c>
    </row>
    <row r="2624" spans="20:21" x14ac:dyDescent="0.25">
      <c r="T2624" s="57">
        <v>43303</v>
      </c>
      <c r="U2624" s="41">
        <v>1.4150943396226415E-2</v>
      </c>
    </row>
    <row r="2625" spans="20:21" x14ac:dyDescent="0.25">
      <c r="T2625" s="57">
        <v>43310</v>
      </c>
      <c r="U2625" s="41">
        <v>2.1937842778793418E-2</v>
      </c>
    </row>
    <row r="2626" spans="20:21" x14ac:dyDescent="0.25">
      <c r="T2626" s="57">
        <v>43317</v>
      </c>
      <c r="U2626" s="41">
        <v>2.7883396704689482E-2</v>
      </c>
    </row>
    <row r="2627" spans="20:21" x14ac:dyDescent="0.25">
      <c r="T2627" s="57">
        <v>43324</v>
      </c>
      <c r="U2627" s="41">
        <v>2.7662517289073307E-3</v>
      </c>
    </row>
    <row r="2628" spans="20:21" x14ac:dyDescent="0.25">
      <c r="T2628" s="57">
        <v>43327</v>
      </c>
      <c r="U2628" s="41">
        <v>1.9762845849802372E-2</v>
      </c>
    </row>
    <row r="2629" spans="20:21" x14ac:dyDescent="0.25">
      <c r="T2629" s="57">
        <v>43331</v>
      </c>
      <c r="U2629" s="41">
        <v>1.858736059479554E-2</v>
      </c>
    </row>
    <row r="2630" spans="20:21" x14ac:dyDescent="0.25">
      <c r="T2630" s="57">
        <v>43338</v>
      </c>
      <c r="U2630" s="41">
        <v>2.5559105431309903E-2</v>
      </c>
    </row>
    <row r="2631" spans="20:21" x14ac:dyDescent="0.25">
      <c r="T2631" s="57">
        <v>43345</v>
      </c>
      <c r="U2631" s="41">
        <v>2.0202020202020204E-2</v>
      </c>
    </row>
    <row r="2632" spans="20:21" x14ac:dyDescent="0.25">
      <c r="T2632" s="57">
        <v>43352</v>
      </c>
      <c r="U2632" s="41">
        <v>2.8485757121439279E-2</v>
      </c>
    </row>
    <row r="2633" spans="20:21" x14ac:dyDescent="0.25">
      <c r="T2633" s="57">
        <v>43359</v>
      </c>
      <c r="U2633" s="41">
        <v>2.10016155088853E-2</v>
      </c>
    </row>
    <row r="2634" spans="20:21" x14ac:dyDescent="0.25">
      <c r="T2634" s="57">
        <v>43366</v>
      </c>
      <c r="U2634" s="41">
        <v>4.1322314049586778E-3</v>
      </c>
    </row>
    <row r="2635" spans="20:21" x14ac:dyDescent="0.25">
      <c r="T2635" s="57">
        <v>43373</v>
      </c>
      <c r="U2635" s="41">
        <v>1.2E-2</v>
      </c>
    </row>
    <row r="2636" spans="20:21" x14ac:dyDescent="0.25">
      <c r="T2636" s="57">
        <v>43380</v>
      </c>
      <c r="U2636" s="41">
        <v>2.2132796780684104E-2</v>
      </c>
    </row>
    <row r="2637" spans="20:21" x14ac:dyDescent="0.25">
      <c r="T2637" s="57">
        <v>43387</v>
      </c>
      <c r="U2637" s="41">
        <v>2.9635258358662615E-2</v>
      </c>
    </row>
    <row r="2638" spans="20:21" x14ac:dyDescent="0.25">
      <c r="T2638" s="57">
        <v>43394</v>
      </c>
      <c r="U2638" s="41">
        <v>2.3289665211062592E-2</v>
      </c>
    </row>
    <row r="2639" spans="20:21" x14ac:dyDescent="0.25">
      <c r="T2639" s="57">
        <v>43401</v>
      </c>
      <c r="U2639" s="41">
        <v>2.8455284552845527E-2</v>
      </c>
    </row>
    <row r="2640" spans="20:21" x14ac:dyDescent="0.25">
      <c r="T2640" s="57">
        <v>43405</v>
      </c>
      <c r="U2640" s="41">
        <v>2.403846153846154E-2</v>
      </c>
    </row>
    <row r="2641" spans="20:21" x14ac:dyDescent="0.25">
      <c r="T2641" s="57">
        <v>43408</v>
      </c>
      <c r="U2641" s="41">
        <v>2.1276595744680851E-2</v>
      </c>
    </row>
    <row r="2642" spans="20:21" x14ac:dyDescent="0.25">
      <c r="T2642" s="57">
        <v>43415</v>
      </c>
      <c r="U2642" s="41">
        <v>2.6862026862026864E-2</v>
      </c>
    </row>
    <row r="2643" spans="20:21" x14ac:dyDescent="0.25">
      <c r="T2643" s="57">
        <v>43422</v>
      </c>
      <c r="U2643" s="41">
        <v>3.4285714285714287E-2</v>
      </c>
    </row>
    <row r="2644" spans="20:21" x14ac:dyDescent="0.25">
      <c r="T2644" s="57">
        <v>43429</v>
      </c>
      <c r="U2644" s="41">
        <v>2.0491803278688523E-2</v>
      </c>
    </row>
    <row r="2645" spans="20:21" x14ac:dyDescent="0.25">
      <c r="T2645" s="57">
        <v>43436</v>
      </c>
      <c r="U2645" s="41">
        <v>3.1879194630872486E-2</v>
      </c>
    </row>
    <row r="2646" spans="20:21" x14ac:dyDescent="0.25">
      <c r="T2646" s="57">
        <v>43443</v>
      </c>
      <c r="U2646" s="41">
        <v>7.4404761904761901E-3</v>
      </c>
    </row>
    <row r="2647" spans="20:21" x14ac:dyDescent="0.25">
      <c r="T2647" s="57">
        <v>43450</v>
      </c>
      <c r="U2647" s="41">
        <v>7.8431372549019607E-3</v>
      </c>
    </row>
    <row r="2648" spans="20:21" x14ac:dyDescent="0.25">
      <c r="T2648" s="57">
        <v>43457</v>
      </c>
      <c r="U2648" s="41">
        <v>8.8757396449704144E-3</v>
      </c>
    </row>
    <row r="2649" spans="20:21" x14ac:dyDescent="0.25">
      <c r="T2649" s="57">
        <v>43458</v>
      </c>
      <c r="U2649" s="41">
        <v>1.6494845360824743E-2</v>
      </c>
    </row>
    <row r="2650" spans="20:21" x14ac:dyDescent="0.25">
      <c r="T2650" s="57">
        <v>43459</v>
      </c>
      <c r="U2650" s="41">
        <v>2.7287319422150885E-2</v>
      </c>
    </row>
    <row r="2651" spans="20:21" x14ac:dyDescent="0.25">
      <c r="T2651" s="57">
        <v>43464</v>
      </c>
      <c r="U2651" s="41">
        <v>1.0330578512396695E-2</v>
      </c>
    </row>
    <row r="2652" spans="20:21" x14ac:dyDescent="0.25">
      <c r="T2652" s="57">
        <v>43471</v>
      </c>
      <c r="U2652" s="41">
        <v>1.5277777777777777E-2</v>
      </c>
    </row>
    <row r="2653" spans="20:21" x14ac:dyDescent="0.25">
      <c r="T2653" s="57">
        <v>43478</v>
      </c>
      <c r="U2653" s="41">
        <v>4.1018387553041019E-2</v>
      </c>
    </row>
    <row r="2654" spans="20:21" x14ac:dyDescent="0.25">
      <c r="T2654" s="57">
        <v>43485</v>
      </c>
      <c r="U2654" s="41">
        <v>1.2298959318826869E-2</v>
      </c>
    </row>
    <row r="2655" spans="20:21" x14ac:dyDescent="0.25">
      <c r="T2655" s="57">
        <v>43492</v>
      </c>
      <c r="U2655" s="41">
        <v>1.9417475728155338E-2</v>
      </c>
    </row>
    <row r="2656" spans="20:21" x14ac:dyDescent="0.25">
      <c r="T2656" s="57">
        <v>43499</v>
      </c>
      <c r="U2656" s="41">
        <v>7.1770334928229667E-3</v>
      </c>
    </row>
    <row r="2657" spans="20:21" x14ac:dyDescent="0.25">
      <c r="T2657" s="57">
        <v>43506</v>
      </c>
      <c r="U2657" s="41">
        <v>1.8487394957983194E-2</v>
      </c>
    </row>
    <row r="2658" spans="20:21" x14ac:dyDescent="0.25">
      <c r="T2658" s="57">
        <v>43513</v>
      </c>
      <c r="U2658" s="41">
        <v>2.8943560057887119E-2</v>
      </c>
    </row>
    <row r="2659" spans="20:21" x14ac:dyDescent="0.25">
      <c r="T2659" s="57">
        <v>43520</v>
      </c>
      <c r="U2659" s="41">
        <v>1.2836970474967908E-2</v>
      </c>
    </row>
    <row r="2660" spans="20:21" x14ac:dyDescent="0.25">
      <c r="T2660" s="57">
        <v>43527</v>
      </c>
      <c r="U2660" s="41">
        <v>1.7980636237897647E-2</v>
      </c>
    </row>
    <row r="2661" spans="20:21" x14ac:dyDescent="0.25">
      <c r="T2661" s="57">
        <v>43534</v>
      </c>
      <c r="U2661" s="41">
        <v>9.4936708860759497E-3</v>
      </c>
    </row>
    <row r="2662" spans="20:21" x14ac:dyDescent="0.25">
      <c r="T2662" s="57">
        <v>43541</v>
      </c>
      <c r="U2662" s="41">
        <v>1.6129032258064516E-2</v>
      </c>
    </row>
    <row r="2663" spans="20:21" x14ac:dyDescent="0.25">
      <c r="T2663" s="57">
        <v>43548</v>
      </c>
      <c r="U2663" s="41">
        <v>1.9157088122605363E-2</v>
      </c>
    </row>
    <row r="2664" spans="20:21" x14ac:dyDescent="0.25">
      <c r="T2664" s="57">
        <v>43555</v>
      </c>
      <c r="U2664" s="41">
        <v>1.6169154228855721E-2</v>
      </c>
    </row>
    <row r="2665" spans="20:21" x14ac:dyDescent="0.25">
      <c r="T2665" s="57">
        <v>43562</v>
      </c>
      <c r="U2665" s="41">
        <v>1.5286624203821656E-2</v>
      </c>
    </row>
    <row r="2666" spans="20:21" x14ac:dyDescent="0.25">
      <c r="T2666" s="57">
        <v>43569</v>
      </c>
      <c r="U2666" s="41">
        <v>2.1739130434782608E-2</v>
      </c>
    </row>
    <row r="2667" spans="20:21" x14ac:dyDescent="0.25">
      <c r="T2667" s="57">
        <v>43576</v>
      </c>
      <c r="U2667" s="41">
        <v>3.3333333333333333E-2</v>
      </c>
    </row>
    <row r="2668" spans="20:21" x14ac:dyDescent="0.25">
      <c r="T2668" s="57">
        <v>43583</v>
      </c>
      <c r="U2668" s="41">
        <v>3.0844155844155844E-2</v>
      </c>
    </row>
    <row r="2669" spans="20:21" x14ac:dyDescent="0.25">
      <c r="T2669" s="57">
        <v>43590</v>
      </c>
      <c r="U2669" s="41">
        <v>1.5695067264573991E-2</v>
      </c>
    </row>
    <row r="2670" spans="20:21" x14ac:dyDescent="0.25">
      <c r="T2670" s="57">
        <v>43597</v>
      </c>
      <c r="U2670" s="41">
        <v>1.3568521031207599E-2</v>
      </c>
    </row>
    <row r="2671" spans="20:21" x14ac:dyDescent="0.25">
      <c r="T2671" s="57">
        <v>43604</v>
      </c>
      <c r="U2671" s="41">
        <v>1.0121457489878543E-2</v>
      </c>
    </row>
    <row r="2672" spans="20:21" x14ac:dyDescent="0.25">
      <c r="T2672" s="57">
        <v>43611</v>
      </c>
      <c r="U2672" s="41">
        <v>2.0547945205479451E-2</v>
      </c>
    </row>
    <row r="2673" spans="20:21" x14ac:dyDescent="0.25">
      <c r="T2673" s="57">
        <v>43615</v>
      </c>
      <c r="U2673" s="41">
        <v>4.4071353620146907E-2</v>
      </c>
    </row>
    <row r="2674" spans="20:21" x14ac:dyDescent="0.25">
      <c r="T2674" s="57">
        <v>43618</v>
      </c>
      <c r="U2674" s="41">
        <v>1.3289036544850499E-2</v>
      </c>
    </row>
    <row r="2675" spans="20:21" x14ac:dyDescent="0.25">
      <c r="T2675" s="57">
        <v>43625</v>
      </c>
      <c r="U2675" s="41">
        <v>6.5217391304347824E-2</v>
      </c>
    </row>
    <row r="2676" spans="20:21" x14ac:dyDescent="0.25">
      <c r="T2676" s="57">
        <v>43632</v>
      </c>
      <c r="U2676" s="41">
        <v>3.5897435897435895E-2</v>
      </c>
    </row>
    <row r="2677" spans="20:21" x14ac:dyDescent="0.25">
      <c r="T2677" s="57">
        <v>43639</v>
      </c>
      <c r="U2677" s="41">
        <v>1.5247776365946633E-2</v>
      </c>
    </row>
    <row r="2678" spans="20:21" x14ac:dyDescent="0.25">
      <c r="T2678" s="57">
        <v>43646</v>
      </c>
      <c r="U2678" s="41">
        <v>1.0075566750629723E-2</v>
      </c>
    </row>
    <row r="2679" spans="20:21" x14ac:dyDescent="0.25">
      <c r="T2679" s="57">
        <v>43653</v>
      </c>
      <c r="U2679" s="41">
        <v>3.0183727034120734E-2</v>
      </c>
    </row>
    <row r="2680" spans="20:21" x14ac:dyDescent="0.25">
      <c r="T2680" s="57">
        <v>43660</v>
      </c>
      <c r="U2680" s="41">
        <v>2.9593094944512947E-2</v>
      </c>
    </row>
    <row r="2681" spans="20:21" x14ac:dyDescent="0.25">
      <c r="T2681" s="57">
        <v>43667</v>
      </c>
      <c r="U2681" s="41">
        <v>1.7432646592709985E-2</v>
      </c>
    </row>
    <row r="2682" spans="20:21" x14ac:dyDescent="0.25">
      <c r="T2682" s="57">
        <v>43674</v>
      </c>
      <c r="U2682" s="41">
        <v>1.6476552598225603E-2</v>
      </c>
    </row>
    <row r="2683" spans="20:21" x14ac:dyDescent="0.25">
      <c r="T2683" s="57">
        <v>43681</v>
      </c>
      <c r="U2683" s="41">
        <v>1.3215859030837005E-2</v>
      </c>
    </row>
    <row r="2684" spans="20:21" x14ac:dyDescent="0.25">
      <c r="T2684" s="57">
        <v>43688</v>
      </c>
      <c r="U2684" s="41">
        <v>1.1494252873563218E-2</v>
      </c>
    </row>
    <row r="2685" spans="20:21" x14ac:dyDescent="0.25">
      <c r="T2685" s="57">
        <v>43692</v>
      </c>
      <c r="U2685" s="41">
        <v>2.0105820105820106E-2</v>
      </c>
    </row>
    <row r="2686" spans="20:21" x14ac:dyDescent="0.25">
      <c r="T2686" s="57">
        <v>43695</v>
      </c>
      <c r="U2686" s="41">
        <v>3.2042723631508681E-2</v>
      </c>
    </row>
    <row r="2687" spans="20:21" x14ac:dyDescent="0.25">
      <c r="T2687" s="57">
        <v>43702</v>
      </c>
      <c r="U2687" s="41">
        <v>2.1676300578034682E-2</v>
      </c>
    </row>
    <row r="2688" spans="20:21" x14ac:dyDescent="0.25">
      <c r="T2688" s="57">
        <v>43709</v>
      </c>
      <c r="U2688" s="41">
        <v>2.5157232704402517E-2</v>
      </c>
    </row>
    <row r="2689" spans="20:21" x14ac:dyDescent="0.25">
      <c r="T2689" s="57">
        <v>43716</v>
      </c>
      <c r="U2689" s="41">
        <v>6.3897763578274758E-3</v>
      </c>
    </row>
    <row r="2690" spans="20:21" x14ac:dyDescent="0.25">
      <c r="T2690" s="57">
        <v>43723</v>
      </c>
      <c r="U2690" s="41">
        <v>1.4925373134328358E-2</v>
      </c>
    </row>
    <row r="2691" spans="20:21" x14ac:dyDescent="0.25">
      <c r="T2691" s="57">
        <v>43730</v>
      </c>
      <c r="U2691" s="41">
        <v>2.4577572964669739E-2</v>
      </c>
    </row>
    <row r="2692" spans="20:21" x14ac:dyDescent="0.25">
      <c r="T2692" s="57">
        <v>43737</v>
      </c>
      <c r="U2692" s="41">
        <v>2.5062656641604009E-3</v>
      </c>
    </row>
    <row r="2693" spans="20:21" x14ac:dyDescent="0.25">
      <c r="T2693" s="57">
        <v>43744</v>
      </c>
      <c r="U2693" s="41">
        <v>1.1844331641285956E-2</v>
      </c>
    </row>
    <row r="2694" spans="20:21" x14ac:dyDescent="0.25">
      <c r="T2694" s="57">
        <v>43751</v>
      </c>
      <c r="U2694" s="41">
        <v>3.7604456824512536E-2</v>
      </c>
    </row>
    <row r="2695" spans="20:21" x14ac:dyDescent="0.25">
      <c r="T2695" s="57">
        <v>43758</v>
      </c>
      <c r="U2695" s="41">
        <v>2.359550561797753E-2</v>
      </c>
    </row>
    <row r="2696" spans="20:21" x14ac:dyDescent="0.25">
      <c r="T2696" s="57">
        <v>43765</v>
      </c>
      <c r="U2696" s="41">
        <v>1.4492753623188406E-2</v>
      </c>
    </row>
    <row r="2697" spans="20:21" x14ac:dyDescent="0.25">
      <c r="T2697" s="57">
        <v>43770</v>
      </c>
      <c r="U2697" s="41">
        <v>2.3012552301255231E-2</v>
      </c>
    </row>
    <row r="2698" spans="20:21" x14ac:dyDescent="0.25">
      <c r="T2698" s="57">
        <v>43772</v>
      </c>
      <c r="U2698" s="41">
        <v>3.2448377581120944E-2</v>
      </c>
    </row>
    <row r="2699" spans="20:21" x14ac:dyDescent="0.25">
      <c r="T2699" s="57">
        <v>43779</v>
      </c>
      <c r="U2699" s="41">
        <v>2.8877005347593583E-2</v>
      </c>
    </row>
    <row r="2700" spans="20:21" x14ac:dyDescent="0.25">
      <c r="T2700" s="57">
        <v>43786</v>
      </c>
      <c r="U2700" s="41">
        <v>1.3531799729364006E-2</v>
      </c>
    </row>
    <row r="2701" spans="20:21" x14ac:dyDescent="0.25">
      <c r="T2701" s="57">
        <v>43793</v>
      </c>
      <c r="U2701" s="41">
        <v>1.4723926380368098E-2</v>
      </c>
    </row>
    <row r="2702" spans="20:21" x14ac:dyDescent="0.25">
      <c r="T2702" s="57">
        <v>43800</v>
      </c>
      <c r="U2702" s="41">
        <v>2.6153846153846153E-2</v>
      </c>
    </row>
    <row r="2703" spans="20:21" x14ac:dyDescent="0.25">
      <c r="T2703" s="57">
        <v>43807</v>
      </c>
      <c r="U2703" s="41">
        <v>1.2096774193548387E-2</v>
      </c>
    </row>
    <row r="2704" spans="20:21" x14ac:dyDescent="0.25">
      <c r="T2704" s="57">
        <v>43814</v>
      </c>
      <c r="U2704" s="41">
        <v>1.6689847009735744E-2</v>
      </c>
    </row>
    <row r="2705" spans="20:21" x14ac:dyDescent="0.25">
      <c r="T2705" s="57">
        <v>43821</v>
      </c>
      <c r="U2705" s="41">
        <v>1.4598540145985401E-2</v>
      </c>
    </row>
    <row r="2706" spans="20:21" x14ac:dyDescent="0.25">
      <c r="T2706" s="57">
        <v>43824</v>
      </c>
      <c r="U2706" s="41">
        <v>1.8058690744920992E-2</v>
      </c>
    </row>
    <row r="2707" spans="20:21" x14ac:dyDescent="0.25">
      <c r="T2707" s="57">
        <v>43828</v>
      </c>
      <c r="U2707" s="41">
        <v>1.820388349514563E-2</v>
      </c>
    </row>
    <row r="2708" spans="20:21" x14ac:dyDescent="0.25">
      <c r="T2708" s="57">
        <v>43836</v>
      </c>
      <c r="U2708" s="41">
        <v>9.3023255813953487E-3</v>
      </c>
    </row>
    <row r="2709" spans="20:21" x14ac:dyDescent="0.25">
      <c r="T2709" s="57">
        <v>43842</v>
      </c>
      <c r="U2709" s="41">
        <v>1.1037527593818985E-2</v>
      </c>
    </row>
    <row r="2710" spans="20:21" x14ac:dyDescent="0.25">
      <c r="T2710" s="57">
        <v>43842</v>
      </c>
      <c r="U2710" s="41">
        <v>2.8828828828828829E-2</v>
      </c>
    </row>
    <row r="2711" spans="20:21" x14ac:dyDescent="0.25">
      <c r="T2711" s="57">
        <v>43856</v>
      </c>
      <c r="U2711" s="41">
        <v>2.7027027027027029E-2</v>
      </c>
    </row>
    <row r="2712" spans="20:21" x14ac:dyDescent="0.25">
      <c r="T2712" s="57">
        <v>43863</v>
      </c>
      <c r="U2712" s="41">
        <v>3.9669421487603308E-2</v>
      </c>
    </row>
    <row r="2713" spans="20:21" x14ac:dyDescent="0.25">
      <c r="T2713" s="57">
        <v>43870</v>
      </c>
      <c r="U2713" s="41">
        <v>1.5734265734265736E-2</v>
      </c>
    </row>
    <row r="2714" spans="20:21" x14ac:dyDescent="0.25">
      <c r="T2714" s="57">
        <v>43877</v>
      </c>
      <c r="U2714" s="41">
        <v>2.3841059602649008E-2</v>
      </c>
    </row>
    <row r="2715" spans="20:21" x14ac:dyDescent="0.25">
      <c r="T2715" s="57">
        <v>43884</v>
      </c>
      <c r="U2715" s="41">
        <v>1.1023622047244094E-2</v>
      </c>
    </row>
    <row r="2716" spans="20:21" x14ac:dyDescent="0.25">
      <c r="T2716" s="57">
        <v>43891</v>
      </c>
      <c r="U2716" s="41">
        <v>2.7247956403269755E-2</v>
      </c>
    </row>
    <row r="2717" spans="20:21" x14ac:dyDescent="0.25">
      <c r="T2717" s="57">
        <v>43898</v>
      </c>
      <c r="U2717" s="41">
        <v>1.4141414141414142E-2</v>
      </c>
    </row>
    <row r="2718" spans="20:21" x14ac:dyDescent="0.25">
      <c r="T2718" s="57">
        <v>43905</v>
      </c>
      <c r="U2718" s="41">
        <v>3.3195020746887967E-2</v>
      </c>
    </row>
    <row r="2719" spans="20:21" x14ac:dyDescent="0.25">
      <c r="T2719" s="57">
        <v>43912</v>
      </c>
      <c r="U2719" s="41">
        <v>1.4903129657228018E-2</v>
      </c>
    </row>
    <row r="2720" spans="20:21" x14ac:dyDescent="0.25">
      <c r="T2720" s="57">
        <v>43919</v>
      </c>
      <c r="U2720" s="41">
        <v>8.9514066496163679E-3</v>
      </c>
    </row>
    <row r="2721" spans="20:21" x14ac:dyDescent="0.25">
      <c r="T2721" s="57">
        <v>43926</v>
      </c>
      <c r="U2721" s="41">
        <v>3.1481481481481478E-2</v>
      </c>
    </row>
    <row r="2722" spans="20:21" x14ac:dyDescent="0.25">
      <c r="T2722" s="57">
        <v>43933</v>
      </c>
      <c r="U2722" s="41">
        <v>1.8912529550827423E-2</v>
      </c>
    </row>
    <row r="2723" spans="20:21" x14ac:dyDescent="0.25">
      <c r="T2723" s="57">
        <v>43940</v>
      </c>
      <c r="U2723" s="41">
        <v>5.5679287305122494E-3</v>
      </c>
    </row>
    <row r="2724" spans="20:21" x14ac:dyDescent="0.25">
      <c r="T2724" s="57">
        <v>43947</v>
      </c>
      <c r="U2724" s="41">
        <v>1.1335012594458438E-2</v>
      </c>
    </row>
    <row r="2725" spans="20:21" x14ac:dyDescent="0.25">
      <c r="T2725" s="57">
        <v>43954</v>
      </c>
      <c r="U2725" s="41">
        <v>2.4460431654676259E-2</v>
      </c>
    </row>
    <row r="2726" spans="20:21" x14ac:dyDescent="0.25">
      <c r="T2726" s="57">
        <v>43961</v>
      </c>
      <c r="U2726" s="41">
        <v>3.5460992907801421E-2</v>
      </c>
    </row>
    <row r="2727" spans="20:21" x14ac:dyDescent="0.25">
      <c r="T2727" s="57">
        <v>43968</v>
      </c>
      <c r="U2727" s="41">
        <v>1.3333333333333334E-2</v>
      </c>
    </row>
    <row r="2728" spans="20:21" x14ac:dyDescent="0.25">
      <c r="T2728" s="57">
        <v>43972</v>
      </c>
      <c r="U2728" s="41">
        <v>1.2280701754385965E-2</v>
      </c>
    </row>
    <row r="2729" spans="20:21" x14ac:dyDescent="0.25">
      <c r="T2729" s="57">
        <v>43975</v>
      </c>
      <c r="U2729" s="41">
        <v>1.444043321299639E-2</v>
      </c>
    </row>
    <row r="2730" spans="20:21" x14ac:dyDescent="0.25">
      <c r="T2730" s="57">
        <v>43982</v>
      </c>
      <c r="U2730" s="41">
        <v>3.2687651331719129E-2</v>
      </c>
    </row>
    <row r="2731" spans="20:21" x14ac:dyDescent="0.25">
      <c r="T2731" s="57">
        <v>43989</v>
      </c>
      <c r="U2731" s="41">
        <v>1.6064257028112448E-2</v>
      </c>
    </row>
    <row r="2732" spans="20:21" x14ac:dyDescent="0.25">
      <c r="T2732" s="57">
        <v>43996</v>
      </c>
      <c r="U2732" s="41">
        <v>5.0062578222778474E-3</v>
      </c>
    </row>
    <row r="2733" spans="20:21" x14ac:dyDescent="0.25">
      <c r="T2733" s="57">
        <v>44003</v>
      </c>
      <c r="U2733" s="41">
        <v>2.0569620253164556E-2</v>
      </c>
    </row>
    <row r="2734" spans="20:21" x14ac:dyDescent="0.25">
      <c r="T2734" s="57">
        <v>44010</v>
      </c>
      <c r="U2734" s="41">
        <v>1.4666666666666666E-2</v>
      </c>
    </row>
    <row r="2735" spans="20:21" x14ac:dyDescent="0.25">
      <c r="T2735" s="57">
        <v>44017</v>
      </c>
      <c r="U2735" s="41">
        <v>1.920768307322929E-2</v>
      </c>
    </row>
    <row r="2736" spans="20:21" x14ac:dyDescent="0.25">
      <c r="T2736" s="57">
        <v>44024</v>
      </c>
      <c r="U2736" s="41">
        <v>8.4951456310679609E-3</v>
      </c>
    </row>
    <row r="2737" spans="20:21" x14ac:dyDescent="0.25">
      <c r="T2737" s="57">
        <v>44031</v>
      </c>
      <c r="U2737" s="41">
        <v>1.8413597733711047E-2</v>
      </c>
    </row>
    <row r="2738" spans="20:21" x14ac:dyDescent="0.25">
      <c r="T2738" s="57">
        <v>44038</v>
      </c>
      <c r="U2738" s="41">
        <v>1.3924050632911392E-2</v>
      </c>
    </row>
    <row r="2739" spans="20:21" x14ac:dyDescent="0.25">
      <c r="T2739" s="57">
        <v>44045</v>
      </c>
      <c r="U2739" s="41">
        <v>1.7955801104972375E-2</v>
      </c>
    </row>
    <row r="2740" spans="20:21" x14ac:dyDescent="0.25">
      <c r="T2740" s="57">
        <v>44052</v>
      </c>
      <c r="U2740" s="41">
        <v>8.8235294117647058E-3</v>
      </c>
    </row>
    <row r="2741" spans="20:21" x14ac:dyDescent="0.25">
      <c r="T2741" s="57">
        <v>44058</v>
      </c>
      <c r="U2741" s="41">
        <v>4.0280210157618214E-2</v>
      </c>
    </row>
    <row r="2742" spans="20:21" x14ac:dyDescent="0.25">
      <c r="T2742" s="57">
        <v>44059</v>
      </c>
      <c r="U2742" s="41">
        <v>1.6372795969773299E-2</v>
      </c>
    </row>
    <row r="2743" spans="20:21" x14ac:dyDescent="0.25">
      <c r="T2743" s="57">
        <v>44066</v>
      </c>
      <c r="U2743" s="41">
        <v>3.1924882629107983E-2</v>
      </c>
    </row>
    <row r="2744" spans="20:21" x14ac:dyDescent="0.25">
      <c r="T2744" s="57">
        <v>44073</v>
      </c>
      <c r="U2744" s="41">
        <v>4.5058139534883718E-2</v>
      </c>
    </row>
    <row r="2745" spans="20:21" x14ac:dyDescent="0.25">
      <c r="T2745" s="57">
        <v>44080</v>
      </c>
      <c r="U2745" s="41">
        <v>9.3984962406015032E-3</v>
      </c>
    </row>
    <row r="2746" spans="20:21" x14ac:dyDescent="0.25">
      <c r="T2746" s="57">
        <v>44087</v>
      </c>
      <c r="U2746" s="41">
        <v>1.3024602026049204E-2</v>
      </c>
    </row>
    <row r="2747" spans="20:21" x14ac:dyDescent="0.25">
      <c r="T2747" s="57">
        <v>44094</v>
      </c>
      <c r="U2747" s="41">
        <v>0.01</v>
      </c>
    </row>
    <row r="2748" spans="20:21" x14ac:dyDescent="0.25">
      <c r="T2748" s="57">
        <v>44101</v>
      </c>
      <c r="U2748" s="41">
        <v>1.5170670037926675E-2</v>
      </c>
    </row>
    <row r="2749" spans="20:21" x14ac:dyDescent="0.25">
      <c r="T2749" s="57">
        <v>44108</v>
      </c>
      <c r="U2749" s="41">
        <v>8.6741016109045856E-3</v>
      </c>
    </row>
    <row r="2750" spans="20:21" x14ac:dyDescent="0.25">
      <c r="T2750" s="57">
        <v>44115</v>
      </c>
      <c r="U2750" s="41">
        <v>1.6973125884016973E-2</v>
      </c>
    </row>
    <row r="2751" spans="20:21" x14ac:dyDescent="0.25">
      <c r="T2751" s="57">
        <v>44122</v>
      </c>
      <c r="U2751" s="41">
        <v>1.5568862275449102E-2</v>
      </c>
    </row>
    <row r="2752" spans="20:21" x14ac:dyDescent="0.25">
      <c r="T2752" s="57">
        <v>44129</v>
      </c>
      <c r="U2752" s="41">
        <v>1.2903225806451613E-2</v>
      </c>
    </row>
    <row r="2753" spans="20:21" x14ac:dyDescent="0.25">
      <c r="T2753" s="57">
        <v>44136</v>
      </c>
      <c r="U2753" s="41">
        <v>2.4193548387096774E-2</v>
      </c>
    </row>
    <row r="2754" spans="20:21" x14ac:dyDescent="0.25">
      <c r="T2754" s="57">
        <v>44143</v>
      </c>
      <c r="U2754" s="41">
        <v>6.5502183406113534E-3</v>
      </c>
    </row>
    <row r="2755" spans="20:21" x14ac:dyDescent="0.25">
      <c r="T2755" s="57">
        <v>44150</v>
      </c>
      <c r="U2755" s="41">
        <v>3.6144578313253013E-3</v>
      </c>
    </row>
    <row r="2756" spans="20:21" x14ac:dyDescent="0.25">
      <c r="T2756" s="57">
        <v>44157</v>
      </c>
      <c r="U2756" s="41">
        <v>1.50093808630394E-2</v>
      </c>
    </row>
    <row r="2757" spans="20:21" x14ac:dyDescent="0.25">
      <c r="T2757" s="57">
        <v>44164</v>
      </c>
      <c r="U2757" s="41">
        <v>8.1018518518518514E-3</v>
      </c>
    </row>
    <row r="2758" spans="20:21" x14ac:dyDescent="0.25">
      <c r="T2758" s="57">
        <v>44171</v>
      </c>
      <c r="U2758" s="41">
        <v>8.1490104772991845E-3</v>
      </c>
    </row>
    <row r="2759" spans="20:21" x14ac:dyDescent="0.25">
      <c r="T2759" s="57">
        <v>44178</v>
      </c>
      <c r="U2759" s="41">
        <v>1.1126564673157162E-2</v>
      </c>
    </row>
    <row r="2760" spans="20:21" x14ac:dyDescent="0.25">
      <c r="T2760" s="57">
        <v>44185</v>
      </c>
      <c r="U2760" s="41">
        <v>2.9816513761467892E-2</v>
      </c>
    </row>
    <row r="2761" spans="20:21" x14ac:dyDescent="0.25">
      <c r="T2761" s="57">
        <v>44189</v>
      </c>
      <c r="U2761" s="41">
        <v>2.365415986949429E-2</v>
      </c>
    </row>
    <row r="2762" spans="20:21" x14ac:dyDescent="0.25">
      <c r="T2762" s="57">
        <v>44190</v>
      </c>
      <c r="U2762" s="41">
        <v>3.3957845433255272E-2</v>
      </c>
    </row>
    <row r="2763" spans="20:21" x14ac:dyDescent="0.25">
      <c r="T2763" s="57">
        <v>44192</v>
      </c>
      <c r="U2763" s="41">
        <v>6.4412238325281803E-3</v>
      </c>
    </row>
    <row r="2764" spans="20:21" x14ac:dyDescent="0.25">
      <c r="T2764" s="57">
        <v>44199</v>
      </c>
      <c r="U2764" s="41">
        <v>4.172461752433936E-3</v>
      </c>
    </row>
    <row r="2765" spans="20:21" x14ac:dyDescent="0.25">
      <c r="T2765" s="57">
        <v>44206</v>
      </c>
      <c r="U2765" s="41">
        <v>2.8540065861690452E-2</v>
      </c>
    </row>
    <row r="2766" spans="20:21" x14ac:dyDescent="0.25">
      <c r="T2766" s="57">
        <v>44213</v>
      </c>
      <c r="U2766" s="41">
        <v>3.0261348005502064E-2</v>
      </c>
    </row>
    <row r="2767" spans="20:21" x14ac:dyDescent="0.25">
      <c r="T2767" s="57">
        <v>44220</v>
      </c>
      <c r="U2767" s="41">
        <v>3.015075376884422E-2</v>
      </c>
    </row>
    <row r="2768" spans="20:21" x14ac:dyDescent="0.25">
      <c r="T2768" s="57">
        <v>44227</v>
      </c>
      <c r="U2768" s="41">
        <v>2.866779089376054E-2</v>
      </c>
    </row>
    <row r="2769" spans="20:21" x14ac:dyDescent="0.25">
      <c r="T2769" s="57">
        <v>44234</v>
      </c>
      <c r="U2769" s="41">
        <v>2.9239766081871343E-2</v>
      </c>
    </row>
    <row r="2770" spans="20:21" x14ac:dyDescent="0.25">
      <c r="T2770" s="57">
        <v>44241</v>
      </c>
      <c r="U2770" s="41">
        <v>2.2695035460992909E-2</v>
      </c>
    </row>
    <row r="2771" spans="20:21" x14ac:dyDescent="0.25">
      <c r="T2771" s="57">
        <v>44248</v>
      </c>
      <c r="U2771" s="41">
        <v>2.4064171122994651E-2</v>
      </c>
    </row>
    <row r="2772" spans="20:21" x14ac:dyDescent="0.25">
      <c r="T2772" s="57">
        <v>44255</v>
      </c>
      <c r="U2772" s="41">
        <v>1.8151815181518153E-2</v>
      </c>
    </row>
    <row r="2773" spans="20:21" x14ac:dyDescent="0.25">
      <c r="T2773" s="57">
        <v>44262</v>
      </c>
      <c r="U2773" s="41">
        <v>4.2005420054200542E-2</v>
      </c>
    </row>
    <row r="2774" spans="20:21" x14ac:dyDescent="0.25">
      <c r="T2774" s="57">
        <v>44269</v>
      </c>
      <c r="U2774" s="41">
        <v>1.6489988221436984E-2</v>
      </c>
    </row>
    <row r="2775" spans="20:21" x14ac:dyDescent="0.25">
      <c r="T2775" s="57">
        <v>44276</v>
      </c>
      <c r="U2775" s="41">
        <v>3.214285714285714E-2</v>
      </c>
    </row>
    <row r="2776" spans="20:21" x14ac:dyDescent="0.25">
      <c r="T2776" s="57">
        <v>44283</v>
      </c>
      <c r="U2776" s="41">
        <v>1.7595307917888565E-2</v>
      </c>
    </row>
    <row r="2777" spans="20:21" x14ac:dyDescent="0.25">
      <c r="T2777" s="57">
        <v>44290</v>
      </c>
      <c r="U2777" s="41">
        <v>1.6541353383458645E-2</v>
      </c>
    </row>
    <row r="2778" spans="20:21" x14ac:dyDescent="0.25">
      <c r="T2778" s="57">
        <v>44297</v>
      </c>
      <c r="U2778" s="41">
        <v>2.9005524861878452E-2</v>
      </c>
    </row>
    <row r="2779" spans="20:21" x14ac:dyDescent="0.25">
      <c r="T2779" s="57">
        <v>44304</v>
      </c>
      <c r="U2779" s="41">
        <v>0</v>
      </c>
    </row>
    <row r="2780" spans="20:21" x14ac:dyDescent="0.25">
      <c r="T2780" s="57">
        <v>44311</v>
      </c>
      <c r="U2780" s="41">
        <v>1.8544935805991442E-2</v>
      </c>
    </row>
    <row r="2781" spans="20:21" x14ac:dyDescent="0.25">
      <c r="T2781" s="57">
        <v>44318</v>
      </c>
      <c r="U2781" s="41">
        <v>2.1963824289405683E-2</v>
      </c>
    </row>
    <row r="2782" spans="20:21" x14ac:dyDescent="0.25">
      <c r="T2782" s="57">
        <v>44325</v>
      </c>
      <c r="U2782" s="41">
        <v>6.4850843060959796E-3</v>
      </c>
    </row>
    <row r="2783" spans="20:21" x14ac:dyDescent="0.25">
      <c r="T2783" s="57">
        <v>44329</v>
      </c>
      <c r="U2783" s="41">
        <v>3.7940379403794036E-2</v>
      </c>
    </row>
    <row r="2784" spans="20:21" x14ac:dyDescent="0.25">
      <c r="T2784" s="57">
        <v>44332</v>
      </c>
      <c r="U2784" s="41">
        <v>2.8314028314028315E-2</v>
      </c>
    </row>
    <row r="2785" spans="20:21" x14ac:dyDescent="0.25">
      <c r="T2785" s="57">
        <v>44339</v>
      </c>
      <c r="U2785" s="41">
        <v>2.7227722772277228E-2</v>
      </c>
    </row>
    <row r="2786" spans="20:21" x14ac:dyDescent="0.25">
      <c r="T2786" s="57">
        <v>44346</v>
      </c>
      <c r="U2786" s="41">
        <v>2.2864019253910951E-2</v>
      </c>
    </row>
    <row r="2787" spans="20:21" x14ac:dyDescent="0.25">
      <c r="T2787" s="57">
        <v>44353</v>
      </c>
      <c r="U2787" s="41">
        <v>2.7100271002710029E-2</v>
      </c>
    </row>
    <row r="2788" spans="20:21" x14ac:dyDescent="0.25">
      <c r="T2788" s="57">
        <v>44360</v>
      </c>
      <c r="U2788" s="41">
        <v>3.6662452591656132E-2</v>
      </c>
    </row>
    <row r="2789" spans="20:21" x14ac:dyDescent="0.25">
      <c r="T2789" s="57">
        <v>44367</v>
      </c>
      <c r="U2789" s="41">
        <v>1.6129032258064516E-2</v>
      </c>
    </row>
    <row r="2790" spans="20:21" x14ac:dyDescent="0.25">
      <c r="T2790" s="57">
        <v>44374</v>
      </c>
      <c r="U2790" s="41">
        <v>2.7287319422150885E-2</v>
      </c>
    </row>
    <row r="2791" spans="20:21" x14ac:dyDescent="0.25">
      <c r="T2791" s="57">
        <v>44381</v>
      </c>
      <c r="U2791" s="41">
        <v>3.5230352303523033E-2</v>
      </c>
    </row>
    <row r="2792" spans="20:21" x14ac:dyDescent="0.25">
      <c r="T2792" s="57">
        <v>44388</v>
      </c>
      <c r="U2792" s="41">
        <v>3.9577836411609502E-3</v>
      </c>
    </row>
    <row r="2793" spans="20:21" x14ac:dyDescent="0.25">
      <c r="T2793" s="57">
        <v>44395</v>
      </c>
      <c r="U2793" s="41">
        <v>2.046783625730994E-2</v>
      </c>
    </row>
    <row r="2794" spans="20:21" x14ac:dyDescent="0.25">
      <c r="T2794" s="57">
        <v>44402</v>
      </c>
      <c r="U2794" s="41">
        <v>1.4858841010401188E-2</v>
      </c>
    </row>
    <row r="2795" spans="20:21" x14ac:dyDescent="0.25">
      <c r="T2795" s="57">
        <v>44409</v>
      </c>
      <c r="U2795" s="41">
        <v>2.6315789473684209E-2</v>
      </c>
    </row>
    <row r="2796" spans="20:21" x14ac:dyDescent="0.25">
      <c r="T2796" s="57">
        <v>44416</v>
      </c>
      <c r="U2796" s="41">
        <v>1.8359853121175031E-2</v>
      </c>
    </row>
    <row r="2797" spans="20:21" x14ac:dyDescent="0.25">
      <c r="T2797" s="57">
        <v>44423</v>
      </c>
      <c r="U2797" s="41">
        <v>1.9548872180451128E-2</v>
      </c>
    </row>
    <row r="2798" spans="20:21" x14ac:dyDescent="0.25">
      <c r="T2798" s="57">
        <v>44430</v>
      </c>
      <c r="U2798" s="41">
        <v>1.6869728209934397E-2</v>
      </c>
    </row>
    <row r="2799" spans="20:21" x14ac:dyDescent="0.25">
      <c r="T2799" s="57">
        <v>44437</v>
      </c>
      <c r="U2799" s="41">
        <v>1.466275659824047E-2</v>
      </c>
    </row>
    <row r="2800" spans="20:21" x14ac:dyDescent="0.25">
      <c r="T2800" s="57">
        <v>44444</v>
      </c>
      <c r="U2800" s="41">
        <v>2.4883359253499222E-2</v>
      </c>
    </row>
    <row r="2801" spans="20:21" x14ac:dyDescent="0.25">
      <c r="T2801" s="57">
        <v>44451</v>
      </c>
      <c r="U2801" s="41">
        <v>1.5853658536585366E-2</v>
      </c>
    </row>
    <row r="2802" spans="20:21" x14ac:dyDescent="0.25">
      <c r="T2802" s="57">
        <v>44458</v>
      </c>
      <c r="U2802" s="41">
        <v>1.3908205841446454E-2</v>
      </c>
    </row>
    <row r="2803" spans="20:21" x14ac:dyDescent="0.25">
      <c r="T2803" s="57">
        <v>44465</v>
      </c>
      <c r="U2803" s="41">
        <v>1.6371077762619372E-2</v>
      </c>
    </row>
    <row r="2804" spans="20:21" x14ac:dyDescent="0.25">
      <c r="T2804" s="57">
        <v>44472</v>
      </c>
      <c r="U2804" s="41">
        <v>7.9470198675496689E-3</v>
      </c>
    </row>
    <row r="2805" spans="20:21" x14ac:dyDescent="0.25">
      <c r="T2805" s="57">
        <v>44479</v>
      </c>
      <c r="U2805" s="41">
        <v>6.2111801242236021E-3</v>
      </c>
    </row>
    <row r="2806" spans="20:21" x14ac:dyDescent="0.25">
      <c r="T2806" s="57">
        <v>44486</v>
      </c>
      <c r="U2806" s="41">
        <v>2.1551724137931036E-2</v>
      </c>
    </row>
    <row r="2807" spans="20:21" x14ac:dyDescent="0.25">
      <c r="T2807" s="57">
        <v>44493</v>
      </c>
      <c r="U2807" s="41">
        <v>2.032520325203252E-2</v>
      </c>
    </row>
    <row r="2808" spans="20:21" x14ac:dyDescent="0.25">
      <c r="T2808" s="57">
        <v>44500</v>
      </c>
      <c r="U2808" s="41">
        <v>3.4965034965034968E-2</v>
      </c>
    </row>
    <row r="2809" spans="20:21" x14ac:dyDescent="0.25">
      <c r="T2809" s="57">
        <v>44501</v>
      </c>
      <c r="U2809" s="41">
        <v>1.9255455712451863E-2</v>
      </c>
    </row>
    <row r="2810" spans="20:21" x14ac:dyDescent="0.25">
      <c r="T2810" s="57">
        <v>44507</v>
      </c>
      <c r="U2810" s="41">
        <v>5.7803468208092483E-3</v>
      </c>
    </row>
    <row r="2811" spans="20:21" x14ac:dyDescent="0.25">
      <c r="T2811" s="57">
        <v>44514</v>
      </c>
      <c r="U2811" s="41">
        <v>1.5471167369901548E-2</v>
      </c>
    </row>
    <row r="2812" spans="20:21" x14ac:dyDescent="0.25">
      <c r="T2812" s="57">
        <v>44521</v>
      </c>
      <c r="U2812" s="41">
        <v>1.1056511056511056E-2</v>
      </c>
    </row>
    <row r="2813" spans="20:21" x14ac:dyDescent="0.25">
      <c r="T2813" s="57">
        <v>44528</v>
      </c>
      <c r="U2813" s="41">
        <v>1.3975155279503106E-2</v>
      </c>
    </row>
    <row r="2814" spans="20:21" x14ac:dyDescent="0.25">
      <c r="T2814" s="57">
        <v>44535</v>
      </c>
      <c r="U2814" s="41">
        <v>1.1782032400589101E-2</v>
      </c>
    </row>
    <row r="2815" spans="20:21" x14ac:dyDescent="0.25">
      <c r="T2815" s="57">
        <v>44542</v>
      </c>
      <c r="U2815" s="41">
        <v>2.3545706371191136E-2</v>
      </c>
    </row>
    <row r="2816" spans="20:21" x14ac:dyDescent="0.25">
      <c r="T2816" s="57">
        <v>44549</v>
      </c>
      <c r="U2816" s="41">
        <v>6.0698027314112293E-3</v>
      </c>
    </row>
    <row r="2817" spans="20:21" x14ac:dyDescent="0.25">
      <c r="T2817" s="57">
        <v>44555</v>
      </c>
      <c r="U2817" s="41">
        <v>2.23463687150838E-2</v>
      </c>
    </row>
    <row r="2818" spans="20:21" x14ac:dyDescent="0.25">
      <c r="T2818" s="57">
        <v>44556</v>
      </c>
      <c r="U2818" s="41">
        <v>1.1210762331838564E-2</v>
      </c>
    </row>
    <row r="2819" spans="20:21" x14ac:dyDescent="0.25">
      <c r="T2819" s="57">
        <v>44563</v>
      </c>
      <c r="U2819" s="41">
        <v>1.238390092879257E-2</v>
      </c>
    </row>
    <row r="2820" spans="20:21" x14ac:dyDescent="0.25">
      <c r="T2820" s="57">
        <v>44570</v>
      </c>
      <c r="U2820" s="41">
        <v>1.8361581920903956E-2</v>
      </c>
    </row>
    <row r="2821" spans="20:21" x14ac:dyDescent="0.25">
      <c r="T2821" s="57">
        <v>44577</v>
      </c>
      <c r="U2821" s="41">
        <v>2.6499302649930265E-2</v>
      </c>
    </row>
    <row r="2822" spans="20:21" x14ac:dyDescent="0.25">
      <c r="T2822" s="57">
        <v>44584</v>
      </c>
      <c r="U2822" s="41">
        <v>2.5316455696202531E-2</v>
      </c>
    </row>
    <row r="2823" spans="20:21" x14ac:dyDescent="0.25">
      <c r="T2823" s="57">
        <v>44591</v>
      </c>
      <c r="U2823" s="41">
        <v>2.1080368906455864E-2</v>
      </c>
    </row>
    <row r="2824" spans="20:21" x14ac:dyDescent="0.25">
      <c r="T2824" s="57">
        <v>44598</v>
      </c>
      <c r="U2824" s="41">
        <v>1.6774193548387096E-2</v>
      </c>
    </row>
    <row r="2825" spans="20:21" x14ac:dyDescent="0.25">
      <c r="T2825" s="57">
        <v>44605</v>
      </c>
      <c r="U2825" s="41">
        <v>4.7685834502103785E-2</v>
      </c>
    </row>
    <row r="2826" spans="20:21" x14ac:dyDescent="0.25">
      <c r="T2826" s="57">
        <v>44612</v>
      </c>
      <c r="U2826" s="41">
        <v>1.3908205841446454E-2</v>
      </c>
    </row>
    <row r="2827" spans="20:21" x14ac:dyDescent="0.25">
      <c r="T2827" s="57">
        <v>44619</v>
      </c>
      <c r="U2827" s="41">
        <v>4.1958041958041958E-3</v>
      </c>
    </row>
    <row r="2828" spans="20:21" x14ac:dyDescent="0.25">
      <c r="T2828" s="57">
        <v>44626</v>
      </c>
      <c r="U2828" s="41">
        <v>1.9553072625698324E-2</v>
      </c>
    </row>
    <row r="2829" spans="20:21" x14ac:dyDescent="0.25">
      <c r="T2829" s="57">
        <v>44633</v>
      </c>
      <c r="U2829" s="41">
        <v>1.2895662368112544E-2</v>
      </c>
    </row>
    <row r="2830" spans="20:21" x14ac:dyDescent="0.25">
      <c r="T2830" s="57">
        <v>44640</v>
      </c>
      <c r="U2830" s="41">
        <v>4.534005037783375E-2</v>
      </c>
    </row>
    <row r="2831" spans="20:21" x14ac:dyDescent="0.25">
      <c r="T2831" s="57">
        <v>44647</v>
      </c>
      <c r="U2831" s="41">
        <v>7.3637702503681884E-3</v>
      </c>
    </row>
    <row r="2832" spans="20:21" x14ac:dyDescent="0.25">
      <c r="T2832" s="57">
        <v>44654</v>
      </c>
      <c r="U2832" s="41">
        <v>2.6548672566371681E-2</v>
      </c>
    </row>
    <row r="2833" spans="20:21" x14ac:dyDescent="0.25">
      <c r="T2833" s="57">
        <v>44661</v>
      </c>
      <c r="U2833" s="41">
        <v>2.2026431718061675E-2</v>
      </c>
    </row>
    <row r="2834" spans="20:21" x14ac:dyDescent="0.25">
      <c r="T2834" s="57">
        <v>44668</v>
      </c>
      <c r="U2834" s="41">
        <v>2.2517911975435005E-2</v>
      </c>
    </row>
    <row r="2835" spans="20:21" x14ac:dyDescent="0.25">
      <c r="T2835" s="57">
        <v>44675</v>
      </c>
      <c r="U2835" s="41">
        <v>6.0753341433778859E-3</v>
      </c>
    </row>
    <row r="2836" spans="20:21" x14ac:dyDescent="0.25">
      <c r="T2836" s="57">
        <v>44682</v>
      </c>
      <c r="U2836" s="41">
        <v>1.6574585635359115E-2</v>
      </c>
    </row>
    <row r="2837" spans="20:21" x14ac:dyDescent="0.25">
      <c r="T2837" s="57">
        <v>44689</v>
      </c>
      <c r="U2837" s="41">
        <v>1.2048192771084338E-2</v>
      </c>
    </row>
    <row r="2838" spans="20:21" x14ac:dyDescent="0.25">
      <c r="T2838" s="57">
        <v>44696</v>
      </c>
      <c r="U2838" s="41">
        <v>2.355072463768116E-2</v>
      </c>
    </row>
    <row r="2839" spans="20:21" x14ac:dyDescent="0.25">
      <c r="T2839" s="57">
        <v>44703</v>
      </c>
      <c r="U2839" s="41">
        <v>3.0211480362537766E-2</v>
      </c>
    </row>
    <row r="2840" spans="20:21" x14ac:dyDescent="0.25">
      <c r="T2840" s="57">
        <v>44707</v>
      </c>
      <c r="U2840" s="41">
        <v>3.4165571616294348E-2</v>
      </c>
    </row>
    <row r="2841" spans="20:21" x14ac:dyDescent="0.25">
      <c r="T2841" s="57">
        <v>44710</v>
      </c>
      <c r="U2841" s="41">
        <v>2.4327784891165175E-2</v>
      </c>
    </row>
    <row r="2842" spans="20:21" x14ac:dyDescent="0.25">
      <c r="T2842" s="57">
        <v>44717</v>
      </c>
      <c r="U2842" s="41">
        <v>2.6993865030674847E-2</v>
      </c>
    </row>
    <row r="2843" spans="20:21" x14ac:dyDescent="0.25">
      <c r="T2843" s="57">
        <v>44724</v>
      </c>
      <c r="U2843" s="41">
        <v>5.6417489421720736E-2</v>
      </c>
    </row>
    <row r="2844" spans="20:21" x14ac:dyDescent="0.25">
      <c r="T2844" s="57">
        <v>44731</v>
      </c>
      <c r="U2844" s="41">
        <v>3.2051282051282048E-2</v>
      </c>
    </row>
    <row r="2845" spans="20:21" x14ac:dyDescent="0.25">
      <c r="T2845" s="57">
        <v>44738</v>
      </c>
      <c r="U2845" s="41">
        <v>2.3329798515376459E-2</v>
      </c>
    </row>
    <row r="2846" spans="20:21" x14ac:dyDescent="0.25">
      <c r="T2846" s="57">
        <v>44745</v>
      </c>
      <c r="U2846" s="41">
        <v>2.5099075297225892E-2</v>
      </c>
    </row>
    <row r="2847" spans="20:21" x14ac:dyDescent="0.25">
      <c r="T2847" s="57">
        <v>44752</v>
      </c>
      <c r="U2847" s="41">
        <v>1.0218978102189781E-2</v>
      </c>
    </row>
    <row r="2848" spans="20:21" x14ac:dyDescent="0.25">
      <c r="T2848" s="57">
        <v>44759</v>
      </c>
      <c r="U2848" s="41">
        <v>2.0446096654275093E-2</v>
      </c>
    </row>
    <row r="2849" spans="20:21" x14ac:dyDescent="0.25">
      <c r="T2849" s="57">
        <v>44766</v>
      </c>
      <c r="U2849" s="41">
        <v>3.2163742690058478E-2</v>
      </c>
    </row>
    <row r="2850" spans="20:21" x14ac:dyDescent="0.25">
      <c r="T2850" s="57">
        <v>44773</v>
      </c>
      <c r="U2850" s="41">
        <v>4.6948356807511738E-3</v>
      </c>
    </row>
    <row r="2851" spans="20:21" x14ac:dyDescent="0.25">
      <c r="T2851" s="57">
        <v>44780</v>
      </c>
      <c r="U2851" s="41">
        <v>1.5665796344647518E-2</v>
      </c>
    </row>
    <row r="2852" spans="20:21" x14ac:dyDescent="0.25">
      <c r="T2852" s="57">
        <v>44787</v>
      </c>
      <c r="U2852" s="41">
        <v>1.4965986394557823E-2</v>
      </c>
    </row>
    <row r="2853" spans="20:21" x14ac:dyDescent="0.25">
      <c r="T2853" s="57">
        <v>44788</v>
      </c>
      <c r="U2853" s="41">
        <v>2.5094102885821833E-2</v>
      </c>
    </row>
    <row r="2854" spans="20:21" x14ac:dyDescent="0.25">
      <c r="T2854" s="57">
        <v>44794</v>
      </c>
      <c r="U2854" s="41">
        <v>5.3763440860215055E-2</v>
      </c>
    </row>
    <row r="2855" spans="20:21" x14ac:dyDescent="0.25">
      <c r="T2855" s="57">
        <v>44801</v>
      </c>
      <c r="U2855" s="41">
        <v>1.1013215859030838E-2</v>
      </c>
    </row>
    <row r="2856" spans="20:21" x14ac:dyDescent="0.25">
      <c r="T2856" s="57">
        <v>44808</v>
      </c>
      <c r="U2856" s="41">
        <v>2.2831050228310501E-2</v>
      </c>
    </row>
    <row r="2857" spans="20:21" x14ac:dyDescent="0.25">
      <c r="T2857" s="57">
        <v>44815</v>
      </c>
      <c r="U2857" s="41">
        <v>3.708281829419036E-3</v>
      </c>
    </row>
    <row r="2858" spans="20:21" x14ac:dyDescent="0.25">
      <c r="T2858" s="57">
        <v>44822</v>
      </c>
      <c r="U2858" s="41">
        <v>1.7663043478260868E-2</v>
      </c>
    </row>
    <row r="2859" spans="20:21" x14ac:dyDescent="0.25">
      <c r="T2859" s="57">
        <v>44829</v>
      </c>
      <c r="U2859" s="41">
        <v>1.415929203539823E-2</v>
      </c>
    </row>
    <row r="2860" spans="20:21" x14ac:dyDescent="0.25">
      <c r="T2860" s="57">
        <v>44836</v>
      </c>
      <c r="U2860" s="41">
        <v>1.4367816091954023E-2</v>
      </c>
    </row>
    <row r="2861" spans="20:21" x14ac:dyDescent="0.25">
      <c r="T2861" s="57">
        <v>44843</v>
      </c>
      <c r="U2861" s="41">
        <v>1.1673151750972763E-2</v>
      </c>
    </row>
    <row r="2862" spans="20:21" x14ac:dyDescent="0.25">
      <c r="T2862" s="57">
        <v>44850</v>
      </c>
      <c r="U2862" s="41">
        <v>1.5492957746478873E-2</v>
      </c>
    </row>
    <row r="2863" spans="20:21" x14ac:dyDescent="0.25">
      <c r="T2863" s="57">
        <v>44857</v>
      </c>
      <c r="U2863" s="41">
        <v>4.3283582089552242E-2</v>
      </c>
    </row>
    <row r="2864" spans="20:21" x14ac:dyDescent="0.25">
      <c r="T2864" s="57">
        <v>44864</v>
      </c>
      <c r="U2864" s="41">
        <v>3.90625E-2</v>
      </c>
    </row>
    <row r="2865" spans="20:21" x14ac:dyDescent="0.25">
      <c r="T2865" s="57">
        <v>44866</v>
      </c>
      <c r="U2865" s="41">
        <v>1.7605633802816902E-2</v>
      </c>
    </row>
    <row r="2866" spans="20:21" x14ac:dyDescent="0.25">
      <c r="T2866" s="57">
        <v>44871</v>
      </c>
      <c r="U2866" s="41">
        <v>2.3741690408357077E-2</v>
      </c>
    </row>
    <row r="2867" spans="20:21" x14ac:dyDescent="0.25">
      <c r="T2867" s="57">
        <v>44878</v>
      </c>
      <c r="U2867" s="41">
        <v>1.0050251256281407E-2</v>
      </c>
    </row>
    <row r="2868" spans="20:21" x14ac:dyDescent="0.25">
      <c r="T2868" s="57">
        <v>44885</v>
      </c>
      <c r="U2868" s="41">
        <v>3.5989717223650387E-2</v>
      </c>
    </row>
  </sheetData>
  <sortState xmlns:xlrd2="http://schemas.microsoft.com/office/spreadsheetml/2017/richdata2" ref="A87:I120">
    <sortCondition ref="B87:B120"/>
  </sortState>
  <mergeCells count="2">
    <mergeCell ref="B47:C47"/>
    <mergeCell ref="D47:E47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23CB7-9B70-4B0E-B587-08EDD914CFE7}">
  <dimension ref="A1:L321"/>
  <sheetViews>
    <sheetView zoomScale="91" zoomScaleNormal="100" workbookViewId="0">
      <selection activeCell="B1" sqref="B1"/>
    </sheetView>
  </sheetViews>
  <sheetFormatPr baseColWidth="10" defaultRowHeight="12.75" x14ac:dyDescent="0.2"/>
  <cols>
    <col min="1" max="1" width="13.7109375" style="26" customWidth="1"/>
    <col min="2" max="3" width="14.42578125" style="22" customWidth="1"/>
    <col min="4" max="6" width="14.42578125" style="24" customWidth="1"/>
    <col min="7" max="7" width="8.140625" style="22" customWidth="1"/>
    <col min="8" max="8" width="8.140625" style="23" customWidth="1"/>
    <col min="9" max="9" width="10" style="30" customWidth="1"/>
    <col min="10" max="12" width="6.140625" style="34" customWidth="1"/>
    <col min="13" max="16384" width="11.42578125" style="34"/>
  </cols>
  <sheetData>
    <row r="1" spans="1:10" ht="18.75" x14ac:dyDescent="0.3">
      <c r="B1" s="81" t="str">
        <f>Sommaire!B46</f>
        <v>Onglet "Fonctions"</v>
      </c>
    </row>
    <row r="2" spans="1:10" ht="18.75" x14ac:dyDescent="0.3">
      <c r="B2" s="81" t="str">
        <f>Sommaire!B47</f>
        <v>Fonction grammaticale attribuée aux noms divins</v>
      </c>
    </row>
    <row r="4" spans="1:10" x14ac:dyDescent="0.2">
      <c r="A4" s="25"/>
      <c r="B4" s="39" t="s">
        <v>153</v>
      </c>
      <c r="C4" s="20"/>
      <c r="D4" s="21"/>
      <c r="E4" s="21"/>
      <c r="F4" s="21"/>
    </row>
    <row r="5" spans="1:10" s="31" customFormat="1" x14ac:dyDescent="0.25">
      <c r="A5" s="68" t="s">
        <v>389</v>
      </c>
      <c r="B5" s="74"/>
      <c r="C5" s="74"/>
      <c r="D5" s="74"/>
      <c r="E5" s="74"/>
      <c r="F5" s="74"/>
    </row>
    <row r="6" spans="1:10" s="26" customFormat="1" ht="25.5" x14ac:dyDescent="0.2">
      <c r="A6" s="31"/>
      <c r="B6" s="22" t="s">
        <v>365</v>
      </c>
      <c r="C6" s="22" t="s">
        <v>364</v>
      </c>
      <c r="D6" s="23" t="s">
        <v>366</v>
      </c>
      <c r="E6" s="22"/>
      <c r="F6" s="22"/>
      <c r="I6" s="30"/>
      <c r="J6" s="30"/>
    </row>
    <row r="7" spans="1:10" x14ac:dyDescent="0.2">
      <c r="A7" s="30" t="s">
        <v>135</v>
      </c>
      <c r="B7" s="22">
        <v>237</v>
      </c>
      <c r="C7" s="22">
        <v>106</v>
      </c>
      <c r="D7" s="23">
        <v>3.52</v>
      </c>
      <c r="E7" s="22"/>
      <c r="F7" s="22"/>
      <c r="G7" s="34"/>
      <c r="H7" s="34"/>
      <c r="J7" s="30"/>
    </row>
    <row r="8" spans="1:10" x14ac:dyDescent="0.2">
      <c r="A8" s="30" t="s">
        <v>107</v>
      </c>
      <c r="B8" s="22">
        <v>551</v>
      </c>
      <c r="C8" s="22">
        <v>239</v>
      </c>
      <c r="D8" s="23">
        <v>3.42</v>
      </c>
      <c r="E8" s="22"/>
      <c r="F8" s="22"/>
      <c r="G8" s="34"/>
      <c r="H8" s="34"/>
      <c r="I8" s="34"/>
    </row>
    <row r="9" spans="1:10" x14ac:dyDescent="0.2">
      <c r="A9" s="30" t="s">
        <v>235</v>
      </c>
      <c r="B9" s="22">
        <v>3180</v>
      </c>
      <c r="C9" s="22">
        <v>1367</v>
      </c>
      <c r="D9" s="23">
        <v>3.3848363294210868</v>
      </c>
      <c r="E9" s="22"/>
      <c r="F9" s="22"/>
      <c r="G9" s="34"/>
      <c r="H9" s="34"/>
      <c r="I9" s="34"/>
    </row>
    <row r="10" spans="1:10" x14ac:dyDescent="0.2">
      <c r="A10" s="30" t="s">
        <v>132</v>
      </c>
      <c r="B10" s="22">
        <v>1320</v>
      </c>
      <c r="C10" s="22">
        <v>510</v>
      </c>
      <c r="D10" s="23">
        <v>3.04</v>
      </c>
      <c r="E10" s="22"/>
      <c r="F10" s="22"/>
      <c r="G10" s="34"/>
      <c r="H10" s="34"/>
      <c r="I10" s="34"/>
    </row>
    <row r="11" spans="1:10" x14ac:dyDescent="0.2">
      <c r="A11" s="30" t="s">
        <v>145</v>
      </c>
      <c r="B11" s="22">
        <v>714</v>
      </c>
      <c r="C11" s="22">
        <v>265</v>
      </c>
      <c r="D11" s="23">
        <v>2.92</v>
      </c>
      <c r="E11" s="22"/>
      <c r="F11" s="22"/>
      <c r="G11" s="34"/>
      <c r="H11" s="34"/>
      <c r="I11" s="34"/>
    </row>
    <row r="12" spans="1:10" x14ac:dyDescent="0.2">
      <c r="A12" s="30" t="s">
        <v>200</v>
      </c>
      <c r="B12" s="22">
        <v>3047</v>
      </c>
      <c r="C12" s="22">
        <v>1024</v>
      </c>
      <c r="D12" s="23">
        <v>2.646206802095258</v>
      </c>
      <c r="E12" s="22"/>
      <c r="F12" s="22"/>
      <c r="G12" s="34"/>
      <c r="H12" s="34"/>
      <c r="I12" s="34"/>
    </row>
    <row r="13" spans="1:10" x14ac:dyDescent="0.2">
      <c r="A13" s="30" t="s">
        <v>147</v>
      </c>
      <c r="B13" s="22">
        <v>8140</v>
      </c>
      <c r="C13" s="22">
        <v>2479</v>
      </c>
      <c r="D13" s="23">
        <v>2.3979957050823195</v>
      </c>
      <c r="E13" s="22"/>
      <c r="F13" s="22"/>
      <c r="G13" s="34"/>
      <c r="H13" s="34"/>
      <c r="I13" s="34"/>
    </row>
    <row r="14" spans="1:10" x14ac:dyDescent="0.2">
      <c r="A14" s="30" t="s">
        <v>115</v>
      </c>
      <c r="B14" s="22">
        <v>5833</v>
      </c>
      <c r="C14" s="22">
        <v>1644</v>
      </c>
      <c r="D14" s="23">
        <v>2.2192494239265863</v>
      </c>
      <c r="E14" s="22"/>
      <c r="F14" s="22"/>
      <c r="G14" s="34"/>
      <c r="H14" s="34"/>
      <c r="I14" s="34"/>
    </row>
    <row r="15" spans="1:10" x14ac:dyDescent="0.2">
      <c r="A15" s="30" t="s">
        <v>233</v>
      </c>
      <c r="B15" s="22">
        <v>3803</v>
      </c>
      <c r="C15" s="22">
        <v>922</v>
      </c>
      <c r="D15" s="23">
        <v>1.9089777858756349</v>
      </c>
      <c r="E15" s="22"/>
      <c r="F15" s="22"/>
      <c r="G15" s="34"/>
      <c r="H15" s="34"/>
      <c r="I15" s="34"/>
    </row>
    <row r="16" spans="1:10" x14ac:dyDescent="0.2">
      <c r="A16" s="30" t="s">
        <v>187</v>
      </c>
      <c r="B16" s="22">
        <v>5640</v>
      </c>
      <c r="C16" s="22">
        <v>1301</v>
      </c>
      <c r="D16" s="23">
        <v>1.8163288099625845</v>
      </c>
      <c r="E16" s="22"/>
      <c r="F16" s="22"/>
      <c r="G16" s="34"/>
      <c r="H16" s="34"/>
      <c r="I16" s="34"/>
    </row>
    <row r="17" spans="1:12" x14ac:dyDescent="0.2">
      <c r="A17" s="30" t="s">
        <v>234</v>
      </c>
      <c r="B17" s="22">
        <v>4035</v>
      </c>
      <c r="C17" s="22">
        <v>907</v>
      </c>
      <c r="D17" s="23">
        <v>1.7699460429899794</v>
      </c>
      <c r="E17" s="22"/>
      <c r="F17" s="22"/>
      <c r="G17" s="34"/>
      <c r="H17" s="34"/>
      <c r="I17" s="34"/>
    </row>
    <row r="18" spans="1:12" x14ac:dyDescent="0.2">
      <c r="A18" s="30" t="s">
        <v>236</v>
      </c>
      <c r="B18" s="22">
        <v>5556</v>
      </c>
      <c r="C18" s="22">
        <v>1174</v>
      </c>
      <c r="D18" s="23">
        <v>1.6638039035617309</v>
      </c>
      <c r="E18" s="22"/>
      <c r="F18" s="22"/>
      <c r="G18" s="34"/>
      <c r="H18" s="34"/>
      <c r="I18" s="34"/>
    </row>
    <row r="19" spans="1:12" x14ac:dyDescent="0.2">
      <c r="A19" s="30" t="s">
        <v>152</v>
      </c>
      <c r="B19" s="22">
        <v>4320</v>
      </c>
      <c r="C19" s="22">
        <v>904</v>
      </c>
      <c r="D19" s="23">
        <v>1.6477107028288129</v>
      </c>
      <c r="E19" s="22"/>
      <c r="F19" s="22"/>
      <c r="G19" s="34"/>
      <c r="H19" s="34"/>
      <c r="I19" s="34"/>
    </row>
    <row r="20" spans="1:12" x14ac:dyDescent="0.2">
      <c r="A20" s="30" t="s">
        <v>112</v>
      </c>
      <c r="B20" s="22">
        <v>4446</v>
      </c>
      <c r="C20" s="22">
        <v>868</v>
      </c>
      <c r="D20" s="23">
        <v>1.54</v>
      </c>
      <c r="E20" s="22"/>
      <c r="F20" s="22"/>
      <c r="G20" s="34"/>
      <c r="H20" s="34"/>
      <c r="I20" s="34"/>
    </row>
    <row r="21" spans="1:12" x14ac:dyDescent="0.2">
      <c r="A21" s="30" t="s">
        <v>295</v>
      </c>
      <c r="B21" s="22">
        <v>2419</v>
      </c>
      <c r="C21" s="22">
        <v>387</v>
      </c>
      <c r="D21" s="23">
        <v>1.25971232</v>
      </c>
      <c r="E21" s="75"/>
      <c r="F21" s="22"/>
      <c r="I21" s="34"/>
    </row>
    <row r="22" spans="1:12" x14ac:dyDescent="0.2">
      <c r="A22" s="30"/>
      <c r="D22" s="23"/>
      <c r="E22" s="75"/>
      <c r="F22" s="22"/>
      <c r="I22" s="34"/>
    </row>
    <row r="23" spans="1:12" ht="25.5" x14ac:dyDescent="0.2">
      <c r="A23" s="31"/>
      <c r="B23" s="22" t="s">
        <v>365</v>
      </c>
      <c r="C23" s="22" t="s">
        <v>364</v>
      </c>
      <c r="D23" s="23" t="s">
        <v>366</v>
      </c>
      <c r="E23" s="22"/>
      <c r="F23" s="22"/>
      <c r="I23" s="34"/>
    </row>
    <row r="24" spans="1:12" x14ac:dyDescent="0.2">
      <c r="A24" s="30" t="s">
        <v>237</v>
      </c>
      <c r="B24" s="22">
        <v>248</v>
      </c>
      <c r="C24" s="22">
        <v>137</v>
      </c>
      <c r="D24" s="23">
        <v>4.3499999999999996</v>
      </c>
      <c r="E24" s="22"/>
      <c r="F24" s="22"/>
      <c r="I24" s="34"/>
    </row>
    <row r="25" spans="1:12" x14ac:dyDescent="0.2">
      <c r="A25" s="30" t="s">
        <v>130</v>
      </c>
      <c r="B25" s="22">
        <v>460</v>
      </c>
      <c r="C25" s="22">
        <v>225</v>
      </c>
      <c r="D25" s="23">
        <v>3.85</v>
      </c>
      <c r="E25" s="22"/>
      <c r="F25" s="22"/>
      <c r="I25" s="34"/>
      <c r="L25" s="22"/>
    </row>
    <row r="26" spans="1:12" x14ac:dyDescent="0.2">
      <c r="A26" s="30" t="s">
        <v>133</v>
      </c>
      <c r="B26" s="22">
        <v>268</v>
      </c>
      <c r="C26" s="22">
        <v>127</v>
      </c>
      <c r="D26" s="23">
        <v>3.7313432835820892</v>
      </c>
      <c r="E26" s="22"/>
      <c r="F26" s="22"/>
      <c r="I26" s="34"/>
    </row>
    <row r="27" spans="1:12" x14ac:dyDescent="0.2">
      <c r="A27" s="30" t="s">
        <v>142</v>
      </c>
      <c r="B27" s="22">
        <v>346</v>
      </c>
      <c r="C27" s="22">
        <v>150</v>
      </c>
      <c r="D27" s="23">
        <v>3.41</v>
      </c>
      <c r="E27" s="22"/>
      <c r="F27" s="22"/>
      <c r="G27" s="34"/>
      <c r="H27" s="34"/>
      <c r="I27" s="34"/>
    </row>
    <row r="28" spans="1:12" x14ac:dyDescent="0.2">
      <c r="A28" s="30" t="s">
        <v>123</v>
      </c>
      <c r="B28" s="22">
        <v>266</v>
      </c>
      <c r="C28" s="22">
        <v>110</v>
      </c>
      <c r="D28" s="23">
        <v>3.26</v>
      </c>
      <c r="E28" s="22"/>
      <c r="F28" s="22"/>
      <c r="G28" s="34"/>
      <c r="H28" s="34"/>
      <c r="I28" s="34"/>
    </row>
    <row r="29" spans="1:12" x14ac:dyDescent="0.2">
      <c r="A29" s="30" t="s">
        <v>164</v>
      </c>
      <c r="B29" s="22">
        <v>272</v>
      </c>
      <c r="C29" s="22">
        <v>111</v>
      </c>
      <c r="D29" s="23">
        <v>3.21</v>
      </c>
      <c r="E29" s="22"/>
      <c r="F29" s="22"/>
      <c r="G29" s="34"/>
      <c r="H29" s="34"/>
      <c r="I29" s="34"/>
    </row>
    <row r="30" spans="1:12" x14ac:dyDescent="0.2">
      <c r="A30" s="30" t="s">
        <v>118</v>
      </c>
      <c r="B30" s="22">
        <v>1083</v>
      </c>
      <c r="C30" s="22">
        <v>431</v>
      </c>
      <c r="D30" s="23">
        <v>3.13</v>
      </c>
      <c r="E30" s="22"/>
      <c r="F30" s="22"/>
      <c r="G30" s="34"/>
      <c r="H30" s="34"/>
      <c r="I30" s="34"/>
    </row>
    <row r="31" spans="1:12" x14ac:dyDescent="0.2">
      <c r="A31" s="30" t="s">
        <v>127</v>
      </c>
      <c r="B31" s="22">
        <v>580</v>
      </c>
      <c r="C31" s="22">
        <v>227</v>
      </c>
      <c r="D31" s="23">
        <v>3.08</v>
      </c>
      <c r="E31" s="22"/>
      <c r="F31" s="22"/>
      <c r="G31" s="34"/>
      <c r="H31" s="34"/>
      <c r="I31" s="34"/>
    </row>
    <row r="32" spans="1:12" x14ac:dyDescent="0.2">
      <c r="A32" s="30" t="s">
        <v>141</v>
      </c>
      <c r="B32" s="22">
        <v>1445</v>
      </c>
      <c r="C32" s="22">
        <v>541</v>
      </c>
      <c r="D32" s="23">
        <v>2.95</v>
      </c>
      <c r="E32" s="22"/>
      <c r="F32" s="22"/>
      <c r="G32" s="34"/>
      <c r="H32" s="34"/>
      <c r="I32" s="34"/>
    </row>
    <row r="33" spans="1:12" x14ac:dyDescent="0.2">
      <c r="A33" s="30" t="s">
        <v>144</v>
      </c>
      <c r="B33" s="22">
        <v>421</v>
      </c>
      <c r="C33" s="22">
        <v>157</v>
      </c>
      <c r="D33" s="23">
        <v>2.94</v>
      </c>
      <c r="E33" s="22"/>
      <c r="F33" s="22"/>
      <c r="G33" s="34"/>
      <c r="H33" s="34"/>
      <c r="I33" s="34"/>
    </row>
    <row r="34" spans="1:12" x14ac:dyDescent="0.2">
      <c r="A34" s="30" t="s">
        <v>93</v>
      </c>
      <c r="B34" s="22">
        <v>2127</v>
      </c>
      <c r="C34" s="22">
        <v>789</v>
      </c>
      <c r="D34" s="23">
        <v>2.9208267161245183</v>
      </c>
      <c r="E34" s="22"/>
      <c r="F34" s="22"/>
      <c r="G34" s="34"/>
      <c r="H34" s="34"/>
      <c r="I34" s="34"/>
    </row>
    <row r="35" spans="1:12" x14ac:dyDescent="0.2">
      <c r="A35" s="30" t="s">
        <v>150</v>
      </c>
      <c r="B35" s="22">
        <v>434</v>
      </c>
      <c r="C35" s="22">
        <v>149</v>
      </c>
      <c r="D35" s="23">
        <v>2.7</v>
      </c>
      <c r="E35" s="22"/>
      <c r="F35" s="22"/>
      <c r="I35" s="34"/>
    </row>
    <row r="36" spans="1:12" x14ac:dyDescent="0.2">
      <c r="A36" s="30" t="s">
        <v>146</v>
      </c>
      <c r="B36" s="22">
        <v>465</v>
      </c>
      <c r="C36" s="22">
        <v>157</v>
      </c>
      <c r="D36" s="23">
        <v>2.66</v>
      </c>
      <c r="E36" s="22"/>
      <c r="F36" s="22"/>
      <c r="G36" s="34"/>
      <c r="H36" s="34"/>
      <c r="I36" s="34"/>
    </row>
    <row r="37" spans="1:12" x14ac:dyDescent="0.2">
      <c r="A37" s="30" t="s">
        <v>136</v>
      </c>
      <c r="B37" s="22">
        <v>1248</v>
      </c>
      <c r="C37" s="22">
        <v>405</v>
      </c>
      <c r="D37" s="23">
        <v>2.56</v>
      </c>
      <c r="E37" s="22"/>
      <c r="F37" s="22"/>
      <c r="G37" s="34"/>
      <c r="H37" s="34"/>
      <c r="I37" s="34"/>
    </row>
    <row r="38" spans="1:12" x14ac:dyDescent="0.2">
      <c r="A38" s="30" t="s">
        <v>92</v>
      </c>
      <c r="B38" s="22">
        <v>12415</v>
      </c>
      <c r="C38" s="22">
        <v>3934</v>
      </c>
      <c r="D38" s="23">
        <v>2.49507675817607</v>
      </c>
      <c r="E38" s="22"/>
      <c r="F38" s="22"/>
      <c r="G38" s="34"/>
      <c r="H38" s="34"/>
      <c r="I38" s="34"/>
    </row>
    <row r="39" spans="1:12" x14ac:dyDescent="0.2">
      <c r="A39" s="30" t="s">
        <v>140</v>
      </c>
      <c r="B39" s="22">
        <v>757</v>
      </c>
      <c r="C39" s="22">
        <v>229</v>
      </c>
      <c r="D39" s="23">
        <v>2.3819677800000001</v>
      </c>
      <c r="E39" s="22"/>
      <c r="F39" s="22"/>
      <c r="G39" s="34"/>
      <c r="H39" s="34"/>
      <c r="I39" s="34"/>
    </row>
    <row r="40" spans="1:12" x14ac:dyDescent="0.2">
      <c r="A40" s="30" t="s">
        <v>148</v>
      </c>
      <c r="B40" s="22">
        <v>5177</v>
      </c>
      <c r="C40" s="22">
        <v>1529</v>
      </c>
      <c r="D40" s="23">
        <v>2.3255495612787636</v>
      </c>
      <c r="E40" s="22"/>
      <c r="F40" s="22"/>
      <c r="G40" s="34"/>
      <c r="H40" s="34"/>
      <c r="I40" s="34"/>
    </row>
    <row r="41" spans="1:12" x14ac:dyDescent="0.2">
      <c r="A41" s="30" t="s">
        <v>175</v>
      </c>
      <c r="B41" s="22">
        <v>1506</v>
      </c>
      <c r="C41" s="22">
        <v>419</v>
      </c>
      <c r="D41" s="23">
        <v>2.1907122167497985</v>
      </c>
      <c r="E41" s="22"/>
      <c r="F41" s="22"/>
      <c r="G41" s="34"/>
      <c r="H41" s="34"/>
      <c r="I41" s="34"/>
    </row>
    <row r="42" spans="1:12" x14ac:dyDescent="0.2">
      <c r="A42" s="30" t="s">
        <v>174</v>
      </c>
      <c r="B42" s="22">
        <v>3779</v>
      </c>
      <c r="C42" s="22">
        <v>984</v>
      </c>
      <c r="D42" s="23">
        <v>2.0502861857800987</v>
      </c>
      <c r="E42" s="22"/>
      <c r="F42" s="22"/>
      <c r="G42" s="34"/>
      <c r="H42" s="34"/>
      <c r="I42" s="34"/>
    </row>
    <row r="43" spans="1:12" x14ac:dyDescent="0.2">
      <c r="A43" s="30" t="s">
        <v>116</v>
      </c>
      <c r="B43" s="22">
        <v>2589</v>
      </c>
      <c r="C43" s="22">
        <v>641</v>
      </c>
      <c r="D43" s="23">
        <v>1.95</v>
      </c>
      <c r="E43" s="22"/>
      <c r="F43" s="22"/>
      <c r="G43" s="34"/>
      <c r="H43" s="34"/>
      <c r="I43" s="34"/>
    </row>
    <row r="44" spans="1:12" x14ac:dyDescent="0.2">
      <c r="A44" s="30" t="s">
        <v>232</v>
      </c>
      <c r="B44" s="22">
        <v>2429</v>
      </c>
      <c r="C44" s="22">
        <v>600</v>
      </c>
      <c r="D44" s="23">
        <v>1.9450018315433915</v>
      </c>
      <c r="E44" s="22"/>
      <c r="F44" s="22"/>
      <c r="G44" s="34"/>
      <c r="H44" s="34"/>
      <c r="J44" s="30"/>
      <c r="K44" s="22"/>
      <c r="L44" s="22"/>
    </row>
    <row r="45" spans="1:12" x14ac:dyDescent="0.2">
      <c r="A45" s="30" t="s">
        <v>294</v>
      </c>
      <c r="B45" s="22">
        <v>978</v>
      </c>
      <c r="C45" s="22">
        <v>226</v>
      </c>
      <c r="D45" s="23">
        <v>1.8195578299999999</v>
      </c>
      <c r="E45" s="22"/>
      <c r="F45" s="22"/>
      <c r="G45" s="34"/>
      <c r="H45" s="34"/>
      <c r="J45" s="30"/>
    </row>
    <row r="46" spans="1:12" x14ac:dyDescent="0.2">
      <c r="A46" s="30" t="s">
        <v>94</v>
      </c>
      <c r="B46" s="22">
        <v>2299</v>
      </c>
      <c r="C46" s="22">
        <v>505</v>
      </c>
      <c r="D46" s="23">
        <v>1.7296119846698153</v>
      </c>
      <c r="E46" s="22"/>
      <c r="F46" s="22"/>
      <c r="G46" s="34"/>
      <c r="H46" s="34"/>
      <c r="J46" s="30"/>
    </row>
    <row r="47" spans="1:12" x14ac:dyDescent="0.2">
      <c r="A47" s="30" t="s">
        <v>231</v>
      </c>
      <c r="B47" s="22">
        <v>6863</v>
      </c>
      <c r="C47" s="22">
        <v>1393</v>
      </c>
      <c r="D47" s="23">
        <v>1.598208354510837</v>
      </c>
      <c r="E47" s="22"/>
      <c r="F47" s="22"/>
      <c r="G47" s="34"/>
      <c r="H47" s="34"/>
      <c r="J47" s="30"/>
    </row>
    <row r="48" spans="1:12" x14ac:dyDescent="0.2">
      <c r="A48" s="30" t="s">
        <v>111</v>
      </c>
      <c r="B48" s="22">
        <v>6666</v>
      </c>
      <c r="C48" s="22">
        <v>1294</v>
      </c>
      <c r="D48" s="23">
        <v>1.53</v>
      </c>
      <c r="E48" s="22"/>
      <c r="F48" s="22"/>
      <c r="G48" s="34"/>
      <c r="H48" s="34"/>
      <c r="J48" s="30"/>
    </row>
    <row r="49" spans="1:12" x14ac:dyDescent="0.2">
      <c r="A49" s="30" t="s">
        <v>120</v>
      </c>
      <c r="B49" s="22">
        <v>5490</v>
      </c>
      <c r="C49" s="22">
        <v>1039</v>
      </c>
      <c r="D49" s="23">
        <v>1.4901825796365618</v>
      </c>
      <c r="E49" s="22"/>
      <c r="F49" s="22"/>
      <c r="G49" s="34"/>
      <c r="H49" s="34"/>
      <c r="J49" s="30"/>
    </row>
    <row r="50" spans="1:12" x14ac:dyDescent="0.2">
      <c r="A50" s="30" t="s">
        <v>98</v>
      </c>
      <c r="B50" s="22">
        <v>13040</v>
      </c>
      <c r="C50" s="22">
        <v>2438</v>
      </c>
      <c r="D50" s="23">
        <v>1.4721511038114101</v>
      </c>
      <c r="E50" s="22"/>
      <c r="F50" s="22"/>
      <c r="J50" s="30"/>
    </row>
    <row r="51" spans="1:12" x14ac:dyDescent="0.2">
      <c r="A51" s="42"/>
      <c r="B51" s="32"/>
      <c r="C51" s="32"/>
      <c r="D51" s="32"/>
      <c r="E51" s="22"/>
      <c r="F51" s="22"/>
      <c r="G51" s="34"/>
      <c r="H51" s="34"/>
      <c r="I51" s="34"/>
      <c r="J51" s="30"/>
    </row>
    <row r="52" spans="1:12" x14ac:dyDescent="0.2">
      <c r="A52" s="25"/>
      <c r="B52" s="39" t="s">
        <v>154</v>
      </c>
      <c r="C52" s="20"/>
      <c r="D52" s="21"/>
      <c r="E52" s="21"/>
      <c r="F52" s="21"/>
      <c r="G52" s="24"/>
      <c r="I52" s="34"/>
    </row>
    <row r="53" spans="1:12" x14ac:dyDescent="0.2">
      <c r="A53" s="34"/>
      <c r="D53" s="22"/>
      <c r="E53" s="22"/>
      <c r="F53" s="22"/>
      <c r="G53" s="34"/>
      <c r="H53" s="34"/>
      <c r="J53" s="30"/>
    </row>
    <row r="54" spans="1:12" ht="25.5" x14ac:dyDescent="0.2">
      <c r="A54" s="30"/>
      <c r="B54" s="22" t="s">
        <v>365</v>
      </c>
      <c r="C54" s="22" t="s">
        <v>367</v>
      </c>
      <c r="D54" s="23" t="s">
        <v>366</v>
      </c>
      <c r="E54" s="22"/>
      <c r="F54" s="22"/>
      <c r="G54" s="34"/>
      <c r="H54" s="34"/>
      <c r="I54" s="34"/>
      <c r="J54" s="30"/>
    </row>
    <row r="55" spans="1:12" x14ac:dyDescent="0.2">
      <c r="A55" s="30" t="s">
        <v>306</v>
      </c>
      <c r="B55" s="22">
        <v>133</v>
      </c>
      <c r="C55" s="22">
        <v>43</v>
      </c>
      <c r="D55" s="23">
        <v>3.233082706766917</v>
      </c>
      <c r="E55" s="22"/>
      <c r="F55" s="22"/>
      <c r="G55" s="34"/>
      <c r="H55" s="34"/>
      <c r="I55" s="34"/>
      <c r="J55" s="30"/>
    </row>
    <row r="56" spans="1:12" x14ac:dyDescent="0.2">
      <c r="A56" s="30" t="s">
        <v>307</v>
      </c>
      <c r="B56" s="22">
        <v>154</v>
      </c>
      <c r="C56" s="22">
        <v>49</v>
      </c>
      <c r="D56" s="23">
        <v>3.1818181818181817</v>
      </c>
      <c r="E56" s="22"/>
      <c r="F56" s="22"/>
      <c r="G56" s="34"/>
      <c r="H56" s="34"/>
      <c r="I56" s="34"/>
      <c r="J56" s="30"/>
    </row>
    <row r="57" spans="1:12" x14ac:dyDescent="0.2">
      <c r="A57" s="30" t="s">
        <v>310</v>
      </c>
      <c r="B57" s="22">
        <v>229</v>
      </c>
      <c r="C57" s="22">
        <v>72</v>
      </c>
      <c r="D57" s="23">
        <v>3.1441048034934496</v>
      </c>
      <c r="E57" s="22"/>
      <c r="F57" s="22"/>
      <c r="G57" s="34"/>
      <c r="H57" s="34"/>
      <c r="I57" s="34"/>
      <c r="J57" s="22"/>
      <c r="K57" s="22"/>
      <c r="L57" s="23"/>
    </row>
    <row r="58" spans="1:12" x14ac:dyDescent="0.2">
      <c r="A58" s="30" t="s">
        <v>308</v>
      </c>
      <c r="B58" s="22">
        <v>267</v>
      </c>
      <c r="C58" s="22">
        <v>71</v>
      </c>
      <c r="D58" s="23">
        <v>2.6591760299625467</v>
      </c>
      <c r="E58" s="22"/>
      <c r="F58" s="22"/>
      <c r="G58" s="34"/>
      <c r="H58" s="34"/>
      <c r="I58" s="34"/>
    </row>
    <row r="59" spans="1:12" x14ac:dyDescent="0.2">
      <c r="A59" s="30" t="s">
        <v>309</v>
      </c>
      <c r="B59" s="22">
        <v>205</v>
      </c>
      <c r="C59" s="22">
        <v>54</v>
      </c>
      <c r="D59" s="23">
        <v>2.6341463414634148</v>
      </c>
      <c r="E59" s="22"/>
      <c r="F59" s="22"/>
      <c r="G59" s="34"/>
      <c r="H59" s="34"/>
      <c r="I59" s="34"/>
    </row>
    <row r="60" spans="1:12" x14ac:dyDescent="0.2">
      <c r="A60" s="30" t="s">
        <v>166</v>
      </c>
      <c r="B60" s="22">
        <v>317</v>
      </c>
      <c r="C60" s="22">
        <v>81</v>
      </c>
      <c r="D60" s="23">
        <v>2.5552050473186121</v>
      </c>
      <c r="E60" s="22"/>
      <c r="F60" s="22"/>
      <c r="G60" s="34"/>
      <c r="H60" s="34"/>
      <c r="I60" s="34"/>
    </row>
    <row r="61" spans="1:12" x14ac:dyDescent="0.2">
      <c r="A61" s="30" t="s">
        <v>118</v>
      </c>
      <c r="B61" s="22">
        <v>1083</v>
      </c>
      <c r="C61" s="22">
        <v>275</v>
      </c>
      <c r="D61" s="23">
        <v>2.5392428439519854</v>
      </c>
      <c r="E61" s="22"/>
      <c r="F61" s="22"/>
      <c r="G61" s="34"/>
      <c r="H61" s="34"/>
      <c r="I61" s="34"/>
    </row>
    <row r="62" spans="1:12" x14ac:dyDescent="0.2">
      <c r="A62" s="30" t="s">
        <v>117</v>
      </c>
      <c r="B62" s="22">
        <v>1443</v>
      </c>
      <c r="C62" s="22">
        <v>359</v>
      </c>
      <c r="D62" s="23">
        <v>2.4878724878724876</v>
      </c>
      <c r="E62" s="22"/>
      <c r="F62" s="22"/>
      <c r="G62" s="34"/>
      <c r="H62" s="34"/>
      <c r="I62" s="34"/>
    </row>
    <row r="63" spans="1:12" x14ac:dyDescent="0.2">
      <c r="A63" s="30" t="s">
        <v>125</v>
      </c>
      <c r="B63" s="22">
        <v>459</v>
      </c>
      <c r="C63" s="22">
        <v>108</v>
      </c>
      <c r="D63" s="23">
        <v>2.3529411764705879</v>
      </c>
      <c r="E63" s="22"/>
      <c r="F63" s="22" t="s">
        <v>229</v>
      </c>
      <c r="G63" s="22" t="s">
        <v>230</v>
      </c>
      <c r="H63" s="23" t="s">
        <v>197</v>
      </c>
      <c r="I63" s="34"/>
    </row>
    <row r="64" spans="1:12" x14ac:dyDescent="0.2">
      <c r="A64" s="30" t="s">
        <v>165</v>
      </c>
      <c r="B64" s="22">
        <v>596</v>
      </c>
      <c r="C64" s="22">
        <v>138</v>
      </c>
      <c r="D64" s="23">
        <v>2.3154362416107381</v>
      </c>
      <c r="E64" s="32"/>
      <c r="F64" s="32"/>
      <c r="G64" s="32"/>
      <c r="H64" s="33"/>
      <c r="I64" s="34"/>
    </row>
    <row r="65" spans="1:12" x14ac:dyDescent="0.2">
      <c r="A65" s="30" t="s">
        <v>162</v>
      </c>
      <c r="B65" s="22">
        <v>803</v>
      </c>
      <c r="C65" s="22">
        <v>182</v>
      </c>
      <c r="D65" s="23">
        <v>2.266500622665006</v>
      </c>
      <c r="E65" s="22"/>
      <c r="F65" s="22"/>
      <c r="I65" s="34"/>
      <c r="J65" s="30"/>
      <c r="K65" s="22"/>
      <c r="L65" s="22"/>
    </row>
    <row r="66" spans="1:12" x14ac:dyDescent="0.2">
      <c r="A66" s="30" t="s">
        <v>123</v>
      </c>
      <c r="B66" s="22">
        <v>449</v>
      </c>
      <c r="C66" s="22">
        <v>100</v>
      </c>
      <c r="D66" s="23">
        <v>2.2271714922048997</v>
      </c>
      <c r="E66" s="22"/>
      <c r="F66" s="22"/>
      <c r="I66" s="34"/>
    </row>
    <row r="67" spans="1:12" x14ac:dyDescent="0.2">
      <c r="A67" s="30" t="s">
        <v>124</v>
      </c>
      <c r="B67" s="22">
        <v>453</v>
      </c>
      <c r="C67" s="22">
        <v>100</v>
      </c>
      <c r="D67" s="23">
        <v>2.2075055187637966</v>
      </c>
      <c r="E67" s="22"/>
      <c r="F67" s="22"/>
      <c r="I67" s="34"/>
    </row>
    <row r="68" spans="1:12" x14ac:dyDescent="0.2">
      <c r="A68" s="30" t="s">
        <v>113</v>
      </c>
      <c r="B68" s="22">
        <v>1173</v>
      </c>
      <c r="C68" s="22">
        <v>249</v>
      </c>
      <c r="D68" s="23">
        <v>2.1227621483375958</v>
      </c>
      <c r="E68" s="22"/>
      <c r="F68" s="22"/>
      <c r="I68" s="34"/>
    </row>
    <row r="69" spans="1:12" x14ac:dyDescent="0.2">
      <c r="A69" s="30" t="s">
        <v>149</v>
      </c>
      <c r="B69" s="22">
        <v>694</v>
      </c>
      <c r="C69" s="22">
        <v>145</v>
      </c>
      <c r="D69" s="23">
        <v>2.0893371757925072</v>
      </c>
      <c r="E69" s="22"/>
      <c r="F69" s="22"/>
      <c r="I69" s="34"/>
    </row>
    <row r="70" spans="1:12" x14ac:dyDescent="0.2">
      <c r="A70" s="30" t="s">
        <v>119</v>
      </c>
      <c r="B70" s="22">
        <v>565</v>
      </c>
      <c r="C70" s="22">
        <v>118</v>
      </c>
      <c r="D70" s="23">
        <v>2.0884955752212386</v>
      </c>
      <c r="E70" s="22"/>
      <c r="F70" s="22"/>
      <c r="I70" s="34"/>
    </row>
    <row r="71" spans="1:12" x14ac:dyDescent="0.2">
      <c r="A71" s="30" t="s">
        <v>156</v>
      </c>
      <c r="B71" s="22">
        <v>1007</v>
      </c>
      <c r="C71" s="22">
        <v>202</v>
      </c>
      <c r="D71" s="23">
        <v>2.0059582919563059</v>
      </c>
      <c r="E71" s="22"/>
      <c r="F71" s="22"/>
      <c r="I71" s="34"/>
    </row>
    <row r="72" spans="1:12" x14ac:dyDescent="0.2">
      <c r="A72" s="30" t="s">
        <v>242</v>
      </c>
      <c r="B72" s="22">
        <v>968</v>
      </c>
      <c r="C72" s="22">
        <v>194</v>
      </c>
      <c r="D72" s="23">
        <v>2.0041322314049586</v>
      </c>
      <c r="E72" s="22"/>
      <c r="F72" s="22"/>
      <c r="I72" s="34"/>
    </row>
    <row r="73" spans="1:12" x14ac:dyDescent="0.2">
      <c r="A73" s="30" t="s">
        <v>148</v>
      </c>
      <c r="B73" s="22">
        <v>5177</v>
      </c>
      <c r="C73" s="22">
        <v>1023</v>
      </c>
      <c r="D73" s="23">
        <v>1.9760479041916168</v>
      </c>
      <c r="E73" s="22"/>
      <c r="F73" s="22"/>
      <c r="I73" s="34"/>
    </row>
    <row r="74" spans="1:12" x14ac:dyDescent="0.2">
      <c r="A74" s="30" t="s">
        <v>238</v>
      </c>
      <c r="B74" s="22">
        <v>14163</v>
      </c>
      <c r="C74" s="22">
        <v>2627</v>
      </c>
      <c r="D74" s="23">
        <v>1.8548330156040387</v>
      </c>
      <c r="E74" s="22"/>
      <c r="F74" s="22"/>
      <c r="I74" s="34"/>
    </row>
    <row r="75" spans="1:12" x14ac:dyDescent="0.2">
      <c r="A75" s="30" t="s">
        <v>239</v>
      </c>
      <c r="B75" s="22">
        <v>3383</v>
      </c>
      <c r="C75" s="22">
        <v>598</v>
      </c>
      <c r="D75" s="23">
        <v>1.7676618386047886</v>
      </c>
      <c r="E75" s="22"/>
      <c r="F75" s="22"/>
      <c r="I75" s="34"/>
    </row>
    <row r="76" spans="1:12" x14ac:dyDescent="0.2">
      <c r="A76" s="30"/>
      <c r="D76" s="23"/>
      <c r="E76" s="22"/>
      <c r="F76" s="22"/>
      <c r="I76" s="34"/>
    </row>
    <row r="77" spans="1:12" ht="25.5" x14ac:dyDescent="0.2">
      <c r="A77" s="30"/>
      <c r="B77" s="22" t="s">
        <v>365</v>
      </c>
      <c r="C77" s="22" t="s">
        <v>367</v>
      </c>
      <c r="D77" s="23" t="s">
        <v>366</v>
      </c>
      <c r="E77" s="22"/>
      <c r="F77" s="22"/>
      <c r="G77" s="34"/>
      <c r="H77" s="34"/>
      <c r="I77" s="34"/>
    </row>
    <row r="78" spans="1:12" x14ac:dyDescent="0.2">
      <c r="A78" s="30" t="s">
        <v>164</v>
      </c>
      <c r="B78" s="22">
        <v>272</v>
      </c>
      <c r="C78" s="22">
        <v>137</v>
      </c>
      <c r="D78" s="23">
        <v>5.0367647058823524</v>
      </c>
      <c r="E78" s="22"/>
      <c r="F78" s="22"/>
      <c r="G78" s="34"/>
      <c r="H78" s="34"/>
      <c r="I78" s="34"/>
    </row>
    <row r="79" spans="1:12" x14ac:dyDescent="0.2">
      <c r="A79" s="30" t="s">
        <v>99</v>
      </c>
      <c r="B79" s="22">
        <v>1161</v>
      </c>
      <c r="C79" s="22">
        <v>388</v>
      </c>
      <c r="D79" s="23">
        <v>3.3419465977605509</v>
      </c>
      <c r="E79" s="22"/>
      <c r="F79" s="22"/>
      <c r="G79" s="34"/>
      <c r="H79" s="34"/>
      <c r="I79" s="34"/>
    </row>
    <row r="80" spans="1:12" x14ac:dyDescent="0.2">
      <c r="A80" s="30" t="s">
        <v>202</v>
      </c>
      <c r="B80" s="22">
        <v>886</v>
      </c>
      <c r="C80" s="22">
        <v>269</v>
      </c>
      <c r="D80" s="23">
        <v>3.0361173814898414</v>
      </c>
      <c r="E80" s="22"/>
      <c r="F80" s="22"/>
      <c r="G80" s="34"/>
      <c r="H80" s="34"/>
      <c r="I80" s="34"/>
    </row>
    <row r="81" spans="1:12" x14ac:dyDescent="0.2">
      <c r="A81" s="30" t="s">
        <v>122</v>
      </c>
      <c r="B81" s="22">
        <v>526</v>
      </c>
      <c r="C81" s="22">
        <v>157</v>
      </c>
      <c r="D81" s="23">
        <v>2.9847908745247147</v>
      </c>
      <c r="E81" s="22"/>
      <c r="F81" s="22"/>
      <c r="G81" s="34"/>
      <c r="H81" s="34"/>
      <c r="I81" s="34"/>
    </row>
    <row r="82" spans="1:12" x14ac:dyDescent="0.2">
      <c r="A82" s="30" t="s">
        <v>157</v>
      </c>
      <c r="B82" s="22">
        <v>1326</v>
      </c>
      <c r="C82" s="22">
        <v>379</v>
      </c>
      <c r="D82" s="23">
        <v>2.8582202111613872</v>
      </c>
      <c r="E82" s="22"/>
      <c r="F82" s="22"/>
      <c r="I82" s="34"/>
    </row>
    <row r="83" spans="1:12" x14ac:dyDescent="0.2">
      <c r="A83" s="30" t="s">
        <v>114</v>
      </c>
      <c r="B83" s="22">
        <v>740</v>
      </c>
      <c r="C83" s="22">
        <v>203</v>
      </c>
      <c r="D83" s="23">
        <v>2.743243243243243</v>
      </c>
      <c r="E83" s="22"/>
      <c r="F83" s="22"/>
      <c r="I83" s="34"/>
    </row>
    <row r="84" spans="1:12" x14ac:dyDescent="0.2">
      <c r="A84" s="30" t="s">
        <v>152</v>
      </c>
      <c r="B84" s="22">
        <v>4320</v>
      </c>
      <c r="C84" s="22">
        <v>956</v>
      </c>
      <c r="D84" s="23">
        <v>2.2129629629629628</v>
      </c>
      <c r="E84" s="22"/>
      <c r="F84" s="22"/>
      <c r="G84" s="34"/>
      <c r="H84" s="34"/>
      <c r="I84" s="34"/>
    </row>
    <row r="85" spans="1:12" x14ac:dyDescent="0.2">
      <c r="A85" s="30" t="s">
        <v>235</v>
      </c>
      <c r="B85" s="22">
        <v>3180</v>
      </c>
      <c r="C85" s="22">
        <v>669</v>
      </c>
      <c r="D85" s="23">
        <v>2.1037735849056602</v>
      </c>
      <c r="E85" s="22"/>
      <c r="F85" s="22"/>
      <c r="G85" s="34"/>
      <c r="H85" s="34"/>
      <c r="I85" s="34"/>
    </row>
    <row r="86" spans="1:12" x14ac:dyDescent="0.2">
      <c r="A86" s="30" t="s">
        <v>200</v>
      </c>
      <c r="B86" s="22">
        <v>3047</v>
      </c>
      <c r="C86" s="22">
        <v>640</v>
      </c>
      <c r="D86" s="23">
        <v>2.1004266491631109</v>
      </c>
      <c r="E86" s="22"/>
      <c r="F86" s="22"/>
      <c r="G86" s="34"/>
      <c r="H86" s="34"/>
      <c r="I86" s="34"/>
    </row>
    <row r="87" spans="1:12" x14ac:dyDescent="0.2">
      <c r="A87" s="30" t="s">
        <v>96</v>
      </c>
      <c r="B87" s="22">
        <v>4270</v>
      </c>
      <c r="C87" s="22">
        <v>863</v>
      </c>
      <c r="D87" s="23">
        <v>2.0210772833723651</v>
      </c>
      <c r="E87" s="22"/>
      <c r="F87" s="22"/>
      <c r="G87" s="34"/>
      <c r="H87" s="34"/>
      <c r="I87" s="34"/>
    </row>
    <row r="88" spans="1:12" x14ac:dyDescent="0.2">
      <c r="A88" s="30" t="s">
        <v>174</v>
      </c>
      <c r="B88" s="22">
        <v>3779</v>
      </c>
      <c r="C88" s="22">
        <v>667</v>
      </c>
      <c r="D88" s="23">
        <v>1.7650172003175442</v>
      </c>
      <c r="E88" s="22"/>
      <c r="F88" s="22"/>
      <c r="G88" s="34"/>
      <c r="H88" s="34"/>
      <c r="I88" s="34"/>
    </row>
    <row r="89" spans="1:12" x14ac:dyDescent="0.2">
      <c r="A89" s="30" t="s">
        <v>1</v>
      </c>
      <c r="B89" s="22">
        <v>9773</v>
      </c>
      <c r="C89" s="22">
        <v>2173</v>
      </c>
      <c r="D89" s="23">
        <v>1.6327557167994544</v>
      </c>
      <c r="E89" s="22"/>
      <c r="F89" s="22"/>
      <c r="G89" s="34"/>
      <c r="H89" s="34"/>
      <c r="I89" s="34"/>
    </row>
    <row r="90" spans="1:12" x14ac:dyDescent="0.2">
      <c r="A90" s="30" t="s">
        <v>92</v>
      </c>
      <c r="B90" s="22">
        <v>12415</v>
      </c>
      <c r="C90" s="22">
        <v>1730</v>
      </c>
      <c r="D90" s="23">
        <v>1.3934756343133305</v>
      </c>
      <c r="E90" s="22"/>
      <c r="F90" s="22"/>
      <c r="J90" s="30"/>
    </row>
    <row r="91" spans="1:12" x14ac:dyDescent="0.2">
      <c r="A91" s="30" t="s">
        <v>98</v>
      </c>
      <c r="B91" s="22">
        <v>13040</v>
      </c>
      <c r="C91" s="22">
        <v>1703</v>
      </c>
      <c r="D91" s="23">
        <v>1.3059815950920244</v>
      </c>
      <c r="E91" s="22"/>
      <c r="F91" s="22"/>
      <c r="J91" s="30"/>
    </row>
    <row r="92" spans="1:12" x14ac:dyDescent="0.2">
      <c r="A92" s="30"/>
      <c r="D92" s="22"/>
      <c r="E92" s="22"/>
      <c r="F92" s="22"/>
      <c r="G92" s="34"/>
      <c r="H92" s="34"/>
      <c r="I92" s="34"/>
      <c r="J92" s="30"/>
    </row>
    <row r="93" spans="1:12" x14ac:dyDescent="0.2">
      <c r="A93" s="25"/>
      <c r="B93" s="39" t="s">
        <v>170</v>
      </c>
      <c r="C93" s="20"/>
      <c r="D93" s="21"/>
      <c r="E93" s="21"/>
      <c r="F93" s="21"/>
    </row>
    <row r="94" spans="1:12" x14ac:dyDescent="0.2">
      <c r="A94" s="23"/>
      <c r="D94" s="22"/>
      <c r="E94" s="22"/>
      <c r="F94" s="22"/>
      <c r="G94" s="34"/>
      <c r="H94" s="34"/>
      <c r="I94" s="34"/>
      <c r="J94" s="30"/>
      <c r="K94" s="22"/>
      <c r="L94" s="22"/>
    </row>
    <row r="95" spans="1:12" ht="25.5" x14ac:dyDescent="0.2">
      <c r="A95" s="30"/>
      <c r="B95" s="22" t="s">
        <v>365</v>
      </c>
      <c r="C95" s="22" t="s">
        <v>368</v>
      </c>
      <c r="D95" s="23" t="s">
        <v>366</v>
      </c>
      <c r="E95" s="22"/>
      <c r="F95" s="22"/>
      <c r="G95" s="34"/>
      <c r="H95" s="34"/>
      <c r="I95" s="34"/>
      <c r="J95" s="30"/>
      <c r="K95" s="22"/>
      <c r="L95" s="22"/>
    </row>
    <row r="96" spans="1:12" x14ac:dyDescent="0.2">
      <c r="A96" s="30" t="s">
        <v>245</v>
      </c>
      <c r="B96" s="22">
        <v>108</v>
      </c>
      <c r="C96" s="22">
        <v>41</v>
      </c>
      <c r="D96" s="23">
        <v>7.0602497606403132</v>
      </c>
      <c r="E96" s="22"/>
      <c r="F96" s="22"/>
      <c r="G96" s="34"/>
      <c r="H96" s="34"/>
      <c r="I96" s="34"/>
      <c r="J96" s="30"/>
      <c r="K96" s="22"/>
      <c r="L96" s="22"/>
    </row>
    <row r="97" spans="1:12" x14ac:dyDescent="0.2">
      <c r="A97" s="30" t="s">
        <v>114</v>
      </c>
      <c r="B97" s="22">
        <v>740</v>
      </c>
      <c r="C97" s="22">
        <v>270</v>
      </c>
      <c r="D97" s="23">
        <v>6.7856586361328786</v>
      </c>
      <c r="E97" s="22"/>
      <c r="F97" s="22"/>
      <c r="G97" s="34"/>
      <c r="H97" s="34"/>
      <c r="I97" s="34"/>
      <c r="J97" s="30"/>
      <c r="K97" s="22"/>
      <c r="L97" s="22"/>
    </row>
    <row r="98" spans="1:12" x14ac:dyDescent="0.2">
      <c r="A98" s="30" t="s">
        <v>141</v>
      </c>
      <c r="B98" s="22">
        <v>280</v>
      </c>
      <c r="C98" s="22">
        <v>94</v>
      </c>
      <c r="D98" s="23">
        <v>6.243524004357182</v>
      </c>
      <c r="E98" s="22"/>
      <c r="F98" s="22"/>
      <c r="G98" s="34"/>
      <c r="H98" s="34"/>
      <c r="I98" s="34"/>
      <c r="J98" s="30"/>
      <c r="K98" s="22"/>
      <c r="L98" s="22"/>
    </row>
    <row r="99" spans="1:12" x14ac:dyDescent="0.2">
      <c r="A99" s="30" t="s">
        <v>164</v>
      </c>
      <c r="B99" s="22">
        <v>272</v>
      </c>
      <c r="C99" s="22">
        <v>86</v>
      </c>
      <c r="D99" s="23">
        <v>5.8801649728144927</v>
      </c>
      <c r="E99" s="22"/>
      <c r="F99" s="22"/>
      <c r="G99" s="34"/>
      <c r="H99" s="34"/>
      <c r="I99" s="34"/>
      <c r="J99" s="30"/>
      <c r="K99" s="22"/>
      <c r="L99" s="22"/>
    </row>
    <row r="100" spans="1:12" x14ac:dyDescent="0.2">
      <c r="A100" s="30" t="s">
        <v>246</v>
      </c>
      <c r="B100" s="22">
        <v>116</v>
      </c>
      <c r="C100" s="22">
        <v>33</v>
      </c>
      <c r="D100" s="23">
        <v>5.2907338408162481</v>
      </c>
      <c r="E100" s="22"/>
      <c r="F100" s="22"/>
      <c r="G100" s="34"/>
      <c r="H100" s="34"/>
      <c r="I100" s="34"/>
      <c r="J100" s="30"/>
      <c r="K100" s="22"/>
      <c r="L100" s="22"/>
    </row>
    <row r="101" spans="1:12" x14ac:dyDescent="0.2">
      <c r="A101" s="30" t="s">
        <v>243</v>
      </c>
      <c r="B101" s="22">
        <v>194</v>
      </c>
      <c r="C101" s="22">
        <v>54</v>
      </c>
      <c r="D101" s="23">
        <v>5.1766880316890003</v>
      </c>
      <c r="E101" s="22"/>
      <c r="F101" s="22"/>
      <c r="G101" s="34"/>
      <c r="H101" s="34"/>
      <c r="I101" s="34"/>
      <c r="J101" s="30"/>
      <c r="K101" s="22"/>
      <c r="L101" s="22"/>
    </row>
    <row r="102" spans="1:12" x14ac:dyDescent="0.2">
      <c r="A102" s="30" t="s">
        <v>311</v>
      </c>
      <c r="B102" s="22">
        <v>1326</v>
      </c>
      <c r="C102" s="22">
        <v>314</v>
      </c>
      <c r="D102" s="23">
        <v>4.4039876003905807</v>
      </c>
      <c r="E102" s="22"/>
      <c r="F102" s="22"/>
      <c r="G102" s="34"/>
      <c r="H102" s="34"/>
      <c r="I102" s="34"/>
      <c r="J102" s="30"/>
      <c r="K102" s="22"/>
      <c r="L102" s="22"/>
    </row>
    <row r="103" spans="1:12" x14ac:dyDescent="0.2">
      <c r="A103" s="30" t="s">
        <v>244</v>
      </c>
      <c r="B103" s="22">
        <v>104</v>
      </c>
      <c r="C103" s="22">
        <v>24</v>
      </c>
      <c r="D103" s="23">
        <v>4.291784094648146</v>
      </c>
      <c r="E103" s="22"/>
      <c r="F103" s="22"/>
      <c r="G103" s="34"/>
      <c r="H103" s="34"/>
      <c r="I103" s="34"/>
      <c r="J103" s="30"/>
      <c r="K103" s="22"/>
      <c r="L103" s="22"/>
    </row>
    <row r="104" spans="1:12" x14ac:dyDescent="0.2">
      <c r="A104" s="30" t="s">
        <v>183</v>
      </c>
      <c r="B104" s="22">
        <v>367</v>
      </c>
      <c r="C104" s="22">
        <v>78</v>
      </c>
      <c r="D104" s="23">
        <v>3.9526512915288095</v>
      </c>
      <c r="E104" s="22"/>
      <c r="F104" s="22"/>
      <c r="G104" s="34"/>
      <c r="H104" s="34"/>
      <c r="I104" s="34"/>
      <c r="J104" s="30"/>
    </row>
    <row r="105" spans="1:12" x14ac:dyDescent="0.2">
      <c r="A105" s="30" t="s">
        <v>247</v>
      </c>
      <c r="B105" s="22">
        <v>170</v>
      </c>
      <c r="C105" s="22">
        <v>32</v>
      </c>
      <c r="D105" s="23">
        <v>3.5007493791639774</v>
      </c>
      <c r="E105" s="22"/>
      <c r="F105" s="22"/>
      <c r="G105" s="34"/>
      <c r="H105" s="34"/>
      <c r="I105" s="34"/>
      <c r="J105" s="30"/>
    </row>
    <row r="106" spans="1:12" x14ac:dyDescent="0.2">
      <c r="A106" s="30" t="s">
        <v>248</v>
      </c>
      <c r="B106" s="22">
        <v>287</v>
      </c>
      <c r="C106" s="22">
        <v>51</v>
      </c>
      <c r="D106" s="23">
        <v>3.3048232923945653</v>
      </c>
      <c r="E106" s="22"/>
      <c r="F106" s="22"/>
      <c r="G106" s="34"/>
      <c r="H106" s="34"/>
      <c r="I106" s="34"/>
      <c r="J106" s="30"/>
    </row>
    <row r="107" spans="1:12" x14ac:dyDescent="0.2">
      <c r="A107" s="30" t="s">
        <v>249</v>
      </c>
      <c r="B107" s="22">
        <v>268</v>
      </c>
      <c r="C107" s="22">
        <v>47</v>
      </c>
      <c r="D107" s="23">
        <v>3.2615423903358418</v>
      </c>
      <c r="E107" s="22"/>
      <c r="F107" s="22"/>
      <c r="G107" s="34"/>
      <c r="H107" s="34"/>
      <c r="I107" s="34"/>
      <c r="J107" s="30"/>
    </row>
    <row r="108" spans="1:12" x14ac:dyDescent="0.2">
      <c r="A108" s="30" t="s">
        <v>179</v>
      </c>
      <c r="B108" s="22">
        <v>727</v>
      </c>
      <c r="C108" s="22">
        <v>127</v>
      </c>
      <c r="D108" s="23">
        <v>3.2488471069528142</v>
      </c>
      <c r="E108" s="22"/>
      <c r="F108" s="22"/>
      <c r="G108" s="34"/>
      <c r="H108" s="34"/>
      <c r="J108" s="30"/>
    </row>
    <row r="109" spans="1:12" x14ac:dyDescent="0.2">
      <c r="A109" s="30" t="s">
        <v>181</v>
      </c>
      <c r="B109" s="22">
        <v>769</v>
      </c>
      <c r="C109" s="22">
        <v>134</v>
      </c>
      <c r="D109" s="23">
        <v>3.240696962668864</v>
      </c>
      <c r="E109" s="22"/>
      <c r="F109" s="22"/>
      <c r="G109" s="34"/>
      <c r="H109" s="34"/>
      <c r="J109" s="30"/>
    </row>
    <row r="110" spans="1:12" x14ac:dyDescent="0.2">
      <c r="A110" s="30" t="s">
        <v>182</v>
      </c>
      <c r="B110" s="22">
        <v>981</v>
      </c>
      <c r="C110" s="22">
        <v>169</v>
      </c>
      <c r="D110" s="23">
        <v>3.2038904709282963</v>
      </c>
      <c r="E110" s="22"/>
      <c r="F110" s="22"/>
      <c r="G110" s="34"/>
      <c r="H110" s="34"/>
      <c r="J110" s="30"/>
    </row>
    <row r="111" spans="1:12" x14ac:dyDescent="0.2">
      <c r="A111" s="30" t="s">
        <v>250</v>
      </c>
      <c r="B111" s="22">
        <v>203</v>
      </c>
      <c r="C111" s="22">
        <v>34</v>
      </c>
      <c r="D111" s="23">
        <v>3.1148909192684404</v>
      </c>
      <c r="E111" s="22"/>
      <c r="F111" s="22"/>
      <c r="G111" s="34"/>
      <c r="H111" s="34"/>
      <c r="I111" s="36"/>
      <c r="J111" s="36"/>
    </row>
    <row r="112" spans="1:12" x14ac:dyDescent="0.2">
      <c r="A112" s="30" t="s">
        <v>138</v>
      </c>
      <c r="B112" s="22">
        <v>961</v>
      </c>
      <c r="C112" s="22">
        <v>152</v>
      </c>
      <c r="D112" s="23">
        <v>2.9415766115243618</v>
      </c>
      <c r="E112" s="22"/>
      <c r="F112" s="22"/>
      <c r="G112" s="34"/>
      <c r="H112" s="34"/>
      <c r="I112" s="36"/>
      <c r="J112" s="36"/>
    </row>
    <row r="113" spans="1:12" x14ac:dyDescent="0.2">
      <c r="A113" s="30" t="s">
        <v>139</v>
      </c>
      <c r="B113" s="22">
        <v>1105</v>
      </c>
      <c r="C113" s="22">
        <v>167</v>
      </c>
      <c r="D113" s="23">
        <v>2.8106978188480007</v>
      </c>
      <c r="E113" s="22"/>
      <c r="F113" s="22"/>
      <c r="G113" s="34"/>
      <c r="H113" s="34"/>
      <c r="J113" s="30"/>
    </row>
    <row r="114" spans="1:12" x14ac:dyDescent="0.2">
      <c r="A114" s="30" t="s">
        <v>120</v>
      </c>
      <c r="B114" s="22">
        <v>5490</v>
      </c>
      <c r="C114" s="22">
        <v>664</v>
      </c>
      <c r="D114" s="23">
        <v>2.2493430664846867</v>
      </c>
      <c r="E114" s="22"/>
      <c r="F114" s="22"/>
      <c r="G114" s="34"/>
      <c r="H114" s="34"/>
      <c r="J114" s="30"/>
      <c r="K114" s="22"/>
      <c r="L114" s="22"/>
    </row>
    <row r="115" spans="1:12" x14ac:dyDescent="0.2">
      <c r="A115" s="30" t="s">
        <v>98</v>
      </c>
      <c r="B115" s="22">
        <v>13040</v>
      </c>
      <c r="C115" s="22">
        <v>1358</v>
      </c>
      <c r="D115" s="23">
        <v>1.9367882517105919</v>
      </c>
      <c r="E115" s="22"/>
      <c r="F115" s="22"/>
      <c r="G115" s="34"/>
      <c r="H115" s="34"/>
      <c r="I115" s="34"/>
    </row>
    <row r="116" spans="1:12" x14ac:dyDescent="0.2">
      <c r="A116" s="34"/>
      <c r="D116" s="22"/>
      <c r="E116" s="22"/>
      <c r="F116" s="22"/>
      <c r="G116" s="34"/>
      <c r="H116" s="34"/>
      <c r="I116" s="34"/>
    </row>
    <row r="117" spans="1:12" ht="25.5" x14ac:dyDescent="0.2">
      <c r="A117" s="30"/>
      <c r="B117" s="22" t="s">
        <v>365</v>
      </c>
      <c r="C117" s="22" t="s">
        <v>368</v>
      </c>
      <c r="D117" s="23" t="s">
        <v>366</v>
      </c>
      <c r="E117" s="22"/>
      <c r="F117" s="22"/>
      <c r="G117" s="34"/>
      <c r="H117" s="34"/>
      <c r="I117" s="34"/>
    </row>
    <row r="118" spans="1:12" x14ac:dyDescent="0.2">
      <c r="A118" s="30" t="s">
        <v>241</v>
      </c>
      <c r="B118" s="22">
        <v>226</v>
      </c>
      <c r="C118" s="22">
        <v>102</v>
      </c>
      <c r="D118" s="23">
        <v>8.3936662382056646</v>
      </c>
      <c r="E118" s="22"/>
      <c r="F118" s="22"/>
      <c r="G118" s="34"/>
      <c r="H118" s="34"/>
      <c r="I118" s="34"/>
    </row>
    <row r="119" spans="1:12" x14ac:dyDescent="0.2">
      <c r="A119" s="30" t="s">
        <v>240</v>
      </c>
      <c r="B119" s="22">
        <v>567</v>
      </c>
      <c r="C119" s="22">
        <v>191</v>
      </c>
      <c r="D119" s="23">
        <v>6.2648441546216018</v>
      </c>
      <c r="E119" s="22"/>
      <c r="F119" s="22"/>
      <c r="G119" s="34"/>
      <c r="H119" s="34"/>
      <c r="I119" s="34"/>
    </row>
    <row r="120" spans="1:12" x14ac:dyDescent="0.2">
      <c r="A120" s="30" t="s">
        <v>163</v>
      </c>
      <c r="B120" s="22">
        <v>675</v>
      </c>
      <c r="C120" s="22">
        <v>137</v>
      </c>
      <c r="D120" s="23">
        <v>3.774650603737455</v>
      </c>
      <c r="E120" s="22"/>
      <c r="F120" s="22"/>
      <c r="G120" s="34"/>
      <c r="H120" s="34"/>
      <c r="I120" s="34"/>
    </row>
    <row r="121" spans="1:12" x14ac:dyDescent="0.2">
      <c r="A121" s="30" t="s">
        <v>160</v>
      </c>
      <c r="B121" s="22">
        <v>1091</v>
      </c>
      <c r="C121" s="22">
        <v>213</v>
      </c>
      <c r="D121" s="23">
        <v>3.6309044173787699</v>
      </c>
      <c r="E121" s="22"/>
      <c r="F121" s="22"/>
      <c r="G121" s="34"/>
      <c r="H121" s="34"/>
      <c r="I121" s="34"/>
    </row>
    <row r="122" spans="1:12" x14ac:dyDescent="0.2">
      <c r="A122" s="30" t="s">
        <v>169</v>
      </c>
      <c r="B122" s="22">
        <v>935</v>
      </c>
      <c r="C122" s="22">
        <v>181</v>
      </c>
      <c r="D122" s="23">
        <v>3.60020248652659</v>
      </c>
      <c r="E122" s="22"/>
      <c r="F122" s="22"/>
      <c r="G122" s="34"/>
      <c r="H122" s="34"/>
      <c r="I122" s="34"/>
    </row>
    <row r="123" spans="1:12" x14ac:dyDescent="0.2">
      <c r="A123" s="30" t="s">
        <v>173</v>
      </c>
      <c r="B123" s="22">
        <v>950</v>
      </c>
      <c r="C123" s="22">
        <v>169</v>
      </c>
      <c r="D123" s="23">
        <v>3.3084384757691145</v>
      </c>
      <c r="E123" s="22"/>
      <c r="F123" s="22"/>
      <c r="G123" s="34"/>
      <c r="H123" s="34"/>
      <c r="I123" s="34"/>
    </row>
    <row r="124" spans="1:12" x14ac:dyDescent="0.2">
      <c r="A124" s="30" t="s">
        <v>184</v>
      </c>
      <c r="B124" s="22">
        <v>675</v>
      </c>
      <c r="C124" s="22">
        <v>112</v>
      </c>
      <c r="D124" s="23">
        <v>3.0858457490408391</v>
      </c>
      <c r="E124" s="22"/>
      <c r="F124" s="22"/>
      <c r="G124" s="34"/>
      <c r="H124" s="34"/>
      <c r="I124" s="34"/>
    </row>
    <row r="125" spans="1:12" x14ac:dyDescent="0.2">
      <c r="A125" s="30" t="s">
        <v>200</v>
      </c>
      <c r="B125" s="22">
        <v>3047</v>
      </c>
      <c r="C125" s="22">
        <v>505</v>
      </c>
      <c r="D125" s="23">
        <v>3.0823282552636551</v>
      </c>
      <c r="E125" s="22"/>
      <c r="F125" s="22"/>
      <c r="G125" s="34"/>
      <c r="H125" s="34"/>
      <c r="J125" s="30"/>
    </row>
    <row r="126" spans="1:12" x14ac:dyDescent="0.2">
      <c r="A126" s="30" t="s">
        <v>159</v>
      </c>
      <c r="B126" s="22">
        <v>1421</v>
      </c>
      <c r="C126" s="22">
        <v>232</v>
      </c>
      <c r="D126" s="23">
        <v>3.0363642574381435</v>
      </c>
      <c r="E126" s="22"/>
      <c r="F126" s="22"/>
      <c r="G126" s="34"/>
      <c r="H126" s="34"/>
      <c r="J126" s="30"/>
    </row>
    <row r="127" spans="1:12" x14ac:dyDescent="0.2">
      <c r="A127" s="30" t="s">
        <v>201</v>
      </c>
      <c r="B127" s="22">
        <v>806</v>
      </c>
      <c r="C127" s="22">
        <v>128</v>
      </c>
      <c r="D127" s="23">
        <v>2.9534858285750678</v>
      </c>
      <c r="E127" s="22"/>
      <c r="F127" s="22"/>
      <c r="G127" s="34"/>
      <c r="H127" s="34"/>
      <c r="J127" s="30"/>
    </row>
    <row r="128" spans="1:12" x14ac:dyDescent="0.2">
      <c r="A128" s="30" t="s">
        <v>175</v>
      </c>
      <c r="B128" s="22">
        <v>1506</v>
      </c>
      <c r="C128" s="22">
        <v>239</v>
      </c>
      <c r="D128" s="23">
        <v>2.9514327538892844</v>
      </c>
      <c r="E128" s="22"/>
      <c r="F128" s="22"/>
      <c r="G128" s="34"/>
      <c r="H128" s="34"/>
      <c r="I128" s="34"/>
      <c r="J128" s="30"/>
    </row>
    <row r="129" spans="1:10" x14ac:dyDescent="0.2">
      <c r="A129" s="30" t="s">
        <v>178</v>
      </c>
      <c r="B129" s="22">
        <v>864</v>
      </c>
      <c r="C129" s="22">
        <v>133</v>
      </c>
      <c r="D129" s="23">
        <v>2.8628451773328099</v>
      </c>
      <c r="E129" s="22"/>
      <c r="F129" s="22"/>
      <c r="G129" s="34"/>
      <c r="H129" s="34"/>
      <c r="I129" s="34"/>
      <c r="J129" s="30"/>
    </row>
    <row r="130" spans="1:10" x14ac:dyDescent="0.2">
      <c r="A130" s="30" t="s">
        <v>172</v>
      </c>
      <c r="B130" s="22">
        <v>4113</v>
      </c>
      <c r="C130" s="22">
        <v>610</v>
      </c>
      <c r="D130" s="23">
        <v>2.7582338820455297</v>
      </c>
      <c r="E130" s="22"/>
      <c r="F130" s="22"/>
      <c r="G130" s="34"/>
      <c r="H130" s="34"/>
      <c r="I130" s="34"/>
      <c r="J130" s="30"/>
    </row>
    <row r="131" spans="1:10" x14ac:dyDescent="0.2">
      <c r="A131" s="30" t="s">
        <v>195</v>
      </c>
      <c r="B131" s="22">
        <v>870</v>
      </c>
      <c r="C131" s="22">
        <v>129</v>
      </c>
      <c r="D131" s="23">
        <v>2.75759460794059</v>
      </c>
      <c r="E131" s="22"/>
      <c r="F131" s="22"/>
      <c r="G131" s="34"/>
      <c r="H131" s="34"/>
      <c r="I131" s="34"/>
      <c r="J131" s="30"/>
    </row>
    <row r="132" spans="1:10" x14ac:dyDescent="0.2">
      <c r="A132" s="30" t="s">
        <v>174</v>
      </c>
      <c r="B132" s="22">
        <v>3779</v>
      </c>
      <c r="C132" s="22">
        <v>534</v>
      </c>
      <c r="D132" s="23">
        <v>2.6279937536427118</v>
      </c>
      <c r="E132" s="22"/>
      <c r="F132" s="22"/>
      <c r="G132" s="34"/>
      <c r="H132" s="34"/>
      <c r="I132" s="34"/>
      <c r="J132" s="30"/>
    </row>
    <row r="133" spans="1:10" x14ac:dyDescent="0.2">
      <c r="A133" s="30" t="s">
        <v>171</v>
      </c>
      <c r="B133" s="22">
        <v>4352</v>
      </c>
      <c r="C133" s="22">
        <v>604</v>
      </c>
      <c r="D133" s="23">
        <v>2.5811189270203156</v>
      </c>
      <c r="E133" s="22"/>
      <c r="F133" s="22"/>
      <c r="G133" s="34"/>
      <c r="H133" s="34"/>
      <c r="I133" s="34"/>
      <c r="J133" s="30"/>
    </row>
    <row r="134" spans="1:10" x14ac:dyDescent="0.2">
      <c r="A134" s="30" t="s">
        <v>117</v>
      </c>
      <c r="B134" s="22">
        <v>1443</v>
      </c>
      <c r="C134" s="22">
        <v>194</v>
      </c>
      <c r="D134" s="23">
        <v>2.5003186617469675</v>
      </c>
      <c r="E134" s="22"/>
      <c r="F134" s="22"/>
      <c r="G134" s="34"/>
      <c r="H134" s="34"/>
      <c r="I134" s="34"/>
      <c r="J134" s="30"/>
    </row>
    <row r="135" spans="1:10" x14ac:dyDescent="0.2">
      <c r="A135" s="30" t="s">
        <v>167</v>
      </c>
      <c r="B135" s="22">
        <v>4628</v>
      </c>
      <c r="C135" s="22">
        <v>573</v>
      </c>
      <c r="D135" s="23">
        <v>2.3026145002185272</v>
      </c>
      <c r="E135" s="22"/>
      <c r="F135" s="22"/>
      <c r="G135" s="34"/>
      <c r="H135" s="34"/>
      <c r="I135" s="34"/>
      <c r="J135" s="30"/>
    </row>
    <row r="136" spans="1:10" x14ac:dyDescent="0.2">
      <c r="A136" s="30" t="s">
        <v>147</v>
      </c>
      <c r="B136" s="22">
        <v>8140</v>
      </c>
      <c r="C136" s="22">
        <v>901</v>
      </c>
      <c r="D136" s="23">
        <v>2.0585449263150584</v>
      </c>
      <c r="E136" s="22"/>
      <c r="F136" s="22"/>
      <c r="G136" s="34"/>
      <c r="H136" s="34"/>
      <c r="I136" s="34"/>
      <c r="J136" s="30"/>
    </row>
    <row r="137" spans="1:10" x14ac:dyDescent="0.2">
      <c r="A137" s="30" t="s">
        <v>148</v>
      </c>
      <c r="B137" s="22">
        <v>5177</v>
      </c>
      <c r="C137" s="22">
        <v>562</v>
      </c>
      <c r="D137" s="23">
        <v>2.0189153689716921</v>
      </c>
      <c r="E137" s="22"/>
      <c r="F137" s="22"/>
      <c r="G137" s="34"/>
      <c r="H137" s="34"/>
      <c r="I137" s="34"/>
      <c r="J137" s="30"/>
    </row>
    <row r="139" spans="1:10" x14ac:dyDescent="0.2">
      <c r="A139" s="25"/>
      <c r="B139" s="39" t="s">
        <v>189</v>
      </c>
      <c r="C139" s="20"/>
      <c r="D139" s="21"/>
      <c r="E139" s="21"/>
      <c r="F139" s="21"/>
    </row>
    <row r="140" spans="1:10" x14ac:dyDescent="0.2">
      <c r="A140" s="30"/>
      <c r="D140" s="22"/>
      <c r="E140" s="22"/>
      <c r="F140" s="22"/>
      <c r="G140" s="34"/>
      <c r="H140" s="34"/>
      <c r="I140" s="34"/>
      <c r="J140" s="30"/>
    </row>
    <row r="141" spans="1:10" ht="25.5" x14ac:dyDescent="0.2">
      <c r="A141" s="30"/>
      <c r="B141" s="22" t="s">
        <v>365</v>
      </c>
      <c r="C141" s="22" t="s">
        <v>369</v>
      </c>
      <c r="D141" s="23" t="s">
        <v>366</v>
      </c>
      <c r="E141" s="22"/>
      <c r="F141" s="22"/>
      <c r="G141" s="34"/>
      <c r="H141" s="34"/>
      <c r="I141" s="34"/>
      <c r="J141" s="30"/>
    </row>
    <row r="142" spans="1:10" x14ac:dyDescent="0.2">
      <c r="A142" s="30" t="s">
        <v>256</v>
      </c>
      <c r="B142" s="22">
        <v>118</v>
      </c>
      <c r="C142" s="22">
        <v>25</v>
      </c>
      <c r="D142" s="23">
        <v>9.4161958568738235</v>
      </c>
      <c r="E142" s="22"/>
      <c r="F142" s="22"/>
      <c r="G142" s="34"/>
      <c r="H142" s="34"/>
      <c r="I142" s="34"/>
      <c r="J142" s="30"/>
    </row>
    <row r="143" spans="1:10" x14ac:dyDescent="0.2">
      <c r="A143" s="30" t="s">
        <v>191</v>
      </c>
      <c r="B143" s="22">
        <v>153</v>
      </c>
      <c r="C143" s="22">
        <v>28</v>
      </c>
      <c r="D143" s="23">
        <v>8.1336238198983288</v>
      </c>
      <c r="E143" s="22"/>
      <c r="F143" s="22"/>
      <c r="G143" s="34"/>
      <c r="H143" s="34"/>
      <c r="I143" s="34"/>
      <c r="J143" s="30"/>
    </row>
    <row r="144" spans="1:10" x14ac:dyDescent="0.2">
      <c r="A144" s="30" t="s">
        <v>128</v>
      </c>
      <c r="B144" s="22">
        <v>230</v>
      </c>
      <c r="C144" s="22">
        <v>39</v>
      </c>
      <c r="D144" s="23">
        <v>7.5362318840579707</v>
      </c>
      <c r="E144" s="22"/>
      <c r="F144" s="22"/>
      <c r="G144" s="34"/>
      <c r="H144" s="34"/>
      <c r="I144" s="34"/>
      <c r="J144" s="30"/>
    </row>
    <row r="145" spans="1:10" x14ac:dyDescent="0.2">
      <c r="A145" s="30" t="s">
        <v>192</v>
      </c>
      <c r="B145" s="22">
        <v>177</v>
      </c>
      <c r="C145" s="22">
        <v>30</v>
      </c>
      <c r="D145" s="23">
        <v>7.5329566854990579</v>
      </c>
      <c r="E145" s="22"/>
      <c r="F145" s="22"/>
      <c r="G145" s="34"/>
      <c r="H145" s="34"/>
      <c r="I145" s="34"/>
      <c r="J145" s="30"/>
    </row>
    <row r="146" spans="1:10" x14ac:dyDescent="0.2">
      <c r="A146" s="30" t="s">
        <v>257</v>
      </c>
      <c r="B146" s="22">
        <v>158</v>
      </c>
      <c r="C146" s="22">
        <v>22</v>
      </c>
      <c r="D146" s="23">
        <v>6.1884669479606185</v>
      </c>
      <c r="E146" s="22"/>
      <c r="F146" s="22"/>
      <c r="G146" s="34"/>
      <c r="H146" s="34"/>
      <c r="I146" s="34"/>
      <c r="J146" s="30"/>
    </row>
    <row r="147" spans="1:10" x14ac:dyDescent="0.2">
      <c r="A147" s="30" t="s">
        <v>203</v>
      </c>
      <c r="B147" s="22">
        <v>3016</v>
      </c>
      <c r="C147" s="22">
        <v>390</v>
      </c>
      <c r="D147" s="23">
        <v>5.7471264367816097</v>
      </c>
      <c r="E147" s="22"/>
      <c r="F147" s="22"/>
      <c r="G147" s="34"/>
      <c r="H147" s="34"/>
      <c r="I147" s="34"/>
      <c r="J147" s="30"/>
    </row>
    <row r="148" spans="1:10" x14ac:dyDescent="0.2">
      <c r="A148" s="30" t="s">
        <v>253</v>
      </c>
      <c r="B148" s="22">
        <v>1960</v>
      </c>
      <c r="C148" s="22">
        <v>231</v>
      </c>
      <c r="D148" s="23">
        <v>5.2380952380952381</v>
      </c>
      <c r="E148" s="22"/>
      <c r="F148" s="22"/>
      <c r="G148" s="34"/>
      <c r="H148" s="34"/>
      <c r="I148" s="34"/>
      <c r="J148" s="30"/>
    </row>
    <row r="149" spans="1:10" x14ac:dyDescent="0.2">
      <c r="A149" s="30" t="s">
        <v>193</v>
      </c>
      <c r="B149" s="22">
        <v>288</v>
      </c>
      <c r="C149" s="22">
        <v>30</v>
      </c>
      <c r="D149" s="23">
        <v>4.6296296296296298</v>
      </c>
      <c r="E149" s="22"/>
      <c r="F149" s="22"/>
      <c r="G149" s="34"/>
      <c r="H149" s="34"/>
      <c r="I149" s="34"/>
      <c r="J149" s="30"/>
    </row>
    <row r="150" spans="1:10" x14ac:dyDescent="0.2">
      <c r="A150" s="30" t="s">
        <v>258</v>
      </c>
      <c r="B150" s="22">
        <v>178</v>
      </c>
      <c r="C150" s="22">
        <v>17</v>
      </c>
      <c r="D150" s="23">
        <v>4.2446941323345815</v>
      </c>
      <c r="E150" s="22"/>
      <c r="F150" s="22"/>
      <c r="G150" s="34"/>
      <c r="H150" s="34"/>
      <c r="I150" s="34"/>
      <c r="J150" s="30"/>
    </row>
    <row r="151" spans="1:10" x14ac:dyDescent="0.2">
      <c r="A151" s="30" t="s">
        <v>259</v>
      </c>
      <c r="B151" s="22">
        <v>147</v>
      </c>
      <c r="C151" s="22">
        <v>14</v>
      </c>
      <c r="D151" s="23">
        <v>4.2328042328042326</v>
      </c>
      <c r="E151" s="22"/>
      <c r="F151" s="22"/>
      <c r="G151" s="34"/>
      <c r="H151" s="34"/>
      <c r="I151" s="34"/>
      <c r="J151" s="30"/>
    </row>
    <row r="152" spans="1:10" x14ac:dyDescent="0.2">
      <c r="A152" s="30" t="s">
        <v>195</v>
      </c>
      <c r="B152" s="22">
        <v>870</v>
      </c>
      <c r="C152" s="22">
        <v>82</v>
      </c>
      <c r="D152" s="23">
        <v>4.1890166028097067</v>
      </c>
      <c r="E152" s="22"/>
      <c r="F152" s="22"/>
      <c r="G152" s="34"/>
      <c r="H152" s="34"/>
      <c r="I152" s="34"/>
      <c r="J152" s="30"/>
    </row>
    <row r="153" spans="1:10" x14ac:dyDescent="0.2">
      <c r="A153" s="30" t="s">
        <v>196</v>
      </c>
      <c r="B153" s="22">
        <v>450</v>
      </c>
      <c r="C153" s="22">
        <v>37</v>
      </c>
      <c r="D153" s="23">
        <v>3.6543209876543212</v>
      </c>
      <c r="E153" s="22"/>
      <c r="F153" s="22"/>
      <c r="G153" s="34"/>
      <c r="H153" s="34"/>
      <c r="I153" s="34"/>
      <c r="J153" s="30"/>
    </row>
    <row r="154" spans="1:10" x14ac:dyDescent="0.2">
      <c r="A154" s="30" t="s">
        <v>266</v>
      </c>
      <c r="B154" s="22">
        <v>430</v>
      </c>
      <c r="C154" s="22">
        <v>35</v>
      </c>
      <c r="D154" s="23">
        <v>3.6175710594315249</v>
      </c>
      <c r="E154" s="22"/>
      <c r="F154" s="22"/>
      <c r="G154" s="34"/>
      <c r="H154" s="34"/>
      <c r="I154" s="34"/>
      <c r="J154" s="30"/>
    </row>
    <row r="155" spans="1:10" x14ac:dyDescent="0.2">
      <c r="A155" s="30" t="s">
        <v>254</v>
      </c>
      <c r="B155" s="22">
        <v>5753</v>
      </c>
      <c r="C155" s="22">
        <v>439</v>
      </c>
      <c r="D155" s="23">
        <v>3.3914672537999504</v>
      </c>
      <c r="E155" s="22"/>
      <c r="F155" s="22"/>
      <c r="G155" s="34"/>
      <c r="H155" s="34"/>
      <c r="I155" s="34"/>
      <c r="J155" s="36"/>
    </row>
    <row r="156" spans="1:10" x14ac:dyDescent="0.2">
      <c r="A156" s="30" t="s">
        <v>255</v>
      </c>
      <c r="B156" s="22">
        <v>4164</v>
      </c>
      <c r="C156" s="22">
        <v>316</v>
      </c>
      <c r="D156" s="23">
        <v>3.3728252748425658</v>
      </c>
      <c r="E156" s="22"/>
      <c r="F156" s="22"/>
      <c r="G156" s="34"/>
      <c r="H156" s="34"/>
      <c r="I156" s="34"/>
    </row>
    <row r="157" spans="1:10" x14ac:dyDescent="0.2">
      <c r="A157" s="30" t="s">
        <v>113</v>
      </c>
      <c r="B157" s="22">
        <v>1575</v>
      </c>
      <c r="C157" s="22">
        <v>86</v>
      </c>
      <c r="D157" s="23">
        <v>2.4268077601410938</v>
      </c>
      <c r="E157" s="22"/>
      <c r="F157" s="22"/>
      <c r="G157" s="34"/>
      <c r="H157" s="34"/>
      <c r="I157" s="34"/>
    </row>
    <row r="158" spans="1:10" x14ac:dyDescent="0.2">
      <c r="A158" s="30" t="s">
        <v>97</v>
      </c>
      <c r="B158" s="22">
        <v>1924</v>
      </c>
      <c r="C158" s="22">
        <v>105</v>
      </c>
      <c r="D158" s="23">
        <v>2.4255024255024256</v>
      </c>
      <c r="E158" s="22"/>
      <c r="F158" s="22"/>
      <c r="G158" s="34"/>
      <c r="H158" s="34"/>
      <c r="I158" s="34"/>
    </row>
    <row r="159" spans="1:10" x14ac:dyDescent="0.2">
      <c r="A159" s="30" t="s">
        <v>251</v>
      </c>
      <c r="B159" s="22">
        <v>21694</v>
      </c>
      <c r="C159" s="22">
        <v>933</v>
      </c>
      <c r="D159" s="23">
        <v>1.9114348053225163</v>
      </c>
      <c r="E159" s="22"/>
      <c r="F159" s="22"/>
      <c r="G159" s="34"/>
      <c r="H159" s="34"/>
      <c r="I159" s="34"/>
    </row>
    <row r="160" spans="1:10" x14ac:dyDescent="0.2">
      <c r="A160" s="30" t="s">
        <v>151</v>
      </c>
      <c r="B160" s="22">
        <v>58412</v>
      </c>
      <c r="C160" s="22">
        <v>2435</v>
      </c>
      <c r="D160" s="23">
        <v>1.8527395436249783</v>
      </c>
      <c r="E160" s="22"/>
      <c r="F160" s="22"/>
      <c r="G160" s="34"/>
      <c r="H160" s="34"/>
      <c r="I160" s="34"/>
    </row>
    <row r="161" spans="1:9" x14ac:dyDescent="0.2">
      <c r="A161" s="30" t="s">
        <v>252</v>
      </c>
      <c r="B161" s="22">
        <v>14357</v>
      </c>
      <c r="C161" s="22">
        <v>550</v>
      </c>
      <c r="D161" s="23">
        <v>1.7026150619519707</v>
      </c>
      <c r="E161" s="22"/>
      <c r="F161" s="22"/>
      <c r="G161" s="34"/>
      <c r="H161" s="34"/>
      <c r="I161" s="34"/>
    </row>
    <row r="162" spans="1:9" x14ac:dyDescent="0.2">
      <c r="A162" s="30"/>
      <c r="D162" s="23"/>
      <c r="E162" s="22"/>
      <c r="F162" s="22"/>
      <c r="I162" s="34"/>
    </row>
    <row r="163" spans="1:9" ht="25.5" x14ac:dyDescent="0.2">
      <c r="A163" s="30"/>
      <c r="B163" s="22" t="s">
        <v>365</v>
      </c>
      <c r="C163" s="22" t="s">
        <v>369</v>
      </c>
      <c r="D163" s="23" t="s">
        <v>366</v>
      </c>
      <c r="E163" s="22"/>
      <c r="F163" s="22"/>
      <c r="I163" s="34"/>
    </row>
    <row r="164" spans="1:9" x14ac:dyDescent="0.2">
      <c r="A164" s="30" t="s">
        <v>194</v>
      </c>
      <c r="B164" s="22">
        <v>654</v>
      </c>
      <c r="C164" s="22">
        <v>87</v>
      </c>
      <c r="D164" s="23">
        <v>5.9123343527013255</v>
      </c>
      <c r="E164" s="22"/>
      <c r="F164" s="22"/>
      <c r="I164" s="34"/>
    </row>
    <row r="165" spans="1:9" x14ac:dyDescent="0.2">
      <c r="A165" s="30" t="s">
        <v>137</v>
      </c>
      <c r="B165" s="22">
        <v>1530</v>
      </c>
      <c r="C165" s="22">
        <v>135</v>
      </c>
      <c r="D165" s="23">
        <v>3.9215686274509807</v>
      </c>
      <c r="E165" s="22"/>
      <c r="F165" s="22"/>
      <c r="I165" s="34"/>
    </row>
    <row r="166" spans="1:9" x14ac:dyDescent="0.2">
      <c r="A166" s="30" t="s">
        <v>200</v>
      </c>
      <c r="B166" s="22">
        <v>3047</v>
      </c>
      <c r="C166" s="22">
        <v>203</v>
      </c>
      <c r="D166" s="23">
        <v>2.9610181234729973</v>
      </c>
      <c r="E166" s="22"/>
      <c r="F166" s="22"/>
      <c r="I166" s="34"/>
    </row>
    <row r="167" spans="1:9" x14ac:dyDescent="0.2">
      <c r="A167" s="30" t="s">
        <v>205</v>
      </c>
      <c r="B167" s="22">
        <v>2351</v>
      </c>
      <c r="C167" s="22">
        <v>144</v>
      </c>
      <c r="D167" s="23">
        <v>2.7222458528285838</v>
      </c>
      <c r="E167" s="22"/>
      <c r="F167" s="22"/>
      <c r="I167" s="34"/>
    </row>
    <row r="168" spans="1:9" x14ac:dyDescent="0.2">
      <c r="A168" s="30" t="s">
        <v>158</v>
      </c>
      <c r="B168" s="22">
        <v>2201</v>
      </c>
      <c r="C168" s="22">
        <v>130</v>
      </c>
      <c r="D168" s="23">
        <f>(C168/B168)/0.0225</f>
        <v>2.6250694128931298</v>
      </c>
      <c r="E168" s="22"/>
      <c r="F168" s="22"/>
      <c r="I168" s="34"/>
    </row>
    <row r="169" spans="1:9" x14ac:dyDescent="0.2">
      <c r="A169" s="30" t="s">
        <v>188</v>
      </c>
      <c r="B169" s="22">
        <v>2932</v>
      </c>
      <c r="C169" s="22">
        <v>167</v>
      </c>
      <c r="D169" s="23">
        <v>2.5314536910716994</v>
      </c>
      <c r="E169" s="22"/>
      <c r="F169" s="22"/>
      <c r="I169" s="34"/>
    </row>
    <row r="170" spans="1:9" x14ac:dyDescent="0.2">
      <c r="A170" s="30" t="s">
        <v>264</v>
      </c>
      <c r="B170" s="22">
        <v>2549</v>
      </c>
      <c r="C170" s="22">
        <v>136</v>
      </c>
      <c r="D170" s="23">
        <v>2.3713002920535287</v>
      </c>
      <c r="E170" s="22"/>
      <c r="F170" s="22"/>
      <c r="I170" s="34"/>
    </row>
    <row r="171" spans="1:9" x14ac:dyDescent="0.2">
      <c r="A171" s="30" t="s">
        <v>265</v>
      </c>
      <c r="B171" s="22">
        <v>2082</v>
      </c>
      <c r="C171" s="22">
        <v>102</v>
      </c>
      <c r="D171" s="23">
        <v>2.1773935318603908</v>
      </c>
      <c r="E171" s="22"/>
      <c r="F171" s="22"/>
      <c r="I171" s="34"/>
    </row>
    <row r="172" spans="1:9" x14ac:dyDescent="0.2">
      <c r="A172" s="30" t="s">
        <v>90</v>
      </c>
      <c r="B172" s="22">
        <v>2443</v>
      </c>
      <c r="C172" s="22">
        <v>119</v>
      </c>
      <c r="D172" s="23">
        <v>2.1649156319643428</v>
      </c>
      <c r="E172" s="22"/>
      <c r="F172" s="22"/>
      <c r="I172" s="34"/>
    </row>
    <row r="173" spans="1:9" x14ac:dyDescent="0.2">
      <c r="A173" s="30"/>
      <c r="D173" s="23"/>
      <c r="E173" s="22"/>
      <c r="F173" s="22"/>
      <c r="I173" s="34"/>
    </row>
    <row r="174" spans="1:9" x14ac:dyDescent="0.2">
      <c r="A174" s="30" t="s">
        <v>260</v>
      </c>
      <c r="B174" s="22">
        <v>103</v>
      </c>
      <c r="C174" s="22">
        <v>21</v>
      </c>
      <c r="D174" s="23">
        <v>9.0614886731391593</v>
      </c>
      <c r="E174" s="22"/>
      <c r="F174" s="22"/>
      <c r="I174" s="34"/>
    </row>
    <row r="175" spans="1:9" x14ac:dyDescent="0.2">
      <c r="A175" s="30" t="s">
        <v>261</v>
      </c>
      <c r="B175" s="22">
        <v>352</v>
      </c>
      <c r="C175" s="22">
        <v>44</v>
      </c>
      <c r="D175" s="23">
        <v>5.5555555555555554</v>
      </c>
      <c r="E175" s="22"/>
      <c r="F175" s="22"/>
      <c r="I175" s="34"/>
    </row>
    <row r="176" spans="1:9" x14ac:dyDescent="0.2">
      <c r="A176" s="30" t="s">
        <v>131</v>
      </c>
      <c r="B176" s="22">
        <v>208</v>
      </c>
      <c r="C176" s="22">
        <v>25</v>
      </c>
      <c r="D176" s="23">
        <v>5.3418803418803424</v>
      </c>
      <c r="E176" s="22"/>
      <c r="F176" s="22"/>
      <c r="I176" s="34"/>
    </row>
    <row r="177" spans="1:10" x14ac:dyDescent="0.2">
      <c r="A177" s="30" t="s">
        <v>262</v>
      </c>
      <c r="B177" s="22">
        <v>107</v>
      </c>
      <c r="C177" s="22">
        <v>12</v>
      </c>
      <c r="D177" s="23">
        <v>4.9844236760124616</v>
      </c>
      <c r="E177" s="22"/>
      <c r="F177" s="22"/>
      <c r="I177" s="34"/>
    </row>
    <row r="178" spans="1:10" ht="25.5" x14ac:dyDescent="0.2">
      <c r="A178" s="30" t="s">
        <v>263</v>
      </c>
      <c r="B178" s="22">
        <v>163</v>
      </c>
      <c r="C178" s="22">
        <v>17</v>
      </c>
      <c r="D178" s="23">
        <v>4.6353101567825492</v>
      </c>
      <c r="E178" s="22"/>
      <c r="F178" s="22"/>
      <c r="I178" s="34"/>
    </row>
    <row r="179" spans="1:10" x14ac:dyDescent="0.2">
      <c r="A179" s="30" t="s">
        <v>149</v>
      </c>
      <c r="B179" s="22">
        <v>694</v>
      </c>
      <c r="C179" s="22">
        <v>50</v>
      </c>
      <c r="D179" s="23">
        <v>3.202049311559398</v>
      </c>
      <c r="E179" s="22"/>
      <c r="F179" s="22"/>
      <c r="I179" s="34"/>
    </row>
    <row r="180" spans="1:10" x14ac:dyDescent="0.2">
      <c r="A180" s="30" t="s">
        <v>190</v>
      </c>
      <c r="B180" s="22">
        <v>588</v>
      </c>
      <c r="C180" s="22">
        <v>31</v>
      </c>
      <c r="D180" s="23">
        <v>2.3431594860166292</v>
      </c>
      <c r="E180" s="22"/>
      <c r="F180" s="22"/>
      <c r="I180" s="34"/>
    </row>
    <row r="181" spans="1:10" x14ac:dyDescent="0.2">
      <c r="A181" s="30"/>
      <c r="D181" s="23"/>
      <c r="E181" s="22"/>
      <c r="F181" s="22"/>
      <c r="I181" s="34"/>
    </row>
    <row r="183" spans="1:10" x14ac:dyDescent="0.2">
      <c r="A183" s="25"/>
      <c r="B183" s="39" t="s">
        <v>207</v>
      </c>
      <c r="C183" s="20"/>
      <c r="D183" s="21"/>
      <c r="E183" s="21"/>
      <c r="F183" s="21"/>
    </row>
    <row r="184" spans="1:10" x14ac:dyDescent="0.2">
      <c r="A184" s="30"/>
      <c r="D184" s="22"/>
      <c r="E184" s="22"/>
      <c r="F184" s="22"/>
      <c r="G184" s="34"/>
      <c r="H184" s="34"/>
      <c r="J184" s="30"/>
    </row>
    <row r="185" spans="1:10" ht="25.5" x14ac:dyDescent="0.2">
      <c r="A185" s="30"/>
      <c r="B185" s="22" t="s">
        <v>365</v>
      </c>
      <c r="C185" s="22" t="s">
        <v>419</v>
      </c>
      <c r="D185" s="23" t="s">
        <v>366</v>
      </c>
      <c r="E185" s="22"/>
      <c r="F185" s="22"/>
      <c r="J185" s="30"/>
    </row>
    <row r="186" spans="1:10" x14ac:dyDescent="0.2">
      <c r="A186" s="30" t="s">
        <v>198</v>
      </c>
      <c r="B186" s="22">
        <v>417</v>
      </c>
      <c r="C186" s="22">
        <v>123</v>
      </c>
      <c r="D186" s="23">
        <f>(C186/B186)/0.0236</f>
        <v>12.498475795634679</v>
      </c>
      <c r="E186" s="22"/>
      <c r="F186" s="22"/>
      <c r="G186" s="34"/>
      <c r="H186" s="34"/>
      <c r="J186" s="30"/>
    </row>
    <row r="187" spans="1:10" x14ac:dyDescent="0.2">
      <c r="A187" s="30" t="s">
        <v>85</v>
      </c>
      <c r="B187" s="22">
        <v>396</v>
      </c>
      <c r="C187" s="22">
        <v>65</v>
      </c>
      <c r="D187" s="23">
        <v>6.9551446670090744</v>
      </c>
      <c r="E187" s="22"/>
      <c r="F187" s="22"/>
      <c r="G187" s="34"/>
      <c r="H187" s="34"/>
      <c r="J187" s="30"/>
    </row>
    <row r="188" spans="1:10" x14ac:dyDescent="0.2">
      <c r="A188" s="30" t="s">
        <v>199</v>
      </c>
      <c r="B188" s="22">
        <v>567</v>
      </c>
      <c r="C188" s="22">
        <v>84</v>
      </c>
      <c r="D188" s="23">
        <f t="shared" ref="D188:D194" si="0">(C188/B188)/0.0236</f>
        <v>6.2774639045825484</v>
      </c>
      <c r="E188" s="22"/>
      <c r="F188" s="22"/>
      <c r="G188" s="34"/>
      <c r="H188" s="34"/>
      <c r="J188" s="30"/>
    </row>
    <row r="189" spans="1:10" x14ac:dyDescent="0.2">
      <c r="A189" s="30" t="s">
        <v>269</v>
      </c>
      <c r="B189" s="22">
        <v>3583</v>
      </c>
      <c r="C189" s="22">
        <v>495</v>
      </c>
      <c r="D189" s="23">
        <f t="shared" si="0"/>
        <v>5.8539146723936479</v>
      </c>
      <c r="E189" s="22"/>
      <c r="F189" s="22"/>
      <c r="G189" s="34"/>
      <c r="H189" s="34"/>
      <c r="J189" s="30"/>
    </row>
    <row r="190" spans="1:10" x14ac:dyDescent="0.2">
      <c r="A190" s="30" t="s">
        <v>270</v>
      </c>
      <c r="B190" s="22">
        <v>286</v>
      </c>
      <c r="C190" s="22">
        <v>34</v>
      </c>
      <c r="D190" s="23">
        <f t="shared" si="0"/>
        <v>5.0373355458101221</v>
      </c>
      <c r="E190" s="22"/>
      <c r="F190" s="22"/>
      <c r="G190" s="34"/>
      <c r="H190" s="34"/>
      <c r="J190" s="30"/>
    </row>
    <row r="191" spans="1:10" x14ac:dyDescent="0.2">
      <c r="A191" s="30" t="s">
        <v>271</v>
      </c>
      <c r="B191" s="22">
        <v>418</v>
      </c>
      <c r="C191" s="22">
        <v>47</v>
      </c>
      <c r="D191" s="23">
        <f t="shared" si="0"/>
        <v>4.7644148893033824</v>
      </c>
      <c r="E191" s="22"/>
      <c r="F191" s="22"/>
      <c r="G191" s="34"/>
      <c r="H191" s="34"/>
      <c r="J191" s="30"/>
    </row>
    <row r="192" spans="1:10" x14ac:dyDescent="0.2">
      <c r="A192" s="30" t="s">
        <v>272</v>
      </c>
      <c r="B192" s="22">
        <v>898</v>
      </c>
      <c r="C192" s="22">
        <v>83</v>
      </c>
      <c r="D192" s="23">
        <f t="shared" si="0"/>
        <v>3.9164244460382771</v>
      </c>
      <c r="E192" s="22"/>
      <c r="F192" s="22"/>
      <c r="G192" s="34"/>
      <c r="H192" s="34"/>
      <c r="J192" s="30"/>
    </row>
    <row r="193" spans="1:10" x14ac:dyDescent="0.2">
      <c r="A193" s="30" t="s">
        <v>152</v>
      </c>
      <c r="B193" s="22">
        <v>4320</v>
      </c>
      <c r="C193" s="22">
        <v>332</v>
      </c>
      <c r="D193" s="23">
        <f t="shared" si="0"/>
        <v>3.2564344005021972</v>
      </c>
      <c r="E193" s="22"/>
      <c r="F193" s="22"/>
      <c r="G193" s="34"/>
      <c r="H193" s="34"/>
      <c r="J193" s="30"/>
    </row>
    <row r="194" spans="1:10" x14ac:dyDescent="0.2">
      <c r="A194" s="30" t="s">
        <v>235</v>
      </c>
      <c r="B194" s="22">
        <v>3180</v>
      </c>
      <c r="C194" s="22">
        <v>244</v>
      </c>
      <c r="D194" s="23">
        <f t="shared" si="0"/>
        <v>3.2512525317130367</v>
      </c>
      <c r="E194" s="22"/>
      <c r="F194" s="22"/>
      <c r="G194" s="34"/>
      <c r="H194" s="34"/>
      <c r="J194" s="30"/>
    </row>
    <row r="195" spans="1:10" x14ac:dyDescent="0.2">
      <c r="A195" s="30"/>
      <c r="D195" s="22"/>
      <c r="E195" s="22"/>
      <c r="F195" s="22"/>
      <c r="G195" s="34"/>
      <c r="H195" s="34"/>
      <c r="J195" s="30"/>
    </row>
    <row r="196" spans="1:10" ht="25.5" x14ac:dyDescent="0.2">
      <c r="A196" s="30"/>
      <c r="B196" s="22" t="s">
        <v>365</v>
      </c>
      <c r="C196" s="22" t="s">
        <v>419</v>
      </c>
      <c r="D196" s="23" t="s">
        <v>366</v>
      </c>
      <c r="E196" s="22"/>
      <c r="F196" s="22"/>
      <c r="J196" s="30"/>
    </row>
    <row r="197" spans="1:10" x14ac:dyDescent="0.2">
      <c r="A197" s="30" t="s">
        <v>132</v>
      </c>
      <c r="B197" s="22">
        <v>152</v>
      </c>
      <c r="C197" s="22">
        <v>1320</v>
      </c>
      <c r="D197" s="23">
        <f t="shared" ref="D197:D207" si="1">(B197/C197)/0.0236</f>
        <v>4.879301489470981</v>
      </c>
      <c r="J197" s="30"/>
    </row>
    <row r="198" spans="1:10" x14ac:dyDescent="0.2">
      <c r="A198" s="30" t="s">
        <v>177</v>
      </c>
      <c r="B198" s="22">
        <v>170</v>
      </c>
      <c r="C198" s="22">
        <v>1818</v>
      </c>
      <c r="D198" s="23">
        <f t="shared" si="1"/>
        <v>3.9622606328429453</v>
      </c>
      <c r="J198" s="30"/>
    </row>
    <row r="199" spans="1:10" x14ac:dyDescent="0.2">
      <c r="A199" s="30" t="s">
        <v>126</v>
      </c>
      <c r="B199" s="22">
        <v>158</v>
      </c>
      <c r="C199" s="22">
        <v>1930</v>
      </c>
      <c r="D199" s="23">
        <f t="shared" si="1"/>
        <v>3.468868007376833</v>
      </c>
      <c r="J199" s="30"/>
    </row>
    <row r="200" spans="1:10" x14ac:dyDescent="0.2">
      <c r="A200" s="30" t="s">
        <v>273</v>
      </c>
      <c r="B200" s="22">
        <v>26</v>
      </c>
      <c r="C200" s="22">
        <v>106</v>
      </c>
      <c r="D200" s="23">
        <f t="shared" si="1"/>
        <v>10.393348257115447</v>
      </c>
      <c r="J200" s="30"/>
    </row>
    <row r="201" spans="1:10" x14ac:dyDescent="0.2">
      <c r="A201" s="30" t="s">
        <v>267</v>
      </c>
      <c r="B201" s="22">
        <v>46</v>
      </c>
      <c r="C201" s="22">
        <v>233</v>
      </c>
      <c r="D201" s="23">
        <f t="shared" si="1"/>
        <v>8.3654615552484177</v>
      </c>
      <c r="J201" s="30"/>
    </row>
    <row r="202" spans="1:10" x14ac:dyDescent="0.2">
      <c r="A202" s="30" t="s">
        <v>274</v>
      </c>
      <c r="B202" s="22">
        <v>26</v>
      </c>
      <c r="C202" s="22">
        <v>146</v>
      </c>
      <c r="D202" s="23">
        <f t="shared" si="1"/>
        <v>7.5458555839331316</v>
      </c>
      <c r="J202" s="30"/>
    </row>
    <row r="203" spans="1:10" x14ac:dyDescent="0.2">
      <c r="A203" s="30" t="s">
        <v>275</v>
      </c>
      <c r="B203" s="22">
        <v>32</v>
      </c>
      <c r="C203" s="22">
        <v>195</v>
      </c>
      <c r="D203" s="23">
        <f t="shared" si="1"/>
        <v>6.9534984789222083</v>
      </c>
      <c r="J203" s="30"/>
    </row>
    <row r="204" spans="1:10" x14ac:dyDescent="0.2">
      <c r="A204" s="30" t="s">
        <v>276</v>
      </c>
      <c r="B204" s="22">
        <v>36</v>
      </c>
      <c r="C204" s="22">
        <v>233</v>
      </c>
      <c r="D204" s="23">
        <f t="shared" si="1"/>
        <v>6.5468829562813715</v>
      </c>
      <c r="J204" s="30"/>
    </row>
    <row r="205" spans="1:10" x14ac:dyDescent="0.2">
      <c r="A205" s="30" t="s">
        <v>268</v>
      </c>
      <c r="B205" s="22">
        <v>43</v>
      </c>
      <c r="C205" s="22">
        <v>303</v>
      </c>
      <c r="D205" s="23">
        <f t="shared" si="1"/>
        <v>6.0133131957263526</v>
      </c>
      <c r="J205" s="30"/>
    </row>
    <row r="206" spans="1:10" x14ac:dyDescent="0.2">
      <c r="A206" s="30" t="s">
        <v>277</v>
      </c>
      <c r="B206" s="22">
        <v>19</v>
      </c>
      <c r="C206" s="22">
        <v>149</v>
      </c>
      <c r="D206" s="23">
        <f t="shared" si="1"/>
        <v>5.4032533272665235</v>
      </c>
      <c r="J206" s="30"/>
    </row>
    <row r="207" spans="1:10" x14ac:dyDescent="0.2">
      <c r="A207" s="30" t="s">
        <v>278</v>
      </c>
      <c r="B207" s="22">
        <v>37</v>
      </c>
      <c r="C207" s="22">
        <v>317</v>
      </c>
      <c r="D207" s="23">
        <f t="shared" si="1"/>
        <v>4.9457306314495</v>
      </c>
      <c r="E207" s="34"/>
      <c r="F207" s="34"/>
      <c r="G207" s="34"/>
      <c r="H207" s="34"/>
      <c r="J207" s="30"/>
    </row>
    <row r="208" spans="1:10" x14ac:dyDescent="0.2">
      <c r="A208" s="22" t="s">
        <v>249</v>
      </c>
      <c r="B208" s="22">
        <v>30</v>
      </c>
      <c r="C208" s="22">
        <v>268</v>
      </c>
      <c r="D208" s="23">
        <f t="shared" ref="D208:D216" si="2">(B208/C208)/0.0236</f>
        <v>4.7432329876043511</v>
      </c>
      <c r="E208" s="22"/>
      <c r="F208" s="22"/>
      <c r="J208" s="30"/>
    </row>
    <row r="209" spans="1:10" x14ac:dyDescent="0.2">
      <c r="A209" s="22" t="s">
        <v>121</v>
      </c>
      <c r="B209" s="22">
        <v>99</v>
      </c>
      <c r="C209" s="22">
        <v>907</v>
      </c>
      <c r="D209" s="23">
        <f t="shared" si="2"/>
        <v>4.6250443817390163</v>
      </c>
      <c r="E209" s="22"/>
      <c r="F209" s="22"/>
      <c r="J209" s="30"/>
    </row>
    <row r="210" spans="1:10" x14ac:dyDescent="0.2">
      <c r="A210" s="22" t="s">
        <v>279</v>
      </c>
      <c r="B210" s="22">
        <v>83</v>
      </c>
      <c r="C210" s="22">
        <v>809</v>
      </c>
      <c r="D210" s="23">
        <f t="shared" si="2"/>
        <v>4.3472795457878526</v>
      </c>
      <c r="E210" s="22"/>
      <c r="F210" s="22"/>
      <c r="J210" s="30"/>
    </row>
    <row r="211" spans="1:10" x14ac:dyDescent="0.2">
      <c r="A211" s="22" t="s">
        <v>280</v>
      </c>
      <c r="B211" s="22">
        <v>19</v>
      </c>
      <c r="C211" s="22">
        <v>205</v>
      </c>
      <c r="D211" s="23">
        <f t="shared" si="2"/>
        <v>3.927242662257131</v>
      </c>
      <c r="E211" s="22"/>
      <c r="F211" s="22"/>
      <c r="J211" s="30"/>
    </row>
    <row r="212" spans="1:10" x14ac:dyDescent="0.2">
      <c r="A212" s="22" t="s">
        <v>281</v>
      </c>
      <c r="B212" s="22">
        <v>21</v>
      </c>
      <c r="C212" s="22">
        <v>239</v>
      </c>
      <c r="D212" s="23">
        <f t="shared" si="2"/>
        <v>3.7231402028224947</v>
      </c>
      <c r="E212" s="22"/>
      <c r="F212" s="22"/>
      <c r="J212" s="30"/>
    </row>
    <row r="213" spans="1:10" x14ac:dyDescent="0.2">
      <c r="A213" s="22" t="s">
        <v>282</v>
      </c>
      <c r="B213" s="22">
        <v>23</v>
      </c>
      <c r="C213" s="22">
        <v>275</v>
      </c>
      <c r="D213" s="23">
        <f t="shared" si="2"/>
        <v>3.5439137134052388</v>
      </c>
      <c r="E213" s="22"/>
      <c r="F213" s="22"/>
      <c r="J213" s="30"/>
    </row>
    <row r="214" spans="1:10" x14ac:dyDescent="0.2">
      <c r="A214" s="22" t="s">
        <v>283</v>
      </c>
      <c r="B214" s="22">
        <v>64</v>
      </c>
      <c r="C214" s="22">
        <v>774</v>
      </c>
      <c r="D214" s="23">
        <f t="shared" si="2"/>
        <v>3.5037007839530507</v>
      </c>
      <c r="E214" s="22"/>
      <c r="F214" s="22"/>
      <c r="J214" s="30"/>
    </row>
    <row r="215" spans="1:10" x14ac:dyDescent="0.2">
      <c r="A215" s="22" t="s">
        <v>143</v>
      </c>
      <c r="B215" s="22">
        <v>49</v>
      </c>
      <c r="C215" s="22">
        <v>593</v>
      </c>
      <c r="D215" s="23">
        <f t="shared" si="2"/>
        <v>3.5013004830365562</v>
      </c>
      <c r="E215" s="22"/>
      <c r="F215" s="22"/>
      <c r="J215" s="30"/>
    </row>
    <row r="216" spans="1:10" x14ac:dyDescent="0.2">
      <c r="A216" s="22" t="s">
        <v>95</v>
      </c>
      <c r="B216" s="22">
        <v>56</v>
      </c>
      <c r="C216" s="22">
        <v>689</v>
      </c>
      <c r="D216" s="23">
        <f t="shared" si="2"/>
        <v>3.4439497183341121</v>
      </c>
      <c r="E216" s="22"/>
      <c r="F216" s="22"/>
      <c r="J216" s="30"/>
    </row>
    <row r="217" spans="1:10" x14ac:dyDescent="0.2">
      <c r="A217" s="22" t="s">
        <v>140</v>
      </c>
      <c r="B217" s="22">
        <v>58</v>
      </c>
      <c r="C217" s="22">
        <v>757</v>
      </c>
      <c r="D217" s="23">
        <v>3.2465351633343036</v>
      </c>
      <c r="E217" s="22"/>
      <c r="F217" s="22"/>
      <c r="J217" s="30"/>
    </row>
    <row r="218" spans="1:10" x14ac:dyDescent="0.2">
      <c r="A218" s="22" t="s">
        <v>284</v>
      </c>
      <c r="B218" s="22">
        <v>25</v>
      </c>
      <c r="C218" s="22">
        <v>329</v>
      </c>
      <c r="D218" s="23">
        <v>3.2198238112410489</v>
      </c>
      <c r="E218" s="22"/>
      <c r="F218" s="22"/>
      <c r="J218" s="30"/>
    </row>
    <row r="219" spans="1:10" x14ac:dyDescent="0.2">
      <c r="A219" s="30"/>
      <c r="D219" s="22"/>
      <c r="E219" s="22"/>
      <c r="F219" s="22"/>
      <c r="G219" s="34"/>
      <c r="H219" s="34"/>
      <c r="J219" s="30"/>
    </row>
    <row r="220" spans="1:10" ht="25.5" x14ac:dyDescent="0.2">
      <c r="A220" s="30"/>
      <c r="B220" s="22" t="s">
        <v>365</v>
      </c>
      <c r="C220" s="22" t="s">
        <v>419</v>
      </c>
      <c r="D220" s="23" t="s">
        <v>366</v>
      </c>
      <c r="E220" s="22"/>
      <c r="F220" s="22"/>
      <c r="G220" s="34"/>
      <c r="H220" s="34"/>
      <c r="J220" s="30"/>
    </row>
    <row r="221" spans="1:10" x14ac:dyDescent="0.2">
      <c r="A221" s="30" t="s">
        <v>172</v>
      </c>
      <c r="B221" s="22">
        <v>244</v>
      </c>
      <c r="C221" s="22">
        <v>4113</v>
      </c>
      <c r="D221" s="23">
        <f t="shared" ref="D221" si="3">(B221/C221)/0.0236</f>
        <v>2.5137328108065788</v>
      </c>
      <c r="E221" s="22"/>
      <c r="F221" s="22"/>
      <c r="G221" s="34"/>
      <c r="H221" s="34"/>
      <c r="J221" s="30"/>
    </row>
    <row r="222" spans="1:10" x14ac:dyDescent="0.2">
      <c r="A222" s="30" t="s">
        <v>185</v>
      </c>
      <c r="B222" s="22">
        <v>77</v>
      </c>
      <c r="C222" s="22">
        <v>391</v>
      </c>
      <c r="D222" s="23">
        <f>(B222/C222)/0.0236</f>
        <v>8.3445316225237338</v>
      </c>
      <c r="E222" s="22"/>
      <c r="F222" s="22"/>
      <c r="G222" s="34"/>
      <c r="H222" s="34"/>
      <c r="J222" s="30"/>
    </row>
    <row r="223" spans="1:10" x14ac:dyDescent="0.2">
      <c r="A223" s="30" t="s">
        <v>108</v>
      </c>
      <c r="B223" s="22">
        <v>14</v>
      </c>
      <c r="C223" s="22">
        <v>159</v>
      </c>
      <c r="D223" s="23">
        <f>(B223/C223)/0.0236</f>
        <v>3.7309455281952881</v>
      </c>
      <c r="E223" s="22"/>
      <c r="F223" s="22"/>
      <c r="G223" s="34"/>
      <c r="H223" s="34"/>
      <c r="J223" s="30"/>
    </row>
    <row r="224" spans="1:10" x14ac:dyDescent="0.2">
      <c r="A224" s="30" t="s">
        <v>201</v>
      </c>
      <c r="B224" s="22">
        <v>68</v>
      </c>
      <c r="C224" s="22">
        <v>806</v>
      </c>
      <c r="D224" s="23">
        <f>(B224/C224)/0.0236</f>
        <v>3.5748832905749257</v>
      </c>
      <c r="E224" s="22"/>
      <c r="F224" s="22"/>
      <c r="G224" s="34"/>
      <c r="H224" s="34"/>
      <c r="J224" s="30"/>
    </row>
    <row r="225" spans="1:12" x14ac:dyDescent="0.2">
      <c r="A225" s="30" t="s">
        <v>178</v>
      </c>
      <c r="B225" s="22">
        <v>69</v>
      </c>
      <c r="C225" s="22">
        <v>864</v>
      </c>
      <c r="D225" s="23">
        <f>(B225/C225)/0.0236</f>
        <v>3.3839453860640298</v>
      </c>
      <c r="E225" s="22"/>
      <c r="F225" s="22"/>
      <c r="G225" s="34"/>
      <c r="H225" s="34"/>
      <c r="J225" s="30"/>
    </row>
    <row r="227" spans="1:12" x14ac:dyDescent="0.2">
      <c r="A227" s="25"/>
      <c r="B227" s="39" t="s">
        <v>289</v>
      </c>
      <c r="C227" s="20"/>
      <c r="D227" s="21"/>
      <c r="E227" s="21"/>
      <c r="F227" s="21"/>
    </row>
    <row r="229" spans="1:12" x14ac:dyDescent="0.2">
      <c r="A229" s="34"/>
      <c r="B229" s="96" t="s">
        <v>5</v>
      </c>
      <c r="C229" s="96"/>
      <c r="D229" s="96" t="s">
        <v>4</v>
      </c>
      <c r="E229" s="96"/>
      <c r="F229" s="22"/>
      <c r="G229" s="34"/>
      <c r="H229" s="34"/>
    </row>
    <row r="230" spans="1:12" ht="25.5" x14ac:dyDescent="0.2">
      <c r="B230" s="22" t="s">
        <v>420</v>
      </c>
      <c r="C230" s="23" t="s">
        <v>366</v>
      </c>
      <c r="D230" s="22" t="s">
        <v>421</v>
      </c>
      <c r="E230" s="23" t="s">
        <v>366</v>
      </c>
      <c r="F230" s="22" t="s">
        <v>365</v>
      </c>
      <c r="H230" s="34"/>
    </row>
    <row r="231" spans="1:12" x14ac:dyDescent="0.2">
      <c r="A231" s="30" t="s">
        <v>293</v>
      </c>
      <c r="B231" s="22">
        <v>899</v>
      </c>
      <c r="C231" s="23">
        <v>1.532632891120157</v>
      </c>
      <c r="D231" s="22">
        <v>1133</v>
      </c>
      <c r="E231" s="23">
        <f>(D231/F231)/0.0175</f>
        <v>2.9470097475013493</v>
      </c>
      <c r="F231" s="22">
        <v>21969</v>
      </c>
      <c r="H231" s="34"/>
    </row>
    <row r="232" spans="1:12" x14ac:dyDescent="0.2">
      <c r="A232" s="30" t="s">
        <v>269</v>
      </c>
      <c r="B232" s="22">
        <v>880</v>
      </c>
      <c r="C232" s="23">
        <v>1.9196692584383097</v>
      </c>
      <c r="D232" s="22">
        <v>461</v>
      </c>
      <c r="E232" s="23">
        <f>(D232/F232)/0.0175</f>
        <v>1.5343268182688066</v>
      </c>
      <c r="F232" s="22">
        <v>17169</v>
      </c>
      <c r="H232" s="34"/>
      <c r="I232" s="35"/>
      <c r="J232" s="35"/>
      <c r="K232" s="35"/>
      <c r="L232" s="35"/>
    </row>
    <row r="233" spans="1:12" x14ac:dyDescent="0.2">
      <c r="A233" s="30" t="s">
        <v>147</v>
      </c>
      <c r="B233" s="22">
        <v>469</v>
      </c>
      <c r="C233" s="23">
        <v>2.1579291242212588</v>
      </c>
      <c r="D233" s="22">
        <v>205</v>
      </c>
      <c r="E233" s="23">
        <v>1.439101439101439</v>
      </c>
      <c r="F233" s="22">
        <v>8140</v>
      </c>
      <c r="H233" s="34"/>
      <c r="I233" s="35"/>
      <c r="J233" s="35"/>
      <c r="K233" s="35"/>
      <c r="L233" s="35"/>
    </row>
    <row r="234" spans="1:12" x14ac:dyDescent="0.2">
      <c r="A234" s="30" t="s">
        <v>200</v>
      </c>
      <c r="B234" s="22">
        <v>407</v>
      </c>
      <c r="C234" s="23">
        <v>5.0027718060006219</v>
      </c>
      <c r="D234" s="22">
        <v>221</v>
      </c>
      <c r="E234" s="23">
        <v>4.1445918702236391</v>
      </c>
      <c r="F234" s="22">
        <v>3047</v>
      </c>
      <c r="H234" s="34"/>
      <c r="I234" s="35"/>
      <c r="J234" s="35"/>
      <c r="K234" s="35"/>
      <c r="L234" s="35"/>
    </row>
    <row r="235" spans="1:12" x14ac:dyDescent="0.2">
      <c r="A235" s="30" t="s">
        <v>291</v>
      </c>
      <c r="B235" s="22">
        <v>45</v>
      </c>
      <c r="C235" s="23">
        <v>8.3435309823117141</v>
      </c>
      <c r="D235" s="22">
        <v>92</v>
      </c>
      <c r="E235" s="23">
        <v>26.025459688826025</v>
      </c>
      <c r="F235" s="22">
        <v>202</v>
      </c>
      <c r="H235" s="34"/>
      <c r="I235" s="35"/>
      <c r="J235" s="35"/>
      <c r="K235" s="35"/>
      <c r="L235" s="35"/>
    </row>
    <row r="236" spans="1:12" x14ac:dyDescent="0.2">
      <c r="A236" s="30" t="s">
        <v>134</v>
      </c>
      <c r="B236" s="22">
        <v>78</v>
      </c>
      <c r="C236" s="23">
        <v>4.7042645967902441</v>
      </c>
      <c r="D236" s="22">
        <v>138</v>
      </c>
      <c r="E236" s="23">
        <v>12.698412698412696</v>
      </c>
      <c r="F236" s="22">
        <v>621</v>
      </c>
      <c r="H236" s="34"/>
    </row>
    <row r="237" spans="1:12" x14ac:dyDescent="0.2">
      <c r="A237" s="30" t="s">
        <v>133</v>
      </c>
      <c r="B237" s="22">
        <v>33</v>
      </c>
      <c r="C237" s="23">
        <v>4.6117725976857278</v>
      </c>
      <c r="D237" s="22">
        <v>36</v>
      </c>
      <c r="E237" s="23">
        <v>7.6759061833688689</v>
      </c>
      <c r="F237" s="22">
        <v>268</v>
      </c>
      <c r="H237" s="34"/>
      <c r="I237" s="35"/>
      <c r="J237" s="35"/>
      <c r="K237" s="35"/>
      <c r="L237" s="35"/>
    </row>
    <row r="238" spans="1:12" x14ac:dyDescent="0.2">
      <c r="A238" s="30" t="s">
        <v>290</v>
      </c>
      <c r="B238" s="22">
        <v>31</v>
      </c>
      <c r="C238" s="23">
        <v>8.8629670926608917</v>
      </c>
      <c r="D238" s="22">
        <v>12</v>
      </c>
      <c r="E238" s="23">
        <v>5.2344601962922566</v>
      </c>
      <c r="F238" s="22">
        <v>131</v>
      </c>
      <c r="H238" s="34"/>
      <c r="I238" s="35"/>
      <c r="J238" s="35"/>
      <c r="K238" s="35"/>
      <c r="L238" s="35"/>
    </row>
    <row r="239" spans="1:12" x14ac:dyDescent="0.2">
      <c r="A239" s="30" t="s">
        <v>292</v>
      </c>
      <c r="B239" s="22">
        <v>13</v>
      </c>
      <c r="C239" s="23">
        <v>3.8951310861423218</v>
      </c>
      <c r="D239" s="22">
        <v>10</v>
      </c>
      <c r="E239" s="23">
        <v>4.5714285714285712</v>
      </c>
      <c r="F239" s="22">
        <v>125</v>
      </c>
      <c r="H239" s="34"/>
      <c r="I239" s="35"/>
      <c r="J239" s="35"/>
      <c r="K239" s="35"/>
      <c r="L239" s="35"/>
    </row>
    <row r="240" spans="1:12" x14ac:dyDescent="0.2">
      <c r="A240" s="30" t="s">
        <v>121</v>
      </c>
      <c r="B240" s="22">
        <v>174</v>
      </c>
      <c r="C240" s="23">
        <v>7.1850649752858535</v>
      </c>
      <c r="D240" s="22">
        <v>72</v>
      </c>
      <c r="E240" s="23">
        <v>4.5361474247913058</v>
      </c>
      <c r="F240" s="22">
        <v>907</v>
      </c>
      <c r="H240" s="34"/>
      <c r="I240" s="35"/>
      <c r="J240" s="35"/>
      <c r="K240" s="35"/>
      <c r="L240" s="35"/>
    </row>
    <row r="241" spans="1:12" x14ac:dyDescent="0.2">
      <c r="A241" s="30" t="s">
        <v>99</v>
      </c>
      <c r="B241" s="22">
        <v>85</v>
      </c>
      <c r="C241" s="23">
        <v>2.7420504730843551</v>
      </c>
      <c r="D241" s="22">
        <v>71</v>
      </c>
      <c r="E241" s="23">
        <v>3.4945244247569827</v>
      </c>
      <c r="F241" s="22">
        <v>1161</v>
      </c>
      <c r="I241" s="35"/>
      <c r="J241" s="35"/>
      <c r="K241" s="35"/>
      <c r="L241" s="35"/>
    </row>
    <row r="242" spans="1:12" x14ac:dyDescent="0.2">
      <c r="I242" s="35"/>
      <c r="J242" s="35"/>
      <c r="K242" s="35"/>
      <c r="L242" s="35"/>
    </row>
    <row r="243" spans="1:12" x14ac:dyDescent="0.2">
      <c r="A243" s="70"/>
      <c r="B243" s="70" t="str">
        <f>Sommaire!C42</f>
        <v>Figure 19 : Chaque nom divin est utilisé avec un champ sémantique différent.</v>
      </c>
      <c r="C243" s="69"/>
      <c r="D243" s="69"/>
      <c r="E243" s="69"/>
      <c r="F243" s="69"/>
      <c r="G243" s="70"/>
    </row>
    <row r="244" spans="1:12" x14ac:dyDescent="0.2">
      <c r="A244" s="80" t="s">
        <v>366</v>
      </c>
      <c r="B244" s="76"/>
      <c r="C244" s="76"/>
      <c r="D244" s="76"/>
      <c r="E244" s="76"/>
      <c r="F244" s="76"/>
      <c r="G244" s="72"/>
    </row>
    <row r="245" spans="1:12" x14ac:dyDescent="0.2">
      <c r="A245" s="71"/>
      <c r="B245" s="76"/>
      <c r="C245" s="76"/>
      <c r="D245" s="76"/>
      <c r="E245" s="76"/>
      <c r="F245" s="76"/>
      <c r="G245" s="72"/>
    </row>
    <row r="246" spans="1:12" x14ac:dyDescent="0.2">
      <c r="A246" s="73"/>
      <c r="B246" s="76" t="s">
        <v>2</v>
      </c>
      <c r="C246" s="76" t="s">
        <v>8</v>
      </c>
      <c r="D246" s="76" t="s">
        <v>1</v>
      </c>
      <c r="E246" s="76" t="s">
        <v>0</v>
      </c>
      <c r="F246" s="76" t="s">
        <v>6</v>
      </c>
      <c r="G246" s="34"/>
    </row>
    <row r="247" spans="1:12" x14ac:dyDescent="0.2">
      <c r="A247" s="73" t="s">
        <v>177</v>
      </c>
      <c r="B247" s="77">
        <v>0.12866495380958076</v>
      </c>
      <c r="C247" s="77">
        <v>9.2493108304623151E-2</v>
      </c>
      <c r="D247" s="77">
        <v>0.16628232228839324</v>
      </c>
      <c r="E247" s="77">
        <v>0.16247466643986713</v>
      </c>
      <c r="F247" s="77">
        <v>0.31726853131125776</v>
      </c>
      <c r="G247" s="34"/>
    </row>
    <row r="248" spans="1:12" x14ac:dyDescent="0.2">
      <c r="A248" s="73" t="s">
        <v>206</v>
      </c>
      <c r="B248" s="77">
        <v>0.14270497891452266</v>
      </c>
      <c r="C248" s="77">
        <v>0.12990277502577474</v>
      </c>
      <c r="D248" s="77">
        <v>0.17924396177223295</v>
      </c>
      <c r="E248" s="77">
        <v>8.1480235231220707E-2</v>
      </c>
      <c r="F248" s="77">
        <v>0.26412025403340617</v>
      </c>
      <c r="G248" s="34"/>
    </row>
    <row r="249" spans="1:12" x14ac:dyDescent="0.2">
      <c r="A249" s="73" t="s">
        <v>172</v>
      </c>
      <c r="B249" s="77">
        <v>9.9338874079360012E-2</v>
      </c>
      <c r="C249" s="77">
        <v>9.1365671390588848E-2</v>
      </c>
      <c r="D249" s="77">
        <v>0.26852550610525544</v>
      </c>
      <c r="E249" s="77">
        <v>0.17778697138755922</v>
      </c>
      <c r="F249" s="77">
        <v>0.24472231293694216</v>
      </c>
      <c r="G249" s="34"/>
    </row>
    <row r="250" spans="1:12" x14ac:dyDescent="0.2">
      <c r="A250" s="73" t="s">
        <v>187</v>
      </c>
      <c r="B250" s="77">
        <v>0.16808936499070828</v>
      </c>
      <c r="C250" s="77">
        <v>0.1079924732016774</v>
      </c>
      <c r="D250" s="77">
        <v>0.15444555466084225</v>
      </c>
      <c r="E250" s="77">
        <v>0.20091622921242308</v>
      </c>
      <c r="F250" s="77">
        <v>0.19013258979141731</v>
      </c>
      <c r="G250" s="34"/>
    </row>
    <row r="251" spans="1:12" x14ac:dyDescent="0.2">
      <c r="A251" s="73" t="s">
        <v>168</v>
      </c>
      <c r="B251" s="77">
        <v>8.5682861512951583E-2</v>
      </c>
      <c r="C251" s="77">
        <v>0.10086381501622635</v>
      </c>
      <c r="D251" s="77">
        <v>0.35298028896153899</v>
      </c>
      <c r="E251" s="77">
        <v>0.12050635007912348</v>
      </c>
      <c r="F251" s="77">
        <v>0.18841882703049392</v>
      </c>
      <c r="G251" s="34"/>
    </row>
    <row r="252" spans="1:12" x14ac:dyDescent="0.2">
      <c r="A252" s="73" t="s">
        <v>324</v>
      </c>
      <c r="B252" s="77">
        <v>0.19557671656982545</v>
      </c>
      <c r="C252" s="77">
        <v>0.13079713071449017</v>
      </c>
      <c r="D252" s="77">
        <v>0.15479735489567203</v>
      </c>
      <c r="E252" s="77">
        <v>0.17028582674389295</v>
      </c>
      <c r="F252" s="77">
        <v>0.18474171004871495</v>
      </c>
      <c r="G252" s="34"/>
    </row>
    <row r="253" spans="1:12" x14ac:dyDescent="0.2">
      <c r="A253" s="73" t="s">
        <v>175</v>
      </c>
      <c r="B253" s="77">
        <v>0.16319949618119831</v>
      </c>
      <c r="C253" s="77">
        <v>0.11327758824433869</v>
      </c>
      <c r="D253" s="77">
        <v>0.21987020237739868</v>
      </c>
      <c r="E253" s="77">
        <v>0.20226177813642232</v>
      </c>
      <c r="F253" s="77">
        <v>0.17816214567331781</v>
      </c>
      <c r="G253" s="34"/>
    </row>
    <row r="254" spans="1:12" x14ac:dyDescent="0.2">
      <c r="A254" s="73" t="s">
        <v>137</v>
      </c>
      <c r="B254" s="77">
        <v>0.15634906409331409</v>
      </c>
      <c r="C254" s="77">
        <v>8.3140094750377869E-2</v>
      </c>
      <c r="D254" s="77">
        <v>0.15297680055288965</v>
      </c>
      <c r="E254" s="77">
        <v>0.26534072792673791</v>
      </c>
      <c r="F254" s="77">
        <v>0.14991001577781804</v>
      </c>
      <c r="G254" s="34"/>
    </row>
    <row r="255" spans="1:12" x14ac:dyDescent="0.2">
      <c r="A255" s="73" t="s">
        <v>188</v>
      </c>
      <c r="B255" s="77">
        <v>0.13653405508141012</v>
      </c>
      <c r="C255" s="77">
        <v>0.10432674789726835</v>
      </c>
      <c r="D255" s="77">
        <v>0.16391689530010162</v>
      </c>
      <c r="E255" s="77">
        <v>0.26701251952251059</v>
      </c>
      <c r="F255" s="77">
        <v>0.14328922124990101</v>
      </c>
      <c r="G255" s="34"/>
    </row>
    <row r="256" spans="1:12" x14ac:dyDescent="0.2">
      <c r="A256" s="73" t="s">
        <v>147</v>
      </c>
      <c r="B256" s="77">
        <v>0.19167499891510986</v>
      </c>
      <c r="C256" s="77">
        <v>0.10318438564904463</v>
      </c>
      <c r="D256" s="77">
        <v>0.16737801602319516</v>
      </c>
      <c r="E256" s="77">
        <v>0.10477149623824687</v>
      </c>
      <c r="F256" s="77">
        <v>0.14052051797251228</v>
      </c>
      <c r="G256" s="34"/>
    </row>
    <row r="257" spans="1:7" x14ac:dyDescent="0.2">
      <c r="A257" s="73" t="s">
        <v>294</v>
      </c>
      <c r="B257" s="77">
        <v>0.23288225721412775</v>
      </c>
      <c r="C257" s="77">
        <v>0.13217613775600073</v>
      </c>
      <c r="D257" s="77">
        <v>0.16063330046928978</v>
      </c>
      <c r="E257" s="77">
        <v>0.22683693608290556</v>
      </c>
      <c r="F257" s="77">
        <v>0.116449861255077</v>
      </c>
      <c r="G257" s="34"/>
    </row>
    <row r="258" spans="1:7" x14ac:dyDescent="0.2">
      <c r="A258" s="73" t="s">
        <v>93</v>
      </c>
      <c r="B258" s="77">
        <v>0.29398454381205152</v>
      </c>
      <c r="C258" s="77">
        <v>0.10334081687393278</v>
      </c>
      <c r="D258" s="77">
        <v>0.14702128284126059</v>
      </c>
      <c r="E258" s="77">
        <v>0.22012176046879692</v>
      </c>
      <c r="F258" s="77">
        <v>0.11502043587077575</v>
      </c>
      <c r="G258" s="34"/>
    </row>
    <row r="259" spans="1:7" x14ac:dyDescent="0.2">
      <c r="A259" s="73" t="s">
        <v>325</v>
      </c>
      <c r="B259" s="77">
        <v>0.10072153718644955</v>
      </c>
      <c r="C259" s="77">
        <v>0.26960360361675312</v>
      </c>
      <c r="D259" s="77">
        <v>0.22651283726746294</v>
      </c>
      <c r="E259" s="77">
        <v>0.12512817017400071</v>
      </c>
      <c r="F259" s="77">
        <v>0.11151575593528526</v>
      </c>
      <c r="G259" s="34"/>
    </row>
    <row r="260" spans="1:7" x14ac:dyDescent="0.2">
      <c r="A260" s="73" t="s">
        <v>157</v>
      </c>
      <c r="B260" s="77">
        <v>6.2570073060974271E-2</v>
      </c>
      <c r="C260" s="77">
        <v>0.19944935938038905</v>
      </c>
      <c r="D260" s="77">
        <v>0.30731449668819144</v>
      </c>
      <c r="E260" s="77">
        <v>0.1777560986562248</v>
      </c>
      <c r="F260" s="77">
        <v>9.5884826856544092E-2</v>
      </c>
      <c r="G260" s="34"/>
    </row>
    <row r="261" spans="1:7" x14ac:dyDescent="0.2">
      <c r="A261" s="73" t="s">
        <v>155</v>
      </c>
      <c r="B261" s="77">
        <v>5.4894848778380703E-2</v>
      </c>
      <c r="C261" s="77">
        <v>0.33364304875374384</v>
      </c>
      <c r="D261" s="77">
        <v>0.18090209781452962</v>
      </c>
      <c r="E261" s="77">
        <v>0.13279325323532093</v>
      </c>
      <c r="F261" s="77">
        <v>8.7215907845231963E-2</v>
      </c>
      <c r="G261" s="34"/>
    </row>
    <row r="262" spans="1:7" x14ac:dyDescent="0.2">
      <c r="A262" s="73" t="s">
        <v>130</v>
      </c>
      <c r="B262" s="77">
        <v>0.34520979437648047</v>
      </c>
      <c r="C262" s="77">
        <v>0.13565351695610306</v>
      </c>
      <c r="D262" s="77">
        <v>0.14625203640422632</v>
      </c>
      <c r="E262" s="77">
        <v>6.9901973310713336E-2</v>
      </c>
      <c r="F262" s="77">
        <v>8.3304788108636132E-2</v>
      </c>
      <c r="G262" s="34"/>
    </row>
    <row r="263" spans="1:7" x14ac:dyDescent="0.2">
      <c r="A263" s="73" t="s">
        <v>96</v>
      </c>
      <c r="B263" s="77">
        <v>0.11330999636509054</v>
      </c>
      <c r="C263" s="77">
        <v>0.2052708911009965</v>
      </c>
      <c r="D263" s="77">
        <v>0.22914284197535098</v>
      </c>
      <c r="E263" s="77">
        <v>0.11522867068370604</v>
      </c>
      <c r="F263" s="77">
        <v>7.4582388698635718E-2</v>
      </c>
      <c r="G263" s="34"/>
    </row>
    <row r="264" spans="1:7" x14ac:dyDescent="0.2">
      <c r="A264" s="73" t="s">
        <v>99</v>
      </c>
      <c r="B264" s="77">
        <v>9.8550521323744783E-2</v>
      </c>
      <c r="C264" s="77">
        <v>0.18822385615305612</v>
      </c>
      <c r="D264" s="77">
        <v>0.24178964551679188</v>
      </c>
      <c r="E264" s="77">
        <v>6.4681737509641291E-2</v>
      </c>
      <c r="F264" s="77">
        <v>5.5500219685179493E-2</v>
      </c>
      <c r="G264" s="34"/>
    </row>
    <row r="265" spans="1:7" x14ac:dyDescent="0.2">
      <c r="A265" s="73" t="s">
        <v>107</v>
      </c>
      <c r="B265" s="77">
        <v>0.24978237202663117</v>
      </c>
      <c r="C265" s="77">
        <v>0.12605829141972824</v>
      </c>
      <c r="D265" s="77">
        <v>0.13138934988475823</v>
      </c>
      <c r="E265" s="77">
        <v>0.16007402085044856</v>
      </c>
      <c r="F265" s="77">
        <v>4.108810020199747E-2</v>
      </c>
      <c r="G265" s="34"/>
    </row>
    <row r="266" spans="1:7" x14ac:dyDescent="0.2">
      <c r="A266" s="73" t="s">
        <v>176</v>
      </c>
      <c r="B266" s="77">
        <v>9.452565906938569E-2</v>
      </c>
      <c r="C266" s="77">
        <v>0.14775087632999362</v>
      </c>
      <c r="D266" s="77">
        <v>0.19921775216523224</v>
      </c>
      <c r="E266" s="77">
        <v>0.13680636697221632</v>
      </c>
      <c r="F266" s="77">
        <v>0.17477593068696282</v>
      </c>
      <c r="G266" s="34"/>
    </row>
    <row r="267" spans="1:7" x14ac:dyDescent="0.2">
      <c r="A267" s="73" t="s">
        <v>326</v>
      </c>
      <c r="B267" s="77">
        <v>0.15733728582576173</v>
      </c>
      <c r="C267" s="77">
        <v>0.1763103114694565</v>
      </c>
      <c r="D267" s="77">
        <v>0.26360361198013754</v>
      </c>
      <c r="E267" s="77">
        <v>0.18744974291306052</v>
      </c>
      <c r="F267" s="77">
        <v>7.031318503268455E-2</v>
      </c>
      <c r="G267" s="34"/>
    </row>
    <row r="268" spans="1:7" x14ac:dyDescent="0.2">
      <c r="A268" s="73" t="s">
        <v>327</v>
      </c>
      <c r="B268" s="77">
        <v>0.12325535759842189</v>
      </c>
      <c r="C268" s="77">
        <v>0.2326861277905343</v>
      </c>
      <c r="D268" s="77">
        <v>0.22423976337025472</v>
      </c>
      <c r="E268" s="77">
        <v>0.18489537427126634</v>
      </c>
      <c r="F268" s="77">
        <v>0.11652232901683152</v>
      </c>
      <c r="G268" s="34"/>
    </row>
    <row r="270" spans="1:7" x14ac:dyDescent="0.2">
      <c r="A270" s="70"/>
      <c r="B270" s="70" t="str">
        <f>Sommaire!C43</f>
        <v>Figure 20 : Le champ lexical de "Dieu" varie selon les prédicateurs.</v>
      </c>
      <c r="C270" s="69"/>
      <c r="D270" s="69"/>
      <c r="E270" s="69"/>
      <c r="F270" s="69"/>
      <c r="G270" s="70"/>
    </row>
    <row r="271" spans="1:7" x14ac:dyDescent="0.2">
      <c r="A271" s="80" t="s">
        <v>366</v>
      </c>
    </row>
    <row r="272" spans="1:7" x14ac:dyDescent="0.2">
      <c r="A272" s="80"/>
    </row>
    <row r="273" spans="1:5" ht="15" x14ac:dyDescent="0.25">
      <c r="A273" s="8"/>
      <c r="B273" s="10" t="s">
        <v>46</v>
      </c>
      <c r="C273" s="10" t="s">
        <v>42</v>
      </c>
      <c r="D273" s="10" t="s">
        <v>29</v>
      </c>
      <c r="E273" s="11" t="s">
        <v>44</v>
      </c>
    </row>
    <row r="274" spans="1:5" ht="15" x14ac:dyDescent="0.25">
      <c r="A274" s="8" t="s">
        <v>312</v>
      </c>
      <c r="B274" s="77">
        <v>9.5959595959595953E-2</v>
      </c>
      <c r="C274" s="77">
        <v>7.1942446043165471E-3</v>
      </c>
      <c r="D274" s="77">
        <v>8.6206896551724137E-3</v>
      </c>
      <c r="E274" s="77">
        <v>0.2</v>
      </c>
    </row>
    <row r="275" spans="1:5" ht="15" x14ac:dyDescent="0.25">
      <c r="A275" s="8" t="s">
        <v>175</v>
      </c>
      <c r="B275" s="77">
        <v>5.0505050505050504E-2</v>
      </c>
      <c r="C275" s="77">
        <v>7.1942446043165471E-3</v>
      </c>
      <c r="D275" s="77">
        <v>0</v>
      </c>
      <c r="E275" s="77">
        <v>0.12631578947368421</v>
      </c>
    </row>
    <row r="276" spans="1:5" ht="15" x14ac:dyDescent="0.25">
      <c r="A276" s="8" t="s">
        <v>148</v>
      </c>
      <c r="B276" s="77">
        <v>2.0202020202020204E-2</v>
      </c>
      <c r="C276" s="77">
        <v>6.4748201438848921E-2</v>
      </c>
      <c r="D276" s="77">
        <v>4.8850574712643681E-2</v>
      </c>
      <c r="E276" s="77">
        <v>0.10526315789473684</v>
      </c>
    </row>
    <row r="277" spans="1:5" ht="15" x14ac:dyDescent="0.25">
      <c r="A277" s="8" t="s">
        <v>204</v>
      </c>
      <c r="B277" s="77">
        <v>2.5252525252525252E-2</v>
      </c>
      <c r="C277" s="77">
        <v>1.4388489208633094E-2</v>
      </c>
      <c r="D277" s="77">
        <v>2.5862068965517241E-2</v>
      </c>
      <c r="E277" s="77">
        <v>0.10526315789473684</v>
      </c>
    </row>
    <row r="278" spans="1:5" ht="15" x14ac:dyDescent="0.25">
      <c r="A278" s="8" t="s">
        <v>115</v>
      </c>
      <c r="B278" s="77">
        <v>2.0202020202020204E-2</v>
      </c>
      <c r="C278" s="77">
        <v>0</v>
      </c>
      <c r="D278" s="77">
        <v>0.19252873563218389</v>
      </c>
      <c r="E278" s="77">
        <v>9.4736842105263161E-2</v>
      </c>
    </row>
    <row r="279" spans="1:5" ht="15" x14ac:dyDescent="0.25">
      <c r="A279" s="8" t="s">
        <v>313</v>
      </c>
      <c r="B279" s="77">
        <v>1.0101010101010102E-2</v>
      </c>
      <c r="C279" s="77">
        <v>1.4388489208633094E-2</v>
      </c>
      <c r="D279" s="77">
        <v>2.8735632183908046E-2</v>
      </c>
      <c r="E279" s="77">
        <v>7.3684210526315783E-2</v>
      </c>
    </row>
    <row r="280" spans="1:5" ht="15" x14ac:dyDescent="0.25">
      <c r="A280" s="8" t="s">
        <v>112</v>
      </c>
      <c r="B280" s="77">
        <v>2.5252525252525252E-2</v>
      </c>
      <c r="C280" s="77">
        <v>2.8776978417266189E-2</v>
      </c>
      <c r="D280" s="77">
        <v>0.13793103448275862</v>
      </c>
      <c r="E280" s="77">
        <v>6.3157894736842107E-2</v>
      </c>
    </row>
    <row r="281" spans="1:5" ht="15" x14ac:dyDescent="0.25">
      <c r="A281" s="8" t="s">
        <v>174</v>
      </c>
      <c r="B281" s="77">
        <v>1.0101010101010102E-2</v>
      </c>
      <c r="C281" s="77">
        <v>6.4748201438848921E-2</v>
      </c>
      <c r="D281" s="77">
        <v>1.1494252873563218E-2</v>
      </c>
      <c r="E281" s="77">
        <v>4.2105263157894736E-2</v>
      </c>
    </row>
    <row r="282" spans="1:5" ht="15" x14ac:dyDescent="0.25">
      <c r="A282" s="8" t="s">
        <v>90</v>
      </c>
      <c r="B282" s="77">
        <v>0.14141414141414141</v>
      </c>
      <c r="C282" s="77">
        <v>0.12949640287769784</v>
      </c>
      <c r="D282" s="77">
        <v>8.6206896551724137E-3</v>
      </c>
      <c r="E282" s="77">
        <v>3.1578947368421054E-2</v>
      </c>
    </row>
    <row r="283" spans="1:5" ht="15" x14ac:dyDescent="0.25">
      <c r="A283" s="8" t="s">
        <v>96</v>
      </c>
      <c r="B283" s="77">
        <v>1.5151515151515152E-2</v>
      </c>
      <c r="C283" s="77">
        <v>7.1942446043165471E-3</v>
      </c>
      <c r="D283" s="77">
        <v>0.1206896551724138</v>
      </c>
      <c r="E283" s="77">
        <v>2.1052631578947368E-2</v>
      </c>
    </row>
    <row r="284" spans="1:5" ht="15" x14ac:dyDescent="0.25">
      <c r="A284" s="8" t="s">
        <v>152</v>
      </c>
      <c r="B284" s="77">
        <v>0</v>
      </c>
      <c r="C284" s="77">
        <v>8.6330935251798566E-2</v>
      </c>
      <c r="D284" s="77">
        <v>3.7356321839080463E-2</v>
      </c>
      <c r="E284" s="77">
        <v>2.1052631578947368E-2</v>
      </c>
    </row>
    <row r="285" spans="1:5" ht="15" x14ac:dyDescent="0.25">
      <c r="A285" s="8" t="s">
        <v>318</v>
      </c>
      <c r="B285" s="77">
        <v>1.5151515151515152E-2</v>
      </c>
      <c r="C285" s="77">
        <v>5.0359712230215826E-2</v>
      </c>
      <c r="D285" s="77">
        <v>8.6206896551724137E-3</v>
      </c>
      <c r="E285" s="77">
        <v>2.1052631578947368E-2</v>
      </c>
    </row>
    <row r="286" spans="1:5" ht="15" x14ac:dyDescent="0.25">
      <c r="A286" s="8" t="s">
        <v>316</v>
      </c>
      <c r="B286" s="77">
        <v>9.5959595959595953E-2</v>
      </c>
      <c r="C286" s="77">
        <v>0</v>
      </c>
      <c r="D286" s="77">
        <v>5.7471264367816091E-3</v>
      </c>
      <c r="E286" s="77">
        <v>2.1052631578947368E-2</v>
      </c>
    </row>
    <row r="287" spans="1:5" ht="15" x14ac:dyDescent="0.25">
      <c r="A287" s="8" t="s">
        <v>320</v>
      </c>
      <c r="B287" s="77">
        <v>7.0707070707070704E-2</v>
      </c>
      <c r="C287" s="77">
        <v>7.1942446043165471E-3</v>
      </c>
      <c r="D287" s="77">
        <v>2.8735632183908046E-3</v>
      </c>
      <c r="E287" s="77">
        <v>2.1052631578947368E-2</v>
      </c>
    </row>
    <row r="288" spans="1:5" ht="15" x14ac:dyDescent="0.25">
      <c r="A288" s="8" t="s">
        <v>91</v>
      </c>
      <c r="B288" s="77">
        <v>5.5555555555555552E-2</v>
      </c>
      <c r="C288" s="77">
        <v>1.4388489208633094E-2</v>
      </c>
      <c r="D288" s="77">
        <v>0</v>
      </c>
      <c r="E288" s="77">
        <v>2.1052631578947368E-2</v>
      </c>
    </row>
    <row r="289" spans="1:7" ht="15" x14ac:dyDescent="0.25">
      <c r="A289" s="8" t="s">
        <v>180</v>
      </c>
      <c r="B289" s="77">
        <v>2.5252525252525252E-2</v>
      </c>
      <c r="C289" s="77">
        <v>0</v>
      </c>
      <c r="D289" s="77">
        <v>7.4712643678160925E-2</v>
      </c>
      <c r="E289" s="77">
        <v>2.1052631578947368E-2</v>
      </c>
    </row>
    <row r="290" spans="1:7" ht="15" x14ac:dyDescent="0.25">
      <c r="A290" s="8" t="s">
        <v>188</v>
      </c>
      <c r="B290" s="77">
        <v>1.0101010101010102E-2</v>
      </c>
      <c r="C290" s="77">
        <v>8.6330935251798566E-2</v>
      </c>
      <c r="D290" s="77">
        <v>5.1724137931034482E-2</v>
      </c>
      <c r="E290" s="77">
        <v>1.0526315789473684E-2</v>
      </c>
    </row>
    <row r="291" spans="1:7" ht="15" x14ac:dyDescent="0.25">
      <c r="A291" s="8" t="s">
        <v>317</v>
      </c>
      <c r="B291" s="77">
        <v>2.5252525252525252E-2</v>
      </c>
      <c r="C291" s="77">
        <v>5.7553956834532377E-2</v>
      </c>
      <c r="D291" s="77">
        <v>5.7471264367816091E-3</v>
      </c>
      <c r="E291" s="77">
        <v>1.0526315789473684E-2</v>
      </c>
    </row>
    <row r="292" spans="1:7" ht="15" x14ac:dyDescent="0.25">
      <c r="A292" s="8" t="s">
        <v>236</v>
      </c>
      <c r="B292" s="77">
        <v>6.0606060606060608E-2</v>
      </c>
      <c r="C292" s="77">
        <v>2.1582733812949641E-2</v>
      </c>
      <c r="D292" s="77">
        <v>0.12643678160919541</v>
      </c>
      <c r="E292" s="77">
        <v>0</v>
      </c>
    </row>
    <row r="293" spans="1:7" ht="15" x14ac:dyDescent="0.25">
      <c r="A293" s="8" t="s">
        <v>315</v>
      </c>
      <c r="B293" s="77">
        <v>0.10606060606060606</v>
      </c>
      <c r="C293" s="77">
        <v>1.4388489208633094E-2</v>
      </c>
      <c r="D293" s="77">
        <v>5.459770114942529E-2</v>
      </c>
      <c r="E293" s="77">
        <v>0</v>
      </c>
    </row>
    <row r="294" spans="1:7" ht="15" x14ac:dyDescent="0.25">
      <c r="A294" s="8" t="s">
        <v>314</v>
      </c>
      <c r="B294" s="77">
        <v>1.5151515151515152E-2</v>
      </c>
      <c r="C294" s="77">
        <v>9.3525179856115109E-2</v>
      </c>
      <c r="D294" s="77">
        <v>2.5862068965517241E-2</v>
      </c>
      <c r="E294" s="77">
        <v>0</v>
      </c>
    </row>
    <row r="295" spans="1:7" ht="15" x14ac:dyDescent="0.25">
      <c r="A295" s="8" t="s">
        <v>321</v>
      </c>
      <c r="B295" s="77">
        <v>5.5555555555555552E-2</v>
      </c>
      <c r="C295" s="77">
        <v>7.1942446043165471E-3</v>
      </c>
      <c r="D295" s="77">
        <v>8.6206896551724137E-3</v>
      </c>
      <c r="E295" s="77">
        <v>0</v>
      </c>
    </row>
    <row r="296" spans="1:7" ht="15" x14ac:dyDescent="0.25">
      <c r="A296" s="8" t="s">
        <v>201</v>
      </c>
      <c r="B296" s="77">
        <v>0</v>
      </c>
      <c r="C296" s="77">
        <v>4.3165467625899283E-2</v>
      </c>
      <c r="D296" s="77">
        <v>5.7471264367816091E-3</v>
      </c>
      <c r="E296" s="77">
        <v>0</v>
      </c>
    </row>
    <row r="297" spans="1:7" ht="15" x14ac:dyDescent="0.25">
      <c r="A297" s="8" t="s">
        <v>145</v>
      </c>
      <c r="B297" s="77">
        <v>5.0505050505050504E-2</v>
      </c>
      <c r="C297" s="77">
        <v>2.1582733812949641E-2</v>
      </c>
      <c r="D297" s="77">
        <v>5.7471264367816091E-3</v>
      </c>
      <c r="E297" s="77">
        <v>0</v>
      </c>
    </row>
    <row r="298" spans="1:7" ht="15" x14ac:dyDescent="0.25">
      <c r="A298" s="8" t="s">
        <v>206</v>
      </c>
      <c r="B298" s="77">
        <v>6.0606060606060608E-2</v>
      </c>
      <c r="C298" s="77">
        <v>7.1942446043165471E-3</v>
      </c>
      <c r="D298" s="77">
        <v>5.7471264367816091E-3</v>
      </c>
      <c r="E298" s="77">
        <v>0</v>
      </c>
    </row>
    <row r="299" spans="1:7" ht="15" x14ac:dyDescent="0.25">
      <c r="A299" s="8" t="s">
        <v>319</v>
      </c>
      <c r="B299" s="77">
        <v>1.0101010101010102E-2</v>
      </c>
      <c r="C299" s="77">
        <v>5.0359712230215826E-2</v>
      </c>
      <c r="D299" s="77">
        <v>0</v>
      </c>
      <c r="E299" s="77">
        <v>0</v>
      </c>
    </row>
    <row r="300" spans="1:7" ht="15" x14ac:dyDescent="0.25">
      <c r="A300" s="8" t="s">
        <v>228</v>
      </c>
      <c r="B300" s="77">
        <v>5.5555555555555552E-2</v>
      </c>
      <c r="C300" s="77">
        <v>0</v>
      </c>
      <c r="D300" s="77">
        <v>0</v>
      </c>
      <c r="E300" s="77">
        <v>0</v>
      </c>
    </row>
    <row r="302" spans="1:7" x14ac:dyDescent="0.2">
      <c r="A302" s="70"/>
      <c r="B302" s="70" t="str">
        <f>Sommaire!C44</f>
        <v>Figure 21 : Le champ lexical de "Jésus" varie selon les prédicateurs.</v>
      </c>
      <c r="C302" s="69"/>
      <c r="D302" s="69"/>
      <c r="E302" s="69"/>
      <c r="F302" s="69"/>
      <c r="G302" s="70"/>
    </row>
    <row r="303" spans="1:7" x14ac:dyDescent="0.2">
      <c r="A303" s="80" t="s">
        <v>366</v>
      </c>
    </row>
    <row r="305" spans="1:5" ht="15" x14ac:dyDescent="0.25">
      <c r="B305" s="78" t="s">
        <v>328</v>
      </c>
      <c r="C305" s="78" t="s">
        <v>329</v>
      </c>
      <c r="D305" s="79" t="s">
        <v>330</v>
      </c>
      <c r="E305" s="79" t="s">
        <v>331</v>
      </c>
    </row>
    <row r="306" spans="1:5" ht="15" x14ac:dyDescent="0.25">
      <c r="A306" s="8" t="s">
        <v>187</v>
      </c>
      <c r="B306" s="77">
        <v>9.9715099715099714E-3</v>
      </c>
      <c r="C306" s="77">
        <v>1.1904761904761904E-2</v>
      </c>
      <c r="D306" s="77">
        <v>7.1428571428571425E-2</v>
      </c>
      <c r="E306" s="77">
        <v>9.1603053435114504E-2</v>
      </c>
    </row>
    <row r="307" spans="1:5" ht="15" x14ac:dyDescent="0.25">
      <c r="A307" s="8" t="s">
        <v>147</v>
      </c>
      <c r="B307" s="77">
        <v>2.7065527065527065E-2</v>
      </c>
      <c r="C307" s="77">
        <v>7.1428571428571425E-2</v>
      </c>
      <c r="D307" s="77">
        <v>0.14705882352941177</v>
      </c>
      <c r="E307" s="77">
        <v>4.5801526717557252E-2</v>
      </c>
    </row>
    <row r="308" spans="1:5" ht="15" x14ac:dyDescent="0.25">
      <c r="A308" s="8" t="s">
        <v>152</v>
      </c>
      <c r="B308" s="77">
        <v>1.8518518518518517E-2</v>
      </c>
      <c r="C308" s="77">
        <v>4.7619047619047616E-2</v>
      </c>
      <c r="D308" s="77">
        <v>0.1134453781512605</v>
      </c>
      <c r="E308" s="77">
        <v>2.2900763358778626E-2</v>
      </c>
    </row>
    <row r="309" spans="1:5" ht="15" x14ac:dyDescent="0.25">
      <c r="A309" s="8" t="s">
        <v>148</v>
      </c>
      <c r="B309" s="77">
        <v>0.10826210826210826</v>
      </c>
      <c r="C309" s="77">
        <v>5.9523809523809521E-2</v>
      </c>
      <c r="D309" s="77">
        <v>2.9411764705882353E-2</v>
      </c>
      <c r="E309" s="77">
        <v>3.0534351145038167E-2</v>
      </c>
    </row>
    <row r="310" spans="1:5" ht="15" x14ac:dyDescent="0.25">
      <c r="A310" s="8" t="s">
        <v>231</v>
      </c>
      <c r="B310" s="77">
        <v>3.7037037037037035E-2</v>
      </c>
      <c r="C310" s="77">
        <v>0.16666666666666666</v>
      </c>
      <c r="D310" s="77">
        <v>4.6218487394957986E-2</v>
      </c>
      <c r="E310" s="77">
        <v>2.2900763358778626E-2</v>
      </c>
    </row>
    <row r="311" spans="1:5" ht="15" x14ac:dyDescent="0.25">
      <c r="A311" s="8" t="s">
        <v>96</v>
      </c>
      <c r="B311" s="77">
        <v>4.5584045584045586E-2</v>
      </c>
      <c r="C311" s="77">
        <v>9.5238095238095233E-2</v>
      </c>
      <c r="D311" s="77">
        <v>2.9411764705882353E-2</v>
      </c>
      <c r="E311" s="77">
        <v>2.2900763358778626E-2</v>
      </c>
    </row>
    <row r="312" spans="1:5" ht="15" x14ac:dyDescent="0.25">
      <c r="A312" s="8" t="s">
        <v>325</v>
      </c>
      <c r="B312" s="77">
        <v>5.8404558404558403E-2</v>
      </c>
      <c r="C312" s="77">
        <v>0</v>
      </c>
      <c r="D312" s="77">
        <v>1.680672268907563E-2</v>
      </c>
      <c r="E312" s="77">
        <v>9.1603053435114504E-2</v>
      </c>
    </row>
    <row r="313" spans="1:5" ht="15" x14ac:dyDescent="0.25">
      <c r="A313" s="8" t="s">
        <v>204</v>
      </c>
      <c r="B313" s="77">
        <v>7.1225071225071226E-3</v>
      </c>
      <c r="C313" s="77">
        <v>7.1428571428571425E-2</v>
      </c>
      <c r="D313" s="77">
        <v>4.2016806722689074E-3</v>
      </c>
      <c r="E313" s="77">
        <v>4.5801526717557252E-2</v>
      </c>
    </row>
    <row r="314" spans="1:5" ht="15" x14ac:dyDescent="0.25">
      <c r="A314" s="8" t="s">
        <v>112</v>
      </c>
      <c r="B314" s="77">
        <v>1.1396011396011397E-2</v>
      </c>
      <c r="C314" s="77">
        <v>3.5714285714285712E-2</v>
      </c>
      <c r="D314" s="77">
        <v>9.2436974789915971E-2</v>
      </c>
      <c r="E314" s="77">
        <v>3.8167938931297711E-2</v>
      </c>
    </row>
    <row r="315" spans="1:5" ht="15" x14ac:dyDescent="0.25">
      <c r="A315" s="8" t="s">
        <v>171</v>
      </c>
      <c r="B315" s="77">
        <v>7.1225071225071226E-3</v>
      </c>
      <c r="C315" s="77">
        <v>8.3333333333333329E-2</v>
      </c>
      <c r="D315" s="77">
        <v>3.7815126050420166E-2</v>
      </c>
      <c r="E315" s="77">
        <v>7.6335877862595417E-3</v>
      </c>
    </row>
    <row r="316" spans="1:5" ht="15" x14ac:dyDescent="0.25">
      <c r="A316" s="8" t="s">
        <v>115</v>
      </c>
      <c r="B316" s="77">
        <v>1.7094017094017096E-2</v>
      </c>
      <c r="C316" s="77">
        <v>4.7619047619047616E-2</v>
      </c>
      <c r="D316" s="77">
        <v>7.1428571428571425E-2</v>
      </c>
      <c r="E316" s="77">
        <v>5.3435114503816793E-2</v>
      </c>
    </row>
    <row r="317" spans="1:5" ht="15" x14ac:dyDescent="0.25">
      <c r="A317" s="8" t="s">
        <v>186</v>
      </c>
      <c r="B317" s="77">
        <v>4.4159544159544158E-2</v>
      </c>
      <c r="C317" s="77">
        <v>1.1904761904761904E-2</v>
      </c>
      <c r="D317" s="77">
        <v>0</v>
      </c>
      <c r="E317" s="77">
        <v>6.1068702290076333E-2</v>
      </c>
    </row>
    <row r="318" spans="1:5" ht="15" x14ac:dyDescent="0.25">
      <c r="A318" s="8" t="s">
        <v>236</v>
      </c>
      <c r="B318" s="77">
        <v>6.4102564102564097E-2</v>
      </c>
      <c r="C318" s="77">
        <v>5.9523809523809521E-2</v>
      </c>
      <c r="D318" s="77">
        <v>7.9831932773109238E-2</v>
      </c>
      <c r="E318" s="77">
        <v>3.8167938931297711E-2</v>
      </c>
    </row>
    <row r="319" spans="1:5" ht="15" x14ac:dyDescent="0.25">
      <c r="A319" s="8" t="s">
        <v>155</v>
      </c>
      <c r="B319" s="77">
        <v>4.7008547008547008E-2</v>
      </c>
      <c r="C319" s="77">
        <v>4.7619047619047616E-2</v>
      </c>
      <c r="D319" s="77">
        <v>5.8823529411764705E-2</v>
      </c>
      <c r="E319" s="77">
        <v>4.5801526717557252E-2</v>
      </c>
    </row>
    <row r="320" spans="1:5" ht="15" x14ac:dyDescent="0.25">
      <c r="A320" s="8" t="s">
        <v>116</v>
      </c>
      <c r="B320" s="77">
        <v>1.282051282051282E-2</v>
      </c>
      <c r="C320" s="77">
        <v>5.9523809523809521E-2</v>
      </c>
      <c r="D320" s="77">
        <v>8.4033613445378148E-3</v>
      </c>
      <c r="E320" s="77">
        <v>7.6335877862595417E-3</v>
      </c>
    </row>
    <row r="321" spans="1:5" ht="15" x14ac:dyDescent="0.25">
      <c r="A321" s="8" t="s">
        <v>239</v>
      </c>
      <c r="B321" s="77">
        <v>4.5584045584045586E-2</v>
      </c>
      <c r="C321" s="77">
        <v>1.1904761904761904E-2</v>
      </c>
      <c r="D321" s="77">
        <v>3.7815126050420166E-2</v>
      </c>
      <c r="E321" s="77">
        <v>3.8167938931297711E-2</v>
      </c>
    </row>
  </sheetData>
  <sortState xmlns:xlrd2="http://schemas.microsoft.com/office/spreadsheetml/2017/richdata2" ref="A185:D194">
    <sortCondition descending="1" ref="D185:D194"/>
  </sortState>
  <mergeCells count="2">
    <mergeCell ref="B229:C229"/>
    <mergeCell ref="D229:E229"/>
  </mergeCells>
  <pageMargins left="0.7" right="0.7" top="0.75" bottom="0.75" header="0.3" footer="0.3"/>
  <pageSetup paperSize="9" orientation="portrait" horizontalDpi="4294967292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DBCF5-2263-472D-B6B2-CD4B41FD5842}">
  <dimension ref="A1:AD2910"/>
  <sheetViews>
    <sheetView zoomScale="60" zoomScaleNormal="100" workbookViewId="0">
      <selection activeCell="A87" sqref="A86:A87"/>
    </sheetView>
  </sheetViews>
  <sheetFormatPr baseColWidth="10" defaultColWidth="11.5703125" defaultRowHeight="15" x14ac:dyDescent="0.25"/>
  <cols>
    <col min="1" max="1" width="19.42578125" style="8" customWidth="1"/>
    <col min="2" max="9" width="12.140625" style="10" customWidth="1"/>
    <col min="10" max="10" width="9.7109375" style="8" customWidth="1"/>
    <col min="11" max="11" width="11.42578125" style="8" customWidth="1"/>
    <col min="12" max="16" width="8.140625" style="8" customWidth="1"/>
    <col min="17" max="20" width="7.42578125" style="8" customWidth="1"/>
    <col min="21" max="21" width="14.140625" style="37" bestFit="1" customWidth="1"/>
    <col min="22" max="24" width="10.42578125" style="10" customWidth="1"/>
    <col min="25" max="27" width="10.42578125" style="11" customWidth="1"/>
    <col min="28" max="16384" width="11.5703125" style="8"/>
  </cols>
  <sheetData>
    <row r="1" spans="1:30" ht="18.75" x14ac:dyDescent="0.3">
      <c r="B1" s="81" t="str">
        <f>Sommaire!B46</f>
        <v>Onglet "Fonctions"</v>
      </c>
      <c r="C1" s="8"/>
      <c r="D1" s="8"/>
      <c r="E1" s="8"/>
      <c r="F1" s="8"/>
      <c r="G1" s="8"/>
      <c r="H1" s="8"/>
      <c r="I1" s="8"/>
    </row>
    <row r="2" spans="1:30" ht="18.75" x14ac:dyDescent="0.3">
      <c r="B2" s="81" t="str">
        <f>Sommaire!B47</f>
        <v>Fonction grammaticale attribuée aux noms divins</v>
      </c>
      <c r="C2" s="8"/>
      <c r="D2" s="8"/>
      <c r="E2" s="8"/>
      <c r="F2" s="8"/>
      <c r="G2" s="8"/>
      <c r="H2" s="8"/>
      <c r="I2" s="8"/>
    </row>
    <row r="3" spans="1:30" x14ac:dyDescent="0.25">
      <c r="B3" s="8"/>
      <c r="C3" s="8"/>
      <c r="D3" s="8"/>
      <c r="E3" s="8"/>
      <c r="F3" s="8"/>
      <c r="G3" s="8"/>
      <c r="H3" s="8"/>
      <c r="I3" s="8"/>
    </row>
    <row r="4" spans="1:30" ht="18.75" x14ac:dyDescent="0.3">
      <c r="A4" s="5"/>
      <c r="B4" s="6" t="str">
        <f>Sommaire!C48</f>
        <v>Figure 23 : Est-il normal que Dieu soit le sujet ou l’objet d’une phrase ?</v>
      </c>
      <c r="C4" s="6"/>
      <c r="D4" s="6"/>
      <c r="E4" s="6"/>
      <c r="F4" s="5"/>
      <c r="G4" s="5"/>
      <c r="H4" s="5"/>
      <c r="I4" s="5"/>
      <c r="J4" s="5"/>
      <c r="K4" s="5"/>
      <c r="L4" s="5"/>
      <c r="M4" s="5"/>
      <c r="N4" s="5"/>
      <c r="O4" s="5"/>
      <c r="T4" s="5"/>
      <c r="U4" s="6" t="str">
        <f>Sommaire!C49</f>
        <v>Figure 24 : Dieu est-il plus souvent sujet, objet, ou complément du nom ?</v>
      </c>
      <c r="V4" s="40"/>
      <c r="W4" s="40"/>
      <c r="X4" s="40"/>
      <c r="Y4" s="7"/>
      <c r="Z4" s="7"/>
      <c r="AA4" s="7"/>
      <c r="AB4" s="5"/>
      <c r="AC4" s="5"/>
      <c r="AD4" s="5"/>
    </row>
    <row r="5" spans="1:30" x14ac:dyDescent="0.25">
      <c r="A5" s="27" t="s">
        <v>428</v>
      </c>
      <c r="T5" s="27" t="s">
        <v>432</v>
      </c>
      <c r="V5" s="85"/>
    </row>
    <row r="6" spans="1:30" x14ac:dyDescent="0.25">
      <c r="A6" s="27" t="s">
        <v>433</v>
      </c>
      <c r="T6" s="27" t="s">
        <v>433</v>
      </c>
      <c r="V6" s="85"/>
    </row>
    <row r="7" spans="1:30" x14ac:dyDescent="0.25">
      <c r="A7" s="27" t="s">
        <v>429</v>
      </c>
      <c r="T7" s="27" t="s">
        <v>429</v>
      </c>
      <c r="V7" s="85"/>
    </row>
    <row r="8" spans="1:30" s="82" customFormat="1" x14ac:dyDescent="0.25">
      <c r="A8" s="8"/>
      <c r="B8" s="10"/>
      <c r="C8" s="10"/>
      <c r="D8" s="10"/>
      <c r="E8" s="10"/>
      <c r="F8" s="10"/>
      <c r="G8" s="10"/>
      <c r="H8" s="10"/>
      <c r="I8" s="10"/>
      <c r="T8" s="8"/>
      <c r="U8" s="37"/>
      <c r="V8" s="98" t="s">
        <v>431</v>
      </c>
      <c r="W8" s="98"/>
      <c r="X8" s="98"/>
      <c r="Y8" s="97" t="s">
        <v>436</v>
      </c>
      <c r="Z8" s="97"/>
      <c r="AA8" s="97"/>
      <c r="AB8" s="8"/>
      <c r="AC8" s="8"/>
    </row>
    <row r="9" spans="1:30" ht="30" x14ac:dyDescent="0.25">
      <c r="A9" s="83" t="s">
        <v>430</v>
      </c>
      <c r="B9" s="83" t="s">
        <v>87</v>
      </c>
      <c r="C9" s="83" t="s">
        <v>359</v>
      </c>
      <c r="D9" s="83"/>
      <c r="E9" s="82"/>
      <c r="F9" s="78"/>
      <c r="G9" s="78"/>
      <c r="H9" s="78"/>
      <c r="I9" s="78"/>
      <c r="U9" s="82" t="s">
        <v>434</v>
      </c>
      <c r="V9" s="78" t="s">
        <v>304</v>
      </c>
      <c r="W9" s="78" t="s">
        <v>359</v>
      </c>
      <c r="X9" s="78" t="s">
        <v>435</v>
      </c>
      <c r="Y9" s="86" t="s">
        <v>304</v>
      </c>
      <c r="Z9" s="86" t="s">
        <v>359</v>
      </c>
      <c r="AA9" s="78" t="s">
        <v>435</v>
      </c>
    </row>
    <row r="10" spans="1:30" x14ac:dyDescent="0.25">
      <c r="A10" s="10" t="s">
        <v>344</v>
      </c>
      <c r="B10" s="10">
        <v>22</v>
      </c>
      <c r="C10" s="10">
        <v>78</v>
      </c>
      <c r="E10" s="8"/>
      <c r="T10" s="82"/>
      <c r="U10" s="37">
        <v>25537</v>
      </c>
      <c r="V10" s="10">
        <v>7</v>
      </c>
      <c r="W10" s="10">
        <v>0</v>
      </c>
      <c r="X10" s="10">
        <v>14</v>
      </c>
      <c r="Y10" s="11">
        <v>0.33333333333333331</v>
      </c>
      <c r="Z10" s="11">
        <v>0</v>
      </c>
      <c r="AA10" s="11">
        <v>0.66666666666666663</v>
      </c>
      <c r="AC10" s="82"/>
    </row>
    <row r="11" spans="1:30" x14ac:dyDescent="0.25">
      <c r="A11" s="10" t="s">
        <v>345</v>
      </c>
      <c r="B11" s="10">
        <v>104</v>
      </c>
      <c r="C11" s="10">
        <v>355</v>
      </c>
      <c r="E11" s="8"/>
      <c r="U11" s="37">
        <v>25544</v>
      </c>
      <c r="V11" s="10">
        <v>17</v>
      </c>
      <c r="W11" s="10">
        <v>12</v>
      </c>
      <c r="X11" s="10">
        <v>8</v>
      </c>
      <c r="Y11" s="11">
        <v>0.45945945945945948</v>
      </c>
      <c r="Z11" s="11">
        <v>0.32432432432432434</v>
      </c>
      <c r="AA11" s="11">
        <v>0.21621621621621623</v>
      </c>
    </row>
    <row r="12" spans="1:30" x14ac:dyDescent="0.25">
      <c r="A12" s="10" t="s">
        <v>346</v>
      </c>
      <c r="B12" s="10">
        <v>201</v>
      </c>
      <c r="C12" s="10">
        <v>657</v>
      </c>
      <c r="E12" s="8"/>
      <c r="U12" s="37">
        <v>25551</v>
      </c>
      <c r="V12" s="10">
        <v>20</v>
      </c>
      <c r="W12" s="10">
        <v>17</v>
      </c>
      <c r="X12" s="10">
        <v>12</v>
      </c>
      <c r="Y12" s="11">
        <v>0.40816326530612246</v>
      </c>
      <c r="Z12" s="11">
        <v>0.34693877551020408</v>
      </c>
      <c r="AA12" s="11">
        <v>0.24489795918367346</v>
      </c>
    </row>
    <row r="13" spans="1:30" x14ac:dyDescent="0.25">
      <c r="A13" s="10" t="s">
        <v>347</v>
      </c>
      <c r="B13" s="10">
        <v>293</v>
      </c>
      <c r="C13" s="10">
        <v>602</v>
      </c>
      <c r="E13" s="8"/>
      <c r="U13" s="37">
        <v>25558</v>
      </c>
      <c r="V13" s="10">
        <v>18</v>
      </c>
      <c r="W13" s="10">
        <v>6</v>
      </c>
      <c r="X13" s="10">
        <v>16</v>
      </c>
      <c r="Y13" s="11">
        <v>0.45</v>
      </c>
      <c r="Z13" s="11">
        <v>0.15</v>
      </c>
      <c r="AA13" s="11">
        <v>0.4</v>
      </c>
      <c r="AB13" s="82"/>
    </row>
    <row r="14" spans="1:30" x14ac:dyDescent="0.25">
      <c r="A14" s="10" t="s">
        <v>348</v>
      </c>
      <c r="B14" s="10">
        <v>358</v>
      </c>
      <c r="C14" s="10">
        <v>475</v>
      </c>
      <c r="E14" s="8"/>
      <c r="U14" s="37">
        <v>25561</v>
      </c>
      <c r="V14" s="10">
        <v>11</v>
      </c>
      <c r="W14" s="10">
        <v>3</v>
      </c>
      <c r="X14" s="10">
        <v>9</v>
      </c>
      <c r="Y14" s="11">
        <v>0.47826086956521741</v>
      </c>
      <c r="Z14" s="11">
        <v>0.13043478260869565</v>
      </c>
      <c r="AA14" s="11">
        <v>0.39130434782608697</v>
      </c>
    </row>
    <row r="15" spans="1:30" x14ac:dyDescent="0.25">
      <c r="A15" s="10" t="s">
        <v>349</v>
      </c>
      <c r="B15" s="10">
        <v>365</v>
      </c>
      <c r="C15" s="10">
        <v>302</v>
      </c>
      <c r="E15" s="8"/>
      <c r="U15" s="84">
        <v>25562</v>
      </c>
      <c r="V15" s="78">
        <v>1</v>
      </c>
      <c r="W15" s="78">
        <v>4</v>
      </c>
      <c r="X15" s="78">
        <v>12</v>
      </c>
      <c r="Y15" s="86">
        <v>5.8823529411764705E-2</v>
      </c>
      <c r="Z15" s="86">
        <v>0.23529411764705882</v>
      </c>
      <c r="AA15" s="86">
        <v>0.70588235294117652</v>
      </c>
    </row>
    <row r="16" spans="1:30" x14ac:dyDescent="0.25">
      <c r="A16" s="10" t="s">
        <v>350</v>
      </c>
      <c r="B16" s="10">
        <v>337</v>
      </c>
      <c r="C16" s="10">
        <v>183</v>
      </c>
      <c r="E16" s="8"/>
      <c r="U16" s="37">
        <v>25565</v>
      </c>
      <c r="V16" s="10">
        <v>17</v>
      </c>
      <c r="W16" s="10">
        <v>13</v>
      </c>
      <c r="X16" s="10">
        <v>24</v>
      </c>
      <c r="Y16" s="11">
        <v>0.31481481481481483</v>
      </c>
      <c r="Z16" s="11">
        <v>0.24074074074074073</v>
      </c>
      <c r="AA16" s="11">
        <v>0.44444444444444442</v>
      </c>
    </row>
    <row r="17" spans="1:27" x14ac:dyDescent="0.25">
      <c r="A17" s="10" t="s">
        <v>351</v>
      </c>
      <c r="B17" s="10">
        <v>304</v>
      </c>
      <c r="C17" s="10">
        <v>116</v>
      </c>
      <c r="E17" s="8"/>
      <c r="U17" s="37">
        <v>25572</v>
      </c>
      <c r="V17" s="10">
        <v>3</v>
      </c>
      <c r="W17" s="10">
        <v>3</v>
      </c>
      <c r="X17" s="10">
        <v>4</v>
      </c>
      <c r="Y17" s="11">
        <v>0.3</v>
      </c>
      <c r="Z17" s="11">
        <v>0.3</v>
      </c>
      <c r="AA17" s="11">
        <v>0.4</v>
      </c>
    </row>
    <row r="18" spans="1:27" x14ac:dyDescent="0.25">
      <c r="A18" s="10" t="s">
        <v>352</v>
      </c>
      <c r="B18" s="10">
        <v>233</v>
      </c>
      <c r="C18" s="10">
        <v>68</v>
      </c>
      <c r="U18" s="37">
        <v>25579</v>
      </c>
      <c r="V18" s="10">
        <v>11</v>
      </c>
      <c r="W18" s="10">
        <v>4</v>
      </c>
      <c r="X18" s="10">
        <v>24</v>
      </c>
      <c r="Y18" s="11">
        <v>0.28205128205128205</v>
      </c>
      <c r="Z18" s="11">
        <v>0.10256410256410256</v>
      </c>
      <c r="AA18" s="11">
        <v>0.61538461538461542</v>
      </c>
    </row>
    <row r="19" spans="1:27" x14ac:dyDescent="0.25">
      <c r="A19" s="10" t="s">
        <v>353</v>
      </c>
      <c r="B19" s="10">
        <v>185</v>
      </c>
      <c r="C19" s="10">
        <v>29</v>
      </c>
      <c r="U19" s="37">
        <v>25586</v>
      </c>
      <c r="V19" s="10">
        <v>5</v>
      </c>
      <c r="W19" s="10">
        <v>1</v>
      </c>
      <c r="X19" s="10">
        <v>19</v>
      </c>
      <c r="Y19" s="11">
        <v>0.2</v>
      </c>
      <c r="Z19" s="11">
        <v>0.04</v>
      </c>
      <c r="AA19" s="11">
        <v>0.76</v>
      </c>
    </row>
    <row r="20" spans="1:27" x14ac:dyDescent="0.25">
      <c r="A20" s="10" t="s">
        <v>354</v>
      </c>
      <c r="B20" s="10">
        <v>138</v>
      </c>
      <c r="C20" s="10">
        <v>23</v>
      </c>
      <c r="U20" s="37">
        <v>25593</v>
      </c>
      <c r="V20" s="10">
        <v>8</v>
      </c>
      <c r="W20" s="10">
        <v>0</v>
      </c>
      <c r="X20" s="10">
        <v>12</v>
      </c>
      <c r="Y20" s="11">
        <v>0.4</v>
      </c>
      <c r="Z20" s="11">
        <v>0</v>
      </c>
      <c r="AA20" s="11">
        <v>0.6</v>
      </c>
    </row>
    <row r="21" spans="1:27" x14ac:dyDescent="0.25">
      <c r="A21" s="10" t="s">
        <v>355</v>
      </c>
      <c r="B21" s="10">
        <v>119</v>
      </c>
      <c r="C21" s="10">
        <v>12</v>
      </c>
      <c r="U21" s="37">
        <v>25600</v>
      </c>
      <c r="V21" s="10">
        <v>9</v>
      </c>
      <c r="W21" s="10">
        <v>4</v>
      </c>
      <c r="X21" s="10">
        <v>5</v>
      </c>
      <c r="Y21" s="11">
        <v>0.5</v>
      </c>
      <c r="Z21" s="11">
        <v>0.22222222222222221</v>
      </c>
      <c r="AA21" s="11">
        <v>0.27777777777777779</v>
      </c>
    </row>
    <row r="22" spans="1:27" x14ac:dyDescent="0.25">
      <c r="A22" s="10" t="s">
        <v>356</v>
      </c>
      <c r="B22" s="10">
        <v>66</v>
      </c>
      <c r="C22" s="10">
        <v>4</v>
      </c>
      <c r="U22" s="37">
        <v>25607</v>
      </c>
      <c r="V22" s="10">
        <v>2</v>
      </c>
      <c r="W22" s="10">
        <v>4</v>
      </c>
      <c r="X22" s="10">
        <v>5</v>
      </c>
      <c r="Y22" s="11">
        <v>0.18181818181818182</v>
      </c>
      <c r="Z22" s="11">
        <v>0.36363636363636365</v>
      </c>
      <c r="AA22" s="11">
        <v>0.45454545454545453</v>
      </c>
    </row>
    <row r="23" spans="1:27" x14ac:dyDescent="0.25">
      <c r="A23" s="10" t="s">
        <v>354</v>
      </c>
      <c r="B23" s="10">
        <v>176</v>
      </c>
      <c r="C23" s="10">
        <v>6</v>
      </c>
      <c r="U23" s="37">
        <v>25614</v>
      </c>
      <c r="V23" s="10">
        <v>22</v>
      </c>
      <c r="W23" s="10">
        <v>2</v>
      </c>
      <c r="X23" s="10">
        <v>4</v>
      </c>
      <c r="Y23" s="11">
        <v>0.7857142857142857</v>
      </c>
      <c r="Z23" s="11">
        <v>7.1428571428571425E-2</v>
      </c>
      <c r="AA23" s="11">
        <v>0.14285714285714285</v>
      </c>
    </row>
    <row r="24" spans="1:27" x14ac:dyDescent="0.25">
      <c r="U24" s="37">
        <v>25621</v>
      </c>
      <c r="V24" s="10">
        <v>15</v>
      </c>
      <c r="W24" s="10">
        <v>5</v>
      </c>
      <c r="X24" s="10">
        <v>9</v>
      </c>
      <c r="Y24" s="11">
        <v>0.51724137931034486</v>
      </c>
      <c r="Z24" s="11">
        <v>0.17241379310344829</v>
      </c>
      <c r="AA24" s="11">
        <v>0.31034482758620691</v>
      </c>
    </row>
    <row r="25" spans="1:27" ht="18.75" x14ac:dyDescent="0.3">
      <c r="A25" s="5"/>
      <c r="B25" s="6" t="str">
        <f>Sommaire!C50</f>
        <v>Figure 25 : Chaque nom divin a son profil grammatical.</v>
      </c>
      <c r="C25" s="6"/>
      <c r="D25" s="6"/>
      <c r="E25" s="6"/>
      <c r="F25" s="5"/>
      <c r="G25" s="5"/>
      <c r="H25" s="5"/>
      <c r="I25" s="5"/>
      <c r="J25" s="5"/>
      <c r="K25" s="5"/>
      <c r="L25" s="5"/>
      <c r="M25" s="5"/>
      <c r="N25" s="5"/>
      <c r="O25" s="5"/>
      <c r="U25" s="37">
        <v>25628</v>
      </c>
      <c r="V25" s="10">
        <v>17</v>
      </c>
      <c r="W25" s="10">
        <v>16</v>
      </c>
      <c r="X25" s="10">
        <v>27</v>
      </c>
      <c r="Y25" s="11">
        <v>0.28333333333333333</v>
      </c>
      <c r="Z25" s="11">
        <v>0.26666666666666666</v>
      </c>
      <c r="AA25" s="11">
        <v>0.45</v>
      </c>
    </row>
    <row r="26" spans="1:27" x14ac:dyDescent="0.25">
      <c r="A26" s="27" t="s">
        <v>437</v>
      </c>
      <c r="U26" s="37">
        <v>25635</v>
      </c>
      <c r="V26" s="10">
        <v>8</v>
      </c>
      <c r="W26" s="10">
        <v>1</v>
      </c>
      <c r="X26" s="10">
        <v>14</v>
      </c>
      <c r="Y26" s="11">
        <v>0.34782608695652173</v>
      </c>
      <c r="Z26" s="11">
        <v>4.3478260869565216E-2</v>
      </c>
      <c r="AA26" s="11">
        <v>0.60869565217391308</v>
      </c>
    </row>
    <row r="27" spans="1:27" x14ac:dyDescent="0.25">
      <c r="A27" s="27" t="s">
        <v>438</v>
      </c>
      <c r="U27" s="37">
        <v>25642</v>
      </c>
      <c r="V27" s="10">
        <v>9</v>
      </c>
      <c r="W27" s="10">
        <v>4</v>
      </c>
      <c r="X27" s="10">
        <v>6</v>
      </c>
      <c r="Y27" s="11">
        <v>0.47368421052631576</v>
      </c>
      <c r="Z27" s="11">
        <v>0.21052631578947367</v>
      </c>
      <c r="AA27" s="11">
        <v>0.31578947368421051</v>
      </c>
    </row>
    <row r="28" spans="1:27" x14ac:dyDescent="0.25">
      <c r="A28" s="27" t="s">
        <v>429</v>
      </c>
      <c r="U28" s="37">
        <v>25649</v>
      </c>
      <c r="V28" s="10">
        <v>7</v>
      </c>
      <c r="W28" s="10">
        <v>5</v>
      </c>
      <c r="X28" s="10">
        <v>22</v>
      </c>
      <c r="Y28" s="11">
        <v>0.20588235294117646</v>
      </c>
      <c r="Z28" s="11">
        <v>0.14705882352941177</v>
      </c>
      <c r="AA28" s="11">
        <v>0.6470588235294118</v>
      </c>
    </row>
    <row r="29" spans="1:27" x14ac:dyDescent="0.25">
      <c r="B29" s="10" t="s">
        <v>2</v>
      </c>
      <c r="C29" s="10" t="s">
        <v>8</v>
      </c>
      <c r="D29" s="10" t="s">
        <v>1</v>
      </c>
      <c r="E29" s="10" t="s">
        <v>0</v>
      </c>
      <c r="F29" s="10" t="s">
        <v>6</v>
      </c>
      <c r="G29" s="10" t="s">
        <v>5</v>
      </c>
      <c r="H29" s="10" t="s">
        <v>4</v>
      </c>
      <c r="I29" s="10" t="s">
        <v>82</v>
      </c>
      <c r="U29" s="37">
        <v>25663</v>
      </c>
      <c r="V29" s="10">
        <v>15</v>
      </c>
      <c r="W29" s="10">
        <v>7</v>
      </c>
      <c r="X29" s="10">
        <v>11</v>
      </c>
      <c r="Y29" s="11">
        <v>0.45454545454545453</v>
      </c>
      <c r="Z29" s="11">
        <v>0.21212121212121213</v>
      </c>
      <c r="AA29" s="11">
        <v>0.33333333333333331</v>
      </c>
    </row>
    <row r="30" spans="1:27" x14ac:dyDescent="0.25">
      <c r="A30" s="8" t="s">
        <v>87</v>
      </c>
      <c r="B30" s="11">
        <v>0.29601328903654484</v>
      </c>
      <c r="C30" s="11">
        <v>0.42733420334559258</v>
      </c>
      <c r="D30" s="11">
        <v>0.30469404861693211</v>
      </c>
      <c r="E30" s="11">
        <v>0.33175750834260287</v>
      </c>
      <c r="F30" s="11">
        <v>0.41269319302860902</v>
      </c>
      <c r="G30" s="11">
        <v>0.24948875255623723</v>
      </c>
      <c r="H30" s="11">
        <v>0.3724893487522824</v>
      </c>
      <c r="I30" s="11">
        <v>0.34017849963817642</v>
      </c>
      <c r="U30" s="37">
        <v>25670</v>
      </c>
      <c r="V30" s="10">
        <v>6</v>
      </c>
      <c r="W30" s="10">
        <v>13</v>
      </c>
      <c r="X30" s="10">
        <v>8</v>
      </c>
      <c r="Y30" s="11">
        <v>0.22222222222222221</v>
      </c>
      <c r="Z30" s="11">
        <v>0.48148148148148145</v>
      </c>
      <c r="AA30" s="11">
        <v>0.29629629629629628</v>
      </c>
    </row>
    <row r="31" spans="1:27" x14ac:dyDescent="0.25">
      <c r="A31" s="8" t="s">
        <v>359</v>
      </c>
      <c r="B31" s="11">
        <v>0.21196013289036544</v>
      </c>
      <c r="C31" s="11">
        <v>0.24196227310475737</v>
      </c>
      <c r="D31" s="11">
        <v>0.20819362950544845</v>
      </c>
      <c r="E31" s="11">
        <v>0.26557285873192438</v>
      </c>
      <c r="F31" s="11">
        <v>0.25682341335087144</v>
      </c>
      <c r="G31" s="11">
        <v>0.34764826175869118</v>
      </c>
      <c r="H31" s="11">
        <v>0.34327449786975045</v>
      </c>
      <c r="I31" s="11">
        <v>0.2357481707807349</v>
      </c>
      <c r="U31" s="37">
        <v>25677</v>
      </c>
      <c r="V31" s="10">
        <v>3</v>
      </c>
      <c r="W31" s="10">
        <v>1</v>
      </c>
      <c r="X31" s="10">
        <v>8</v>
      </c>
      <c r="Y31" s="11">
        <v>0.25</v>
      </c>
      <c r="Z31" s="11">
        <v>8.3333333333333329E-2</v>
      </c>
      <c r="AA31" s="11">
        <v>0.66666666666666663</v>
      </c>
    </row>
    <row r="32" spans="1:27" x14ac:dyDescent="0.25">
      <c r="A32" s="8" t="s">
        <v>296</v>
      </c>
      <c r="B32" s="11">
        <v>0.49202657807309003</v>
      </c>
      <c r="C32" s="11">
        <v>0.33070352354964999</v>
      </c>
      <c r="D32" s="11">
        <v>0.48711232187761944</v>
      </c>
      <c r="E32" s="11">
        <v>0.40266963292547275</v>
      </c>
      <c r="F32" s="11">
        <v>0.33048339362051954</v>
      </c>
      <c r="G32" s="11">
        <v>0.40286298568507156</v>
      </c>
      <c r="H32" s="11">
        <v>0.28423615337796715</v>
      </c>
      <c r="I32" s="11">
        <v>0.42407332958108868</v>
      </c>
      <c r="U32" s="37">
        <v>25684</v>
      </c>
      <c r="V32" s="10">
        <v>1</v>
      </c>
      <c r="W32" s="10">
        <v>6</v>
      </c>
      <c r="X32" s="10">
        <v>2</v>
      </c>
      <c r="Y32" s="11">
        <v>0.1111111111111111</v>
      </c>
      <c r="Z32" s="11">
        <v>0.66666666666666663</v>
      </c>
      <c r="AA32" s="11">
        <v>0.22222222222222221</v>
      </c>
    </row>
    <row r="33" spans="1:27" x14ac:dyDescent="0.25">
      <c r="U33" s="37">
        <v>25691</v>
      </c>
      <c r="V33" s="10">
        <v>16</v>
      </c>
      <c r="W33" s="10">
        <v>12</v>
      </c>
      <c r="X33" s="10">
        <v>17</v>
      </c>
      <c r="Y33" s="11">
        <v>0.35555555555555557</v>
      </c>
      <c r="Z33" s="11">
        <v>0.26666666666666666</v>
      </c>
      <c r="AA33" s="11">
        <v>0.37777777777777777</v>
      </c>
    </row>
    <row r="34" spans="1:27" x14ac:dyDescent="0.25">
      <c r="U34" s="37">
        <v>25698</v>
      </c>
      <c r="V34" s="10">
        <v>8</v>
      </c>
      <c r="W34" s="10">
        <v>6</v>
      </c>
      <c r="X34" s="10">
        <v>8</v>
      </c>
      <c r="Y34" s="11">
        <v>0.36363636363636365</v>
      </c>
      <c r="Z34" s="11">
        <v>0.27272727272727271</v>
      </c>
      <c r="AA34" s="11">
        <v>0.36363636363636365</v>
      </c>
    </row>
    <row r="35" spans="1:27" x14ac:dyDescent="0.25">
      <c r="U35" s="37">
        <v>25705</v>
      </c>
      <c r="V35" s="10">
        <v>7</v>
      </c>
      <c r="W35" s="10">
        <v>3</v>
      </c>
      <c r="X35" s="10">
        <v>14</v>
      </c>
      <c r="Y35" s="11">
        <v>0.29166666666666669</v>
      </c>
      <c r="Z35" s="11">
        <v>0.125</v>
      </c>
      <c r="AA35" s="11">
        <v>0.58333333333333337</v>
      </c>
    </row>
    <row r="36" spans="1:27" x14ac:dyDescent="0.25">
      <c r="U36" s="37">
        <v>25712</v>
      </c>
      <c r="V36" s="10">
        <v>4</v>
      </c>
      <c r="W36" s="10">
        <v>3</v>
      </c>
      <c r="X36" s="10">
        <v>12</v>
      </c>
      <c r="Y36" s="11">
        <v>0.21052631578947367</v>
      </c>
      <c r="Z36" s="11">
        <v>0.15789473684210525</v>
      </c>
      <c r="AA36" s="11">
        <v>0.63157894736842102</v>
      </c>
    </row>
    <row r="37" spans="1:27" x14ac:dyDescent="0.25">
      <c r="U37" s="37">
        <v>25719</v>
      </c>
      <c r="V37" s="10">
        <v>4</v>
      </c>
      <c r="W37" s="10">
        <v>3</v>
      </c>
      <c r="X37" s="10">
        <v>5</v>
      </c>
      <c r="Y37" s="11">
        <v>0.33333333333333331</v>
      </c>
      <c r="Z37" s="11">
        <v>0.25</v>
      </c>
      <c r="AA37" s="11">
        <v>0.41666666666666669</v>
      </c>
    </row>
    <row r="38" spans="1:27" x14ac:dyDescent="0.25">
      <c r="U38" s="37">
        <v>25726</v>
      </c>
      <c r="V38" s="10">
        <v>14</v>
      </c>
      <c r="W38" s="10">
        <v>6</v>
      </c>
      <c r="X38" s="10">
        <v>9</v>
      </c>
      <c r="Y38" s="11">
        <v>0.48275862068965519</v>
      </c>
      <c r="Z38" s="11">
        <v>0.20689655172413793</v>
      </c>
      <c r="AA38" s="11">
        <v>0.31034482758620691</v>
      </c>
    </row>
    <row r="39" spans="1:27" ht="18.75" x14ac:dyDescent="0.3">
      <c r="A39" s="5"/>
      <c r="B39" s="6" t="str">
        <f>Sommaire!C51</f>
        <v>Figure 26 : Dieu est-il fréquemment nommé, et sujet chez les prédicateurs ?</v>
      </c>
      <c r="C39" s="6"/>
      <c r="D39" s="6"/>
      <c r="E39" s="6"/>
      <c r="F39" s="5"/>
      <c r="G39" s="5"/>
      <c r="H39" s="5"/>
      <c r="I39" s="5"/>
      <c r="J39" s="5"/>
      <c r="K39" s="5"/>
      <c r="L39" s="5"/>
      <c r="M39" s="5"/>
      <c r="N39" s="5"/>
      <c r="O39" s="5"/>
      <c r="U39" s="37">
        <v>25733</v>
      </c>
      <c r="V39" s="10">
        <v>2</v>
      </c>
      <c r="W39" s="10">
        <v>5</v>
      </c>
      <c r="X39" s="10">
        <v>6</v>
      </c>
      <c r="Y39" s="11">
        <v>0.15384615384615385</v>
      </c>
      <c r="Z39" s="11">
        <v>0.38461538461538464</v>
      </c>
      <c r="AA39" s="11">
        <v>0.46153846153846156</v>
      </c>
    </row>
    <row r="40" spans="1:27" x14ac:dyDescent="0.25">
      <c r="A40" s="27" t="s">
        <v>439</v>
      </c>
      <c r="U40" s="37">
        <v>25740</v>
      </c>
      <c r="V40" s="10">
        <v>14</v>
      </c>
      <c r="W40" s="10">
        <v>7</v>
      </c>
      <c r="X40" s="10">
        <v>15</v>
      </c>
      <c r="Y40" s="11">
        <v>0.3888888888888889</v>
      </c>
      <c r="Z40" s="11">
        <v>0.19444444444444445</v>
      </c>
      <c r="AA40" s="11">
        <v>0.41666666666666669</v>
      </c>
    </row>
    <row r="41" spans="1:27" x14ac:dyDescent="0.25">
      <c r="A41" s="27" t="s">
        <v>438</v>
      </c>
      <c r="U41" s="37">
        <v>25754</v>
      </c>
      <c r="V41" s="10">
        <v>4</v>
      </c>
      <c r="W41" s="10">
        <v>6</v>
      </c>
      <c r="X41" s="10">
        <v>10</v>
      </c>
      <c r="Y41" s="11">
        <v>0.2</v>
      </c>
      <c r="Z41" s="11">
        <v>0.3</v>
      </c>
      <c r="AA41" s="11">
        <v>0.5</v>
      </c>
    </row>
    <row r="42" spans="1:27" x14ac:dyDescent="0.25">
      <c r="A42" s="27" t="s">
        <v>429</v>
      </c>
      <c r="U42" s="37">
        <v>25761</v>
      </c>
      <c r="V42" s="10">
        <v>6</v>
      </c>
      <c r="W42" s="10">
        <v>1</v>
      </c>
      <c r="X42" s="10">
        <v>3</v>
      </c>
      <c r="Y42" s="11">
        <v>0.6</v>
      </c>
      <c r="Z42" s="11">
        <v>0.1</v>
      </c>
      <c r="AA42" s="11">
        <v>0.3</v>
      </c>
    </row>
    <row r="43" spans="1:27" x14ac:dyDescent="0.25">
      <c r="B43" s="78" t="s">
        <v>440</v>
      </c>
      <c r="C43" s="78" t="s">
        <v>87</v>
      </c>
      <c r="U43" s="37">
        <v>25768</v>
      </c>
      <c r="V43" s="10">
        <v>14</v>
      </c>
      <c r="W43" s="10">
        <v>2</v>
      </c>
      <c r="X43" s="10">
        <v>20</v>
      </c>
      <c r="Y43" s="11">
        <v>0.3888888888888889</v>
      </c>
      <c r="Z43" s="11">
        <v>5.5555555555555552E-2</v>
      </c>
      <c r="AA43" s="11">
        <v>0.55555555555555558</v>
      </c>
    </row>
    <row r="44" spans="1:27" ht="30" x14ac:dyDescent="0.25">
      <c r="B44" s="78" t="s">
        <v>441</v>
      </c>
      <c r="C44" s="78" t="s">
        <v>442</v>
      </c>
      <c r="U44" s="37">
        <v>25775</v>
      </c>
      <c r="V44" s="10">
        <v>12</v>
      </c>
      <c r="W44" s="10">
        <v>8</v>
      </c>
      <c r="X44" s="10">
        <v>15</v>
      </c>
      <c r="Y44" s="11">
        <v>0.34285714285714286</v>
      </c>
      <c r="Z44" s="11">
        <v>0.22857142857142856</v>
      </c>
      <c r="AA44" s="11">
        <v>0.42857142857142855</v>
      </c>
    </row>
    <row r="45" spans="1:27" x14ac:dyDescent="0.25">
      <c r="A45" s="8" t="s">
        <v>297</v>
      </c>
      <c r="B45" s="15">
        <v>2.4338236925602965E-2</v>
      </c>
      <c r="C45" s="15">
        <v>0.32142097426079558</v>
      </c>
      <c r="U45" s="37">
        <v>25782</v>
      </c>
      <c r="V45" s="10">
        <v>13</v>
      </c>
      <c r="W45" s="10">
        <v>7</v>
      </c>
      <c r="X45" s="10">
        <v>12</v>
      </c>
      <c r="Y45" s="11">
        <v>0.40625</v>
      </c>
      <c r="Z45" s="11">
        <v>0.21875</v>
      </c>
      <c r="AA45" s="11">
        <v>0.375</v>
      </c>
    </row>
    <row r="46" spans="1:27" x14ac:dyDescent="0.25">
      <c r="A46" s="8" t="s">
        <v>334</v>
      </c>
      <c r="B46" s="15">
        <v>2.3089000514910418E-2</v>
      </c>
      <c r="C46" s="15">
        <v>0.33503308052283365</v>
      </c>
      <c r="U46" s="37">
        <v>25789</v>
      </c>
      <c r="V46" s="10">
        <v>1</v>
      </c>
      <c r="W46" s="10">
        <v>0</v>
      </c>
      <c r="X46" s="10">
        <v>6</v>
      </c>
      <c r="Y46" s="11">
        <v>0.14285714285714285</v>
      </c>
      <c r="Z46" s="11">
        <v>0</v>
      </c>
      <c r="AA46" s="11">
        <v>0.8571428571428571</v>
      </c>
    </row>
    <row r="47" spans="1:27" x14ac:dyDescent="0.25">
      <c r="A47" s="8" t="s">
        <v>357</v>
      </c>
      <c r="B47" s="15">
        <v>2.556896808669179E-2</v>
      </c>
      <c r="C47" s="15">
        <v>0.30931120617875907</v>
      </c>
      <c r="U47" s="37">
        <v>25796</v>
      </c>
      <c r="V47" s="10">
        <v>7</v>
      </c>
      <c r="W47" s="10">
        <v>1</v>
      </c>
      <c r="X47" s="10">
        <v>13</v>
      </c>
      <c r="Y47" s="11">
        <v>0.33333333333333331</v>
      </c>
      <c r="Z47" s="11">
        <v>4.7619047619047616E-2</v>
      </c>
      <c r="AA47" s="11">
        <v>0.61904761904761907</v>
      </c>
    </row>
    <row r="48" spans="1:27" x14ac:dyDescent="0.25">
      <c r="A48" s="8" t="s">
        <v>33</v>
      </c>
      <c r="B48" s="15">
        <v>2.7416565242457242E-2</v>
      </c>
      <c r="C48" s="15">
        <v>0.37850467289719625</v>
      </c>
      <c r="U48" s="37">
        <v>25803</v>
      </c>
      <c r="V48" s="10">
        <v>12</v>
      </c>
      <c r="W48" s="10">
        <v>5</v>
      </c>
      <c r="X48" s="10">
        <v>12</v>
      </c>
      <c r="Y48" s="11">
        <v>0.41379310344827586</v>
      </c>
      <c r="Z48" s="11">
        <v>0.17241379310344829</v>
      </c>
      <c r="AA48" s="11">
        <v>0.41379310344827586</v>
      </c>
    </row>
    <row r="49" spans="1:27" x14ac:dyDescent="0.25">
      <c r="A49" s="8" t="s">
        <v>17</v>
      </c>
      <c r="B49" s="15">
        <v>1.337913143735588E-2</v>
      </c>
      <c r="C49" s="15">
        <v>0.27827648114901254</v>
      </c>
      <c r="U49" s="37">
        <v>25810</v>
      </c>
      <c r="V49" s="10">
        <v>4</v>
      </c>
      <c r="W49" s="10">
        <v>6</v>
      </c>
      <c r="X49" s="10">
        <v>14</v>
      </c>
      <c r="Y49" s="11">
        <v>0.16666666666666666</v>
      </c>
      <c r="Z49" s="11">
        <v>0.25</v>
      </c>
      <c r="AA49" s="11">
        <v>0.58333333333333337</v>
      </c>
    </row>
    <row r="50" spans="1:27" x14ac:dyDescent="0.25">
      <c r="A50" s="8" t="s">
        <v>45</v>
      </c>
      <c r="B50" s="15">
        <v>1.7537359515870075E-2</v>
      </c>
      <c r="C50" s="15">
        <v>0.42018779342723006</v>
      </c>
      <c r="U50" s="37">
        <v>25817</v>
      </c>
      <c r="V50" s="10">
        <v>5</v>
      </c>
      <c r="W50" s="10">
        <v>4</v>
      </c>
      <c r="X50" s="10">
        <v>3</v>
      </c>
      <c r="Y50" s="11">
        <v>0.41666666666666669</v>
      </c>
      <c r="Z50" s="11">
        <v>0.33333333333333331</v>
      </c>
      <c r="AA50" s="11">
        <v>0.25</v>
      </c>
    </row>
    <row r="51" spans="1:27" x14ac:dyDescent="0.25">
      <c r="A51" s="8" t="s">
        <v>34</v>
      </c>
      <c r="B51" s="15">
        <v>2.3839306492902026E-2</v>
      </c>
      <c r="C51" s="15">
        <v>0.3727882855399634</v>
      </c>
      <c r="U51" s="37">
        <v>25824</v>
      </c>
      <c r="V51" s="10">
        <v>7</v>
      </c>
      <c r="W51" s="10">
        <v>7</v>
      </c>
      <c r="X51" s="10">
        <v>10</v>
      </c>
      <c r="Y51" s="11">
        <v>0.29166666666666669</v>
      </c>
      <c r="Z51" s="11">
        <v>0.29166666666666669</v>
      </c>
      <c r="AA51" s="11">
        <v>0.41666666666666669</v>
      </c>
    </row>
    <row r="52" spans="1:27" x14ac:dyDescent="0.25">
      <c r="A52" s="8" t="s">
        <v>46</v>
      </c>
      <c r="B52" s="15">
        <v>1.0275367313054102E-2</v>
      </c>
      <c r="C52" s="15">
        <v>0.34756097560975607</v>
      </c>
      <c r="U52" s="37">
        <v>25831</v>
      </c>
      <c r="V52" s="10">
        <v>3</v>
      </c>
      <c r="W52" s="10">
        <v>4</v>
      </c>
      <c r="X52" s="10">
        <v>3</v>
      </c>
      <c r="Y52" s="11">
        <v>0.3</v>
      </c>
      <c r="Z52" s="11">
        <v>0.4</v>
      </c>
      <c r="AA52" s="11">
        <v>0.3</v>
      </c>
    </row>
    <row r="53" spans="1:27" x14ac:dyDescent="0.25">
      <c r="A53" s="8" t="s">
        <v>15</v>
      </c>
      <c r="B53" s="15">
        <v>1.2946110867162304E-2</v>
      </c>
      <c r="C53" s="15">
        <v>0.34269005847953216</v>
      </c>
      <c r="U53" s="37">
        <v>25838</v>
      </c>
      <c r="V53" s="10">
        <v>12</v>
      </c>
      <c r="W53" s="10">
        <v>1</v>
      </c>
      <c r="X53" s="10">
        <v>11</v>
      </c>
      <c r="Y53" s="11">
        <v>0.5</v>
      </c>
      <c r="Z53" s="11">
        <v>4.1666666666666664E-2</v>
      </c>
      <c r="AA53" s="11">
        <v>0.45833333333333331</v>
      </c>
    </row>
    <row r="54" spans="1:27" x14ac:dyDescent="0.25">
      <c r="A54" s="8" t="s">
        <v>16</v>
      </c>
      <c r="B54" s="15">
        <v>1.5555720690594734E-2</v>
      </c>
      <c r="C54" s="15">
        <v>0.24363057324840764</v>
      </c>
      <c r="U54" s="37">
        <v>25845</v>
      </c>
      <c r="V54" s="10">
        <v>5</v>
      </c>
      <c r="W54" s="10">
        <v>1</v>
      </c>
      <c r="X54" s="10">
        <v>11</v>
      </c>
      <c r="Y54" s="11">
        <v>0.29411764705882354</v>
      </c>
      <c r="Z54" s="11">
        <v>5.8823529411764705E-2</v>
      </c>
      <c r="AA54" s="11">
        <v>0.6470588235294118</v>
      </c>
    </row>
    <row r="55" spans="1:27" x14ac:dyDescent="0.25">
      <c r="A55" s="8" t="s">
        <v>38</v>
      </c>
      <c r="B55" s="15">
        <v>2.4331246442800228E-2</v>
      </c>
      <c r="C55" s="15">
        <v>0.34941520467836257</v>
      </c>
      <c r="U55" s="37">
        <v>25852</v>
      </c>
      <c r="V55" s="10">
        <v>4</v>
      </c>
      <c r="W55" s="10">
        <v>3</v>
      </c>
      <c r="X55" s="10">
        <v>5</v>
      </c>
      <c r="Y55" s="11">
        <v>0.33333333333333331</v>
      </c>
      <c r="Z55" s="11">
        <v>0.25</v>
      </c>
      <c r="AA55" s="11">
        <v>0.41666666666666669</v>
      </c>
    </row>
    <row r="56" spans="1:27" x14ac:dyDescent="0.25">
      <c r="A56" s="8" t="s">
        <v>32</v>
      </c>
      <c r="B56" s="15">
        <v>2.4570144587729582E-2</v>
      </c>
      <c r="C56" s="15">
        <v>0.31212723658051689</v>
      </c>
      <c r="U56" s="37">
        <v>25859</v>
      </c>
      <c r="V56" s="10">
        <v>0</v>
      </c>
      <c r="W56" s="10">
        <v>2</v>
      </c>
      <c r="X56" s="10">
        <v>0</v>
      </c>
      <c r="Y56" s="11">
        <v>0</v>
      </c>
      <c r="Z56" s="11">
        <v>1</v>
      </c>
      <c r="AA56" s="11">
        <v>0</v>
      </c>
    </row>
    <row r="57" spans="1:27" x14ac:dyDescent="0.25">
      <c r="A57" s="8" t="s">
        <v>23</v>
      </c>
      <c r="B57" s="15">
        <v>2.0364513413274478E-2</v>
      </c>
      <c r="C57" s="15">
        <v>0.34525139664804472</v>
      </c>
      <c r="U57" s="37">
        <v>25866</v>
      </c>
      <c r="V57" s="10">
        <v>7</v>
      </c>
      <c r="W57" s="10">
        <v>8</v>
      </c>
      <c r="X57" s="10">
        <v>3</v>
      </c>
      <c r="Y57" s="11">
        <v>0.3888888888888889</v>
      </c>
      <c r="Z57" s="11">
        <v>0.44444444444444442</v>
      </c>
      <c r="AA57" s="11">
        <v>0.16666666666666666</v>
      </c>
    </row>
    <row r="58" spans="1:27" x14ac:dyDescent="0.25">
      <c r="A58" s="8" t="s">
        <v>12</v>
      </c>
      <c r="B58" s="15">
        <v>3.310987851771191E-2</v>
      </c>
      <c r="C58" s="15">
        <v>0.34943473792394658</v>
      </c>
      <c r="U58" s="37">
        <v>25873</v>
      </c>
      <c r="V58" s="10">
        <v>3</v>
      </c>
      <c r="W58" s="10">
        <v>7</v>
      </c>
      <c r="X58" s="10">
        <v>10</v>
      </c>
      <c r="Y58" s="11">
        <v>0.15</v>
      </c>
      <c r="Z58" s="11">
        <v>0.35</v>
      </c>
      <c r="AA58" s="11">
        <v>0.5</v>
      </c>
    </row>
    <row r="59" spans="1:27" x14ac:dyDescent="0.25">
      <c r="A59" s="8" t="s">
        <v>31</v>
      </c>
      <c r="B59" s="15">
        <v>3.0210740992522092E-2</v>
      </c>
      <c r="C59" s="15">
        <v>0.29522952295229521</v>
      </c>
      <c r="U59" s="37">
        <v>25880</v>
      </c>
      <c r="V59" s="10">
        <v>4</v>
      </c>
      <c r="W59" s="10">
        <v>6</v>
      </c>
      <c r="X59" s="10">
        <v>6</v>
      </c>
      <c r="Y59" s="11">
        <v>0.25</v>
      </c>
      <c r="Z59" s="11">
        <v>0.375</v>
      </c>
      <c r="AA59" s="11">
        <v>0.375</v>
      </c>
    </row>
    <row r="60" spans="1:27" x14ac:dyDescent="0.25">
      <c r="A60" s="8" t="s">
        <v>43</v>
      </c>
      <c r="B60" s="15">
        <v>2.6449778483105205E-2</v>
      </c>
      <c r="C60" s="15">
        <v>0.4</v>
      </c>
      <c r="U60" s="37">
        <v>25887</v>
      </c>
      <c r="V60" s="10">
        <v>4</v>
      </c>
      <c r="W60" s="10">
        <v>3</v>
      </c>
      <c r="X60" s="10">
        <v>5</v>
      </c>
      <c r="Y60" s="11">
        <v>0.33333333333333331</v>
      </c>
      <c r="Z60" s="11">
        <v>0.25</v>
      </c>
      <c r="AA60" s="11">
        <v>0.41666666666666669</v>
      </c>
    </row>
    <row r="61" spans="1:27" x14ac:dyDescent="0.25">
      <c r="A61" s="8" t="s">
        <v>25</v>
      </c>
      <c r="B61" s="15">
        <v>2.5477878006872852E-2</v>
      </c>
      <c r="C61" s="15">
        <v>0.21812434141201265</v>
      </c>
      <c r="U61" s="37">
        <v>25894</v>
      </c>
      <c r="V61" s="10">
        <v>7</v>
      </c>
      <c r="W61" s="10">
        <v>3</v>
      </c>
      <c r="X61" s="10">
        <v>6</v>
      </c>
      <c r="Y61" s="11">
        <v>0.4375</v>
      </c>
      <c r="Z61" s="11">
        <v>0.1875</v>
      </c>
      <c r="AA61" s="11">
        <v>0.375</v>
      </c>
    </row>
    <row r="62" spans="1:27" x14ac:dyDescent="0.25">
      <c r="A62" s="8" t="s">
        <v>21</v>
      </c>
      <c r="B62" s="15">
        <v>2.4014756054925316E-2</v>
      </c>
      <c r="C62" s="15">
        <v>0.34738955823293172</v>
      </c>
      <c r="U62" s="37">
        <v>25901</v>
      </c>
      <c r="V62" s="10">
        <v>12</v>
      </c>
      <c r="W62" s="10">
        <v>11</v>
      </c>
      <c r="X62" s="10">
        <v>5</v>
      </c>
      <c r="Y62" s="11">
        <v>0.42857142857142855</v>
      </c>
      <c r="Z62" s="11">
        <v>0.39285714285714285</v>
      </c>
      <c r="AA62" s="11">
        <v>0.17857142857142858</v>
      </c>
    </row>
    <row r="63" spans="1:27" x14ac:dyDescent="0.25">
      <c r="A63" s="8" t="s">
        <v>14</v>
      </c>
      <c r="B63" s="15">
        <v>2.6380119030137601E-2</v>
      </c>
      <c r="C63" s="15">
        <v>0.29567779960707269</v>
      </c>
      <c r="U63" s="37">
        <v>25908</v>
      </c>
      <c r="V63" s="10">
        <v>3</v>
      </c>
      <c r="W63" s="10">
        <v>0</v>
      </c>
      <c r="X63" s="10">
        <v>11</v>
      </c>
      <c r="Y63" s="11">
        <v>0.21428571428571427</v>
      </c>
      <c r="Z63" s="11">
        <v>0</v>
      </c>
      <c r="AA63" s="11">
        <v>0.7857142857142857</v>
      </c>
    </row>
    <row r="64" spans="1:27" x14ac:dyDescent="0.25">
      <c r="A64" s="8" t="s">
        <v>42</v>
      </c>
      <c r="B64" s="15">
        <v>2.7535359614805899E-2</v>
      </c>
      <c r="C64" s="15">
        <v>0.34426229508196721</v>
      </c>
      <c r="U64" s="37">
        <v>25915</v>
      </c>
      <c r="V64" s="10">
        <v>3</v>
      </c>
      <c r="W64" s="10">
        <v>7</v>
      </c>
      <c r="X64" s="10">
        <v>8</v>
      </c>
      <c r="Y64" s="11">
        <v>0.16666666666666666</v>
      </c>
      <c r="Z64" s="11">
        <v>0.3888888888888889</v>
      </c>
      <c r="AA64" s="11">
        <v>0.44444444444444442</v>
      </c>
    </row>
    <row r="65" spans="1:27" x14ac:dyDescent="0.25">
      <c r="A65" s="8" t="s">
        <v>41</v>
      </c>
      <c r="B65" s="15">
        <v>2.2188553834123454E-2</v>
      </c>
      <c r="C65" s="15">
        <v>0.32819383259911894</v>
      </c>
      <c r="U65" s="37">
        <v>25922</v>
      </c>
      <c r="V65" s="10">
        <v>12</v>
      </c>
      <c r="W65" s="10">
        <v>12</v>
      </c>
      <c r="X65" s="10">
        <v>12</v>
      </c>
      <c r="Y65" s="11">
        <v>0.33333333333333331</v>
      </c>
      <c r="Z65" s="11">
        <v>0.33333333333333331</v>
      </c>
      <c r="AA65" s="11">
        <v>0.33333333333333331</v>
      </c>
    </row>
    <row r="66" spans="1:27" x14ac:dyDescent="0.25">
      <c r="A66" s="8" t="s">
        <v>28</v>
      </c>
      <c r="B66" s="15">
        <v>2.1068859198355602E-2</v>
      </c>
      <c r="C66" s="15">
        <v>0.33003048780487804</v>
      </c>
      <c r="U66" s="37">
        <v>25927</v>
      </c>
      <c r="V66" s="10">
        <v>1</v>
      </c>
      <c r="W66" s="10">
        <v>3</v>
      </c>
      <c r="X66" s="10">
        <v>4</v>
      </c>
      <c r="Y66" s="11">
        <v>0.125</v>
      </c>
      <c r="Z66" s="11">
        <v>0.375</v>
      </c>
      <c r="AA66" s="11">
        <v>0.5</v>
      </c>
    </row>
    <row r="67" spans="1:27" x14ac:dyDescent="0.25">
      <c r="A67" s="8" t="s">
        <v>13</v>
      </c>
      <c r="B67" s="15">
        <v>2.6427735828990748E-2</v>
      </c>
      <c r="C67" s="15">
        <v>0.33601609657947684</v>
      </c>
      <c r="U67" s="37">
        <v>25929</v>
      </c>
      <c r="V67" s="10">
        <v>10</v>
      </c>
      <c r="W67" s="10">
        <v>7</v>
      </c>
      <c r="X67" s="10">
        <v>15</v>
      </c>
      <c r="Y67" s="11">
        <v>0.3125</v>
      </c>
      <c r="Z67" s="11">
        <v>0.21875</v>
      </c>
      <c r="AA67" s="11">
        <v>0.46875</v>
      </c>
    </row>
    <row r="68" spans="1:27" x14ac:dyDescent="0.25">
      <c r="A68" s="8" t="s">
        <v>29</v>
      </c>
      <c r="B68" s="15">
        <v>3.1020634261182661E-2</v>
      </c>
      <c r="C68" s="15">
        <v>0.38839285714285715</v>
      </c>
      <c r="U68" s="37">
        <v>25936</v>
      </c>
      <c r="V68" s="10">
        <v>0</v>
      </c>
      <c r="W68" s="10">
        <v>4</v>
      </c>
      <c r="X68" s="10">
        <v>2</v>
      </c>
      <c r="Y68" s="11">
        <v>0</v>
      </c>
      <c r="Z68" s="11">
        <v>0.66666666666666663</v>
      </c>
      <c r="AA68" s="11">
        <v>0.33333333333333331</v>
      </c>
    </row>
    <row r="69" spans="1:27" x14ac:dyDescent="0.25">
      <c r="A69" s="8" t="s">
        <v>18</v>
      </c>
      <c r="B69" s="15">
        <v>1.5626425075243974E-2</v>
      </c>
      <c r="C69" s="15">
        <v>0.26653696498054474</v>
      </c>
      <c r="U69" s="37">
        <v>25943</v>
      </c>
      <c r="V69" s="10">
        <v>6</v>
      </c>
      <c r="W69" s="10">
        <v>4</v>
      </c>
      <c r="X69" s="10">
        <v>22</v>
      </c>
      <c r="Y69" s="11">
        <v>0.1875</v>
      </c>
      <c r="Z69" s="11">
        <v>0.125</v>
      </c>
      <c r="AA69" s="11">
        <v>0.6875</v>
      </c>
    </row>
    <row r="70" spans="1:27" x14ac:dyDescent="0.25">
      <c r="A70" s="8" t="s">
        <v>40</v>
      </c>
      <c r="B70" s="15">
        <v>3.6423304432379872E-2</v>
      </c>
      <c r="C70" s="15">
        <v>0.34593993325917688</v>
      </c>
      <c r="U70" s="37">
        <v>25950</v>
      </c>
      <c r="V70" s="10">
        <v>7</v>
      </c>
      <c r="W70" s="10">
        <v>4</v>
      </c>
      <c r="X70" s="10">
        <v>4</v>
      </c>
      <c r="Y70" s="11">
        <v>0.46666666666666667</v>
      </c>
      <c r="Z70" s="11">
        <v>0.26666666666666666</v>
      </c>
      <c r="AA70" s="11">
        <v>0.26666666666666666</v>
      </c>
    </row>
    <row r="71" spans="1:27" x14ac:dyDescent="0.25">
      <c r="A71" s="8" t="s">
        <v>37</v>
      </c>
      <c r="B71" s="15">
        <v>3.2354447669455354E-2</v>
      </c>
      <c r="C71" s="15">
        <v>0.32058047493403696</v>
      </c>
      <c r="U71" s="37">
        <v>25971</v>
      </c>
      <c r="V71" s="10">
        <v>4</v>
      </c>
      <c r="W71" s="10">
        <v>2</v>
      </c>
      <c r="X71" s="10">
        <v>9</v>
      </c>
      <c r="Y71" s="11">
        <v>0.26666666666666666</v>
      </c>
      <c r="Z71" s="11">
        <v>0.13333333333333333</v>
      </c>
      <c r="AA71" s="11">
        <v>0.6</v>
      </c>
    </row>
    <row r="72" spans="1:27" x14ac:dyDescent="0.25">
      <c r="A72" s="8" t="s">
        <v>305</v>
      </c>
      <c r="B72" s="15">
        <v>3.3840717586300625E-2</v>
      </c>
      <c r="C72" s="15">
        <v>0.34672021419009369</v>
      </c>
      <c r="U72" s="37">
        <v>26027</v>
      </c>
      <c r="V72" s="10">
        <v>3</v>
      </c>
      <c r="W72" s="10">
        <v>2</v>
      </c>
      <c r="X72" s="10">
        <v>6</v>
      </c>
      <c r="Y72" s="11">
        <v>0.27272727272727271</v>
      </c>
      <c r="Z72" s="11">
        <v>0.18181818181818182</v>
      </c>
      <c r="AA72" s="11">
        <v>0.54545454545454541</v>
      </c>
    </row>
    <row r="73" spans="1:27" x14ac:dyDescent="0.25">
      <c r="A73" s="8" t="s">
        <v>39</v>
      </c>
      <c r="B73" s="15">
        <v>1.9318522466109316E-2</v>
      </c>
      <c r="C73" s="15">
        <v>0.33965517241379312</v>
      </c>
      <c r="U73" s="37">
        <v>26055</v>
      </c>
      <c r="V73" s="10">
        <v>3</v>
      </c>
      <c r="W73" s="10">
        <v>1</v>
      </c>
      <c r="X73" s="10">
        <v>13</v>
      </c>
      <c r="Y73" s="11">
        <v>0.17647058823529413</v>
      </c>
      <c r="Z73" s="11">
        <v>5.8823529411764705E-2</v>
      </c>
      <c r="AA73" s="11">
        <v>0.76470588235294112</v>
      </c>
    </row>
    <row r="74" spans="1:27" x14ac:dyDescent="0.25">
      <c r="A74" s="8" t="s">
        <v>30</v>
      </c>
      <c r="B74" s="15">
        <v>1.7233990449369414E-2</v>
      </c>
      <c r="C74" s="15">
        <v>0.38365896980461811</v>
      </c>
      <c r="U74" s="37">
        <v>26062</v>
      </c>
      <c r="V74" s="10">
        <v>13</v>
      </c>
      <c r="W74" s="10">
        <v>5</v>
      </c>
      <c r="X74" s="10">
        <v>2</v>
      </c>
      <c r="Y74" s="11">
        <v>0.65</v>
      </c>
      <c r="Z74" s="11">
        <v>0.25</v>
      </c>
      <c r="AA74" s="11">
        <v>0.1</v>
      </c>
    </row>
    <row r="75" spans="1:27" x14ac:dyDescent="0.25">
      <c r="A75" s="8" t="s">
        <v>19</v>
      </c>
      <c r="B75" s="15">
        <v>2.442576289137486E-2</v>
      </c>
      <c r="C75" s="15">
        <v>0.33062330623306235</v>
      </c>
      <c r="U75" s="37">
        <v>26069</v>
      </c>
      <c r="V75" s="10">
        <v>4</v>
      </c>
      <c r="W75" s="10">
        <v>2</v>
      </c>
      <c r="X75" s="10">
        <v>4</v>
      </c>
      <c r="Y75" s="11">
        <v>0.4</v>
      </c>
      <c r="Z75" s="11">
        <v>0.2</v>
      </c>
      <c r="AA75" s="11">
        <v>0.4</v>
      </c>
    </row>
    <row r="76" spans="1:27" x14ac:dyDescent="0.25">
      <c r="A76" s="8" t="s">
        <v>24</v>
      </c>
      <c r="B76" s="15">
        <v>3.2304467551683036E-2</v>
      </c>
      <c r="C76" s="15">
        <v>0.28880407124681934</v>
      </c>
      <c r="U76" s="37">
        <v>26076</v>
      </c>
      <c r="V76" s="10">
        <v>2</v>
      </c>
      <c r="W76" s="10">
        <v>0</v>
      </c>
      <c r="X76" s="10">
        <v>3</v>
      </c>
      <c r="Y76" s="11">
        <v>0.4</v>
      </c>
      <c r="Z76" s="11">
        <v>0</v>
      </c>
      <c r="AA76" s="11">
        <v>0.6</v>
      </c>
    </row>
    <row r="77" spans="1:27" x14ac:dyDescent="0.25">
      <c r="A77" s="8" t="s">
        <v>22</v>
      </c>
      <c r="B77" s="15">
        <v>2.1841588479162122E-2</v>
      </c>
      <c r="C77" s="15">
        <v>0.33666333666333664</v>
      </c>
      <c r="U77" s="37">
        <v>26083</v>
      </c>
      <c r="V77" s="10">
        <v>9</v>
      </c>
      <c r="W77" s="10">
        <v>13</v>
      </c>
      <c r="X77" s="10">
        <v>17</v>
      </c>
      <c r="Y77" s="11">
        <v>0.23076923076923078</v>
      </c>
      <c r="Z77" s="11">
        <v>0.33333333333333331</v>
      </c>
      <c r="AA77" s="11">
        <v>0.4358974358974359</v>
      </c>
    </row>
    <row r="78" spans="1:27" x14ac:dyDescent="0.25">
      <c r="A78" s="8" t="s">
        <v>44</v>
      </c>
      <c r="B78" s="15">
        <v>2.0213604759515447E-2</v>
      </c>
      <c r="C78" s="15">
        <v>0.31205673758865249</v>
      </c>
      <c r="U78" s="37">
        <v>26090</v>
      </c>
      <c r="V78" s="10">
        <v>0</v>
      </c>
      <c r="W78" s="10">
        <v>6</v>
      </c>
      <c r="X78" s="10">
        <v>5</v>
      </c>
      <c r="Y78" s="11">
        <v>0</v>
      </c>
      <c r="Z78" s="11">
        <v>0.54545454545454541</v>
      </c>
      <c r="AA78" s="11">
        <v>0.45454545454545453</v>
      </c>
    </row>
    <row r="79" spans="1:27" x14ac:dyDescent="0.25">
      <c r="A79" s="8" t="s">
        <v>27</v>
      </c>
      <c r="B79" s="15">
        <v>2.2556390977443608E-2</v>
      </c>
      <c r="C79" s="15">
        <v>0.40857946554149088</v>
      </c>
      <c r="U79" s="37">
        <v>26097</v>
      </c>
      <c r="V79" s="10">
        <v>2</v>
      </c>
      <c r="W79" s="10">
        <v>4</v>
      </c>
      <c r="X79" s="10">
        <v>13</v>
      </c>
      <c r="Y79" s="11">
        <v>0.10526315789473684</v>
      </c>
      <c r="Z79" s="11">
        <v>0.21052631578947367</v>
      </c>
      <c r="AA79" s="11">
        <v>0.68421052631578949</v>
      </c>
    </row>
    <row r="80" spans="1:27" x14ac:dyDescent="0.25">
      <c r="A80" s="8" t="s">
        <v>35</v>
      </c>
      <c r="B80" s="15">
        <v>2.6466300325221487E-2</v>
      </c>
      <c r="C80" s="15">
        <v>0.35734463276836159</v>
      </c>
      <c r="U80" s="37">
        <v>26104</v>
      </c>
      <c r="V80" s="10">
        <v>9</v>
      </c>
      <c r="W80" s="10">
        <v>3</v>
      </c>
      <c r="X80" s="10">
        <v>5</v>
      </c>
      <c r="Y80" s="11">
        <v>0.52941176470588236</v>
      </c>
      <c r="Z80" s="11">
        <v>0.17647058823529413</v>
      </c>
      <c r="AA80" s="11">
        <v>0.29411764705882354</v>
      </c>
    </row>
    <row r="81" spans="1:27" x14ac:dyDescent="0.25">
      <c r="A81" s="8" t="s">
        <v>20</v>
      </c>
      <c r="B81" s="15">
        <v>2.1158565806479721E-2</v>
      </c>
      <c r="C81" s="15">
        <v>0.3582704186684969</v>
      </c>
      <c r="U81" s="37">
        <v>26111</v>
      </c>
      <c r="V81" s="10">
        <v>1</v>
      </c>
      <c r="W81" s="10">
        <v>3</v>
      </c>
      <c r="X81" s="10">
        <v>6</v>
      </c>
      <c r="Y81" s="11">
        <v>0.1</v>
      </c>
      <c r="Z81" s="11">
        <v>0.3</v>
      </c>
      <c r="AA81" s="11">
        <v>0.6</v>
      </c>
    </row>
    <row r="82" spans="1:27" x14ac:dyDescent="0.25">
      <c r="A82" s="8" t="s">
        <v>26</v>
      </c>
      <c r="B82" s="15">
        <v>2.9573028464769016E-2</v>
      </c>
      <c r="C82" s="15">
        <v>0.36883629191321499</v>
      </c>
      <c r="U82" s="37">
        <v>26118</v>
      </c>
      <c r="V82" s="10">
        <v>6</v>
      </c>
      <c r="W82" s="10">
        <v>1</v>
      </c>
      <c r="X82" s="10">
        <v>10</v>
      </c>
      <c r="Y82" s="11">
        <v>0.35294117647058826</v>
      </c>
      <c r="Z82" s="11">
        <v>5.8823529411764705E-2</v>
      </c>
      <c r="AA82" s="11">
        <v>0.58823529411764708</v>
      </c>
    </row>
    <row r="83" spans="1:27" x14ac:dyDescent="0.25">
      <c r="U83" s="37">
        <v>26125</v>
      </c>
      <c r="V83" s="10">
        <v>15</v>
      </c>
      <c r="W83" s="10">
        <v>9</v>
      </c>
      <c r="X83" s="10">
        <v>21</v>
      </c>
      <c r="Y83" s="11">
        <v>0.33333333333333331</v>
      </c>
      <c r="Z83" s="11">
        <v>0.2</v>
      </c>
      <c r="AA83" s="11">
        <v>0.46666666666666667</v>
      </c>
    </row>
    <row r="84" spans="1:27" ht="18.75" x14ac:dyDescent="0.3">
      <c r="A84" s="5"/>
      <c r="B84" s="6" t="s">
        <v>443</v>
      </c>
      <c r="C84" s="6"/>
      <c r="D84" s="6"/>
      <c r="E84" s="6"/>
      <c r="F84" s="5"/>
      <c r="G84" s="5"/>
      <c r="H84" s="5"/>
      <c r="I84" s="5"/>
      <c r="J84" s="5"/>
      <c r="K84" s="5"/>
      <c r="L84" s="5"/>
      <c r="M84" s="5"/>
      <c r="N84" s="5"/>
      <c r="O84" s="5"/>
      <c r="U84" s="37">
        <v>26132</v>
      </c>
      <c r="V84" s="10">
        <v>13</v>
      </c>
      <c r="W84" s="10">
        <v>16</v>
      </c>
      <c r="X84" s="10">
        <v>10</v>
      </c>
      <c r="Y84" s="11">
        <v>0.33333333333333331</v>
      </c>
      <c r="Z84" s="11">
        <v>0.41025641025641024</v>
      </c>
      <c r="AA84" s="11">
        <v>0.25641025641025639</v>
      </c>
    </row>
    <row r="85" spans="1:27" x14ac:dyDescent="0.25">
      <c r="A85" s="27" t="s">
        <v>444</v>
      </c>
      <c r="U85" s="37">
        <v>26139</v>
      </c>
      <c r="V85" s="10">
        <v>5</v>
      </c>
      <c r="W85" s="10">
        <v>3</v>
      </c>
      <c r="X85" s="10">
        <v>1</v>
      </c>
      <c r="Y85" s="11">
        <v>0.55555555555555558</v>
      </c>
      <c r="Z85" s="11">
        <v>0.33333333333333331</v>
      </c>
      <c r="AA85" s="11">
        <v>0.1111111111111111</v>
      </c>
    </row>
    <row r="86" spans="1:27" x14ac:dyDescent="0.25">
      <c r="A86" s="27" t="s">
        <v>445</v>
      </c>
      <c r="U86" s="37">
        <v>26146</v>
      </c>
      <c r="V86" s="10">
        <v>3</v>
      </c>
      <c r="W86" s="10">
        <v>2</v>
      </c>
      <c r="X86" s="10">
        <v>3</v>
      </c>
      <c r="Y86" s="11">
        <v>0.375</v>
      </c>
      <c r="Z86" s="11">
        <v>0.25</v>
      </c>
      <c r="AA86" s="11">
        <v>0.375</v>
      </c>
    </row>
    <row r="87" spans="1:27" x14ac:dyDescent="0.25">
      <c r="A87" s="27" t="s">
        <v>429</v>
      </c>
      <c r="U87" s="37">
        <v>26153</v>
      </c>
      <c r="V87" s="10">
        <v>1</v>
      </c>
      <c r="W87" s="10">
        <v>2</v>
      </c>
      <c r="X87" s="10">
        <v>6</v>
      </c>
      <c r="Y87" s="11">
        <v>0.1111111111111111</v>
      </c>
      <c r="Z87" s="11">
        <v>0.22222222222222221</v>
      </c>
      <c r="AA87" s="11">
        <v>0.66666666666666663</v>
      </c>
    </row>
    <row r="88" spans="1:27" x14ac:dyDescent="0.25">
      <c r="B88" s="99" t="s">
        <v>2</v>
      </c>
      <c r="C88" s="99"/>
      <c r="D88" s="99"/>
      <c r="E88" s="99" t="s">
        <v>8</v>
      </c>
      <c r="F88" s="99"/>
      <c r="G88" s="99"/>
      <c r="U88" s="37">
        <v>26167</v>
      </c>
      <c r="V88" s="10">
        <v>10</v>
      </c>
      <c r="W88" s="10">
        <v>14</v>
      </c>
      <c r="X88" s="10">
        <v>11</v>
      </c>
      <c r="Y88" s="11">
        <v>0.2857142857142857</v>
      </c>
      <c r="Z88" s="11">
        <v>0.4</v>
      </c>
      <c r="AA88" s="11">
        <v>0.31428571428571428</v>
      </c>
    </row>
    <row r="89" spans="1:27" ht="29.25" x14ac:dyDescent="0.25">
      <c r="B89" s="14" t="s">
        <v>87</v>
      </c>
      <c r="C89" s="14" t="s">
        <v>359</v>
      </c>
      <c r="D89" s="83" t="s">
        <v>435</v>
      </c>
      <c r="E89" s="83" t="s">
        <v>87</v>
      </c>
      <c r="F89" s="83" t="s">
        <v>359</v>
      </c>
      <c r="G89" s="83" t="s">
        <v>435</v>
      </c>
      <c r="U89" s="37">
        <v>26174</v>
      </c>
      <c r="V89" s="10">
        <v>5</v>
      </c>
      <c r="W89" s="10">
        <v>1</v>
      </c>
      <c r="X89" s="10">
        <v>8</v>
      </c>
      <c r="Y89" s="11">
        <v>0.35714285714285715</v>
      </c>
      <c r="Z89" s="11">
        <v>7.1428571428571425E-2</v>
      </c>
      <c r="AA89" s="11">
        <v>0.5714285714285714</v>
      </c>
    </row>
    <row r="90" spans="1:27" x14ac:dyDescent="0.25">
      <c r="A90" s="8" t="s">
        <v>297</v>
      </c>
      <c r="B90" s="11">
        <v>0.365296121436682</v>
      </c>
      <c r="C90" s="11">
        <v>0.21102013984342319</v>
      </c>
      <c r="D90" s="11">
        <v>0.42368373871989484</v>
      </c>
      <c r="E90" s="11">
        <v>0.51229171555972774</v>
      </c>
      <c r="F90" s="11">
        <v>0.22245364937808026</v>
      </c>
      <c r="G90" s="11">
        <v>0.26525463506219199</v>
      </c>
      <c r="U90" s="37">
        <v>26181</v>
      </c>
      <c r="V90" s="10">
        <v>7</v>
      </c>
      <c r="W90" s="10">
        <v>4</v>
      </c>
      <c r="X90" s="10">
        <v>15</v>
      </c>
      <c r="Y90" s="11">
        <v>0.26923076923076922</v>
      </c>
      <c r="Z90" s="11">
        <v>0.15384615384615385</v>
      </c>
      <c r="AA90" s="11">
        <v>0.57692307692307687</v>
      </c>
    </row>
    <row r="91" spans="1:27" x14ac:dyDescent="0.25">
      <c r="A91" s="8" t="s">
        <v>323</v>
      </c>
      <c r="B91" s="11">
        <v>0.37927356757717606</v>
      </c>
      <c r="C91" s="11">
        <v>0.22012205960775019</v>
      </c>
      <c r="D91" s="11">
        <v>0.40060437281507377</v>
      </c>
      <c r="E91" s="11">
        <v>0.53914191419141899</v>
      </c>
      <c r="F91" s="11">
        <v>0.20323432343234324</v>
      </c>
      <c r="G91" s="11">
        <v>0.25762376237623763</v>
      </c>
      <c r="U91" s="37">
        <v>26188</v>
      </c>
      <c r="V91" s="10">
        <v>4</v>
      </c>
      <c r="W91" s="10">
        <v>4</v>
      </c>
      <c r="X91" s="10">
        <v>9</v>
      </c>
      <c r="Y91" s="11">
        <v>0.23529411764705882</v>
      </c>
      <c r="Z91" s="11">
        <v>0.23529411764705882</v>
      </c>
      <c r="AA91" s="11">
        <v>0.52941176470588236</v>
      </c>
    </row>
    <row r="92" spans="1:27" x14ac:dyDescent="0.25">
      <c r="A92" s="8" t="s">
        <v>358</v>
      </c>
      <c r="B92" s="11">
        <v>0.35107601422629453</v>
      </c>
      <c r="C92" s="11">
        <v>0.20176020254385435</v>
      </c>
      <c r="D92" s="11">
        <v>0.44716378322985112</v>
      </c>
      <c r="E92" s="11">
        <v>0.49081212377230965</v>
      </c>
      <c r="F92" s="11">
        <v>0.23782870419262858</v>
      </c>
      <c r="G92" s="11">
        <v>0.27135917203506177</v>
      </c>
      <c r="U92" s="37">
        <v>26195</v>
      </c>
      <c r="V92" s="10">
        <v>10</v>
      </c>
      <c r="W92" s="10">
        <v>3</v>
      </c>
      <c r="X92" s="10">
        <v>0</v>
      </c>
      <c r="Y92" s="11">
        <v>0.76923076923076927</v>
      </c>
      <c r="Z92" s="11">
        <v>0.23076923076923078</v>
      </c>
      <c r="AA92" s="11">
        <v>0</v>
      </c>
    </row>
    <row r="93" spans="1:27" x14ac:dyDescent="0.25">
      <c r="A93" s="8" t="s">
        <v>14</v>
      </c>
      <c r="B93" s="11">
        <v>0.35111464968152867</v>
      </c>
      <c r="C93" s="11">
        <v>0.20222929936305734</v>
      </c>
      <c r="D93" s="11">
        <v>0.446656050955414</v>
      </c>
      <c r="E93" s="11">
        <v>0.51652892561983499</v>
      </c>
      <c r="F93" s="11">
        <v>0.20936639118457301</v>
      </c>
      <c r="G93" s="11">
        <v>0.27410468319559228</v>
      </c>
      <c r="U93" s="37">
        <v>26202</v>
      </c>
      <c r="V93" s="10">
        <v>10</v>
      </c>
      <c r="W93" s="10">
        <v>1</v>
      </c>
      <c r="X93" s="10">
        <v>6</v>
      </c>
      <c r="Y93" s="11">
        <v>0.58823529411764708</v>
      </c>
      <c r="Z93" s="11">
        <v>5.8823529411764705E-2</v>
      </c>
      <c r="AA93" s="11">
        <v>0.35294117647058826</v>
      </c>
    </row>
    <row r="94" spans="1:27" x14ac:dyDescent="0.25">
      <c r="A94" s="8" t="s">
        <v>12</v>
      </c>
      <c r="B94" s="11">
        <v>0.46689303904923601</v>
      </c>
      <c r="C94" s="11">
        <v>0.17487266553480477</v>
      </c>
      <c r="D94" s="11">
        <v>0.35823429541595925</v>
      </c>
      <c r="E94" s="11">
        <v>0.44791666666666669</v>
      </c>
      <c r="F94" s="11">
        <v>0.22569444444444445</v>
      </c>
      <c r="G94" s="11">
        <v>0.3263888888888889</v>
      </c>
      <c r="U94" s="37">
        <v>26209</v>
      </c>
      <c r="V94" s="10">
        <v>9</v>
      </c>
      <c r="W94" s="10">
        <v>8</v>
      </c>
      <c r="X94" s="10">
        <v>10</v>
      </c>
      <c r="Y94" s="11">
        <v>0.33333333333333331</v>
      </c>
      <c r="Z94" s="11">
        <v>0.29629629629629628</v>
      </c>
      <c r="AA94" s="11">
        <v>0.37037037037037035</v>
      </c>
    </row>
    <row r="95" spans="1:27" x14ac:dyDescent="0.25">
      <c r="A95" s="8" t="s">
        <v>13</v>
      </c>
      <c r="B95" s="11">
        <v>0.35272727272727272</v>
      </c>
      <c r="C95" s="11">
        <v>0.22181818181818183</v>
      </c>
      <c r="D95" s="11">
        <v>0.42545454545454547</v>
      </c>
      <c r="E95" s="11">
        <v>0.61538461538461542</v>
      </c>
      <c r="F95" s="11">
        <v>0.17132867132867133</v>
      </c>
      <c r="G95" s="11">
        <v>0.21328671328671328</v>
      </c>
      <c r="U95" s="37">
        <v>26216</v>
      </c>
      <c r="V95" s="10">
        <v>1</v>
      </c>
      <c r="W95" s="10">
        <v>2</v>
      </c>
      <c r="X95" s="10">
        <v>1</v>
      </c>
      <c r="Y95" s="11">
        <v>0.25</v>
      </c>
      <c r="Z95" s="11">
        <v>0.5</v>
      </c>
      <c r="AA95" s="11">
        <v>0.25</v>
      </c>
    </row>
    <row r="96" spans="1:27" x14ac:dyDescent="0.25">
      <c r="A96" s="8" t="s">
        <v>15</v>
      </c>
      <c r="B96" s="11">
        <v>0.28424657534246578</v>
      </c>
      <c r="C96" s="11">
        <v>0.1952054794520548</v>
      </c>
      <c r="D96" s="11">
        <v>0.52054794520547942</v>
      </c>
      <c r="E96" s="11">
        <v>0.58359133126934981</v>
      </c>
      <c r="F96" s="11">
        <v>0.19659442724458204</v>
      </c>
      <c r="G96" s="11">
        <v>0.21981424148606812</v>
      </c>
      <c r="U96" s="37">
        <v>26223</v>
      </c>
      <c r="V96" s="10">
        <v>9</v>
      </c>
      <c r="W96" s="10">
        <v>8</v>
      </c>
      <c r="X96" s="10">
        <v>20</v>
      </c>
      <c r="Y96" s="11">
        <v>0.24324324324324326</v>
      </c>
      <c r="Z96" s="11">
        <v>0.21621621621621623</v>
      </c>
      <c r="AA96" s="11">
        <v>0.54054054054054057</v>
      </c>
    </row>
    <row r="97" spans="1:27" x14ac:dyDescent="0.25">
      <c r="A97" s="8" t="s">
        <v>16</v>
      </c>
      <c r="B97" s="11">
        <v>0.31449631449631449</v>
      </c>
      <c r="C97" s="11">
        <v>0.20884520884520885</v>
      </c>
      <c r="D97" s="11">
        <v>0.47665847665847666</v>
      </c>
      <c r="E97" s="11">
        <v>0.36363636363636365</v>
      </c>
      <c r="F97" s="11">
        <v>0.23484848484848486</v>
      </c>
      <c r="G97" s="11">
        <v>0.40151515151515149</v>
      </c>
      <c r="U97" s="37">
        <v>26230</v>
      </c>
      <c r="V97" s="10">
        <v>0</v>
      </c>
      <c r="W97" s="10">
        <v>3</v>
      </c>
      <c r="X97" s="10">
        <v>2</v>
      </c>
      <c r="Y97" s="11">
        <v>0</v>
      </c>
      <c r="Z97" s="11">
        <v>0.6</v>
      </c>
      <c r="AA97" s="11">
        <v>0.4</v>
      </c>
    </row>
    <row r="98" spans="1:27" x14ac:dyDescent="0.25">
      <c r="A98" s="8" t="s">
        <v>17</v>
      </c>
      <c r="B98" s="11">
        <v>0.40540540540540543</v>
      </c>
      <c r="C98" s="11">
        <v>0.22822822822822822</v>
      </c>
      <c r="D98" s="11">
        <v>0.36636636636636638</v>
      </c>
      <c r="E98" s="11">
        <v>0.42307692307692307</v>
      </c>
      <c r="F98" s="11">
        <v>0.20512820512820512</v>
      </c>
      <c r="G98" s="11">
        <v>0.37179487179487181</v>
      </c>
      <c r="U98" s="37">
        <v>26237</v>
      </c>
      <c r="V98" s="10">
        <v>13</v>
      </c>
      <c r="W98" s="10">
        <v>8</v>
      </c>
      <c r="X98" s="10">
        <v>9</v>
      </c>
      <c r="Y98" s="11">
        <v>0.43333333333333335</v>
      </c>
      <c r="Z98" s="11">
        <v>0.26666666666666666</v>
      </c>
      <c r="AA98" s="11">
        <v>0.3</v>
      </c>
    </row>
    <row r="99" spans="1:27" x14ac:dyDescent="0.25">
      <c r="A99" s="8" t="s">
        <v>18</v>
      </c>
      <c r="B99" s="11">
        <v>0.30859375</v>
      </c>
      <c r="C99" s="11">
        <v>0.265625</v>
      </c>
      <c r="D99" s="11">
        <v>0.42578125</v>
      </c>
      <c r="E99" s="11">
        <v>0.5331412103746398</v>
      </c>
      <c r="F99" s="11">
        <v>0.18155619596541786</v>
      </c>
      <c r="G99" s="11">
        <v>0.28530259365994237</v>
      </c>
      <c r="U99" s="37">
        <v>26244</v>
      </c>
      <c r="V99" s="10">
        <v>5</v>
      </c>
      <c r="W99" s="10">
        <v>3</v>
      </c>
      <c r="X99" s="10">
        <v>6</v>
      </c>
      <c r="Y99" s="11">
        <v>0.35714285714285715</v>
      </c>
      <c r="Z99" s="11">
        <v>0.21428571428571427</v>
      </c>
      <c r="AA99" s="11">
        <v>0.42857142857142855</v>
      </c>
    </row>
    <row r="100" spans="1:27" x14ac:dyDescent="0.25">
      <c r="A100" s="8" t="s">
        <v>19</v>
      </c>
      <c r="B100" s="11">
        <v>0.44489795918367347</v>
      </c>
      <c r="C100" s="11">
        <v>0.18367346938775511</v>
      </c>
      <c r="D100" s="11">
        <v>0.37142857142857144</v>
      </c>
      <c r="E100" s="11">
        <v>0.5492700729927007</v>
      </c>
      <c r="F100" s="11">
        <v>0.18795620437956204</v>
      </c>
      <c r="G100" s="11">
        <v>0.26277372262773724</v>
      </c>
      <c r="U100" s="37">
        <v>26251</v>
      </c>
      <c r="V100" s="10">
        <v>12</v>
      </c>
      <c r="W100" s="10">
        <v>10</v>
      </c>
      <c r="X100" s="10">
        <v>11</v>
      </c>
      <c r="Y100" s="11">
        <v>0.36363636363636365</v>
      </c>
      <c r="Z100" s="11">
        <v>0.30303030303030304</v>
      </c>
      <c r="AA100" s="11">
        <v>0.33333333333333331</v>
      </c>
    </row>
    <row r="101" spans="1:27" x14ac:dyDescent="0.25">
      <c r="A101" s="8" t="s">
        <v>21</v>
      </c>
      <c r="B101" s="11">
        <v>0.38424124513618679</v>
      </c>
      <c r="C101" s="11">
        <v>0.2188715953307393</v>
      </c>
      <c r="D101" s="11">
        <v>0.39688715953307391</v>
      </c>
      <c r="E101" s="11">
        <v>0.50760456273764254</v>
      </c>
      <c r="F101" s="11">
        <v>0.19201520912547529</v>
      </c>
      <c r="G101" s="11">
        <v>0.30038022813688214</v>
      </c>
      <c r="U101" s="37">
        <v>26258</v>
      </c>
      <c r="V101" s="10">
        <v>10</v>
      </c>
      <c r="W101" s="10">
        <v>8</v>
      </c>
      <c r="X101" s="10">
        <v>7</v>
      </c>
      <c r="Y101" s="11">
        <v>0.4</v>
      </c>
      <c r="Z101" s="11">
        <v>0.32</v>
      </c>
      <c r="AA101" s="11">
        <v>0.28000000000000003</v>
      </c>
    </row>
    <row r="102" spans="1:27" x14ac:dyDescent="0.25">
      <c r="A102" s="8" t="s">
        <v>20</v>
      </c>
      <c r="B102" s="11">
        <v>0.40483701366982122</v>
      </c>
      <c r="C102" s="11">
        <v>0.26393270241850686</v>
      </c>
      <c r="D102" s="11">
        <v>0.33123028391167192</v>
      </c>
      <c r="E102" s="11">
        <v>0.53488372093023251</v>
      </c>
      <c r="F102" s="11">
        <v>0.22093023255813954</v>
      </c>
      <c r="G102" s="11">
        <v>0.2441860465116279</v>
      </c>
      <c r="U102" s="37">
        <v>26265</v>
      </c>
      <c r="V102" s="10">
        <v>6</v>
      </c>
      <c r="W102" s="10">
        <v>13</v>
      </c>
      <c r="X102" s="10">
        <v>22</v>
      </c>
      <c r="Y102" s="11">
        <v>0.14634146341463414</v>
      </c>
      <c r="Z102" s="11">
        <v>0.31707317073170732</v>
      </c>
      <c r="AA102" s="11">
        <v>0.53658536585365857</v>
      </c>
    </row>
    <row r="103" spans="1:27" x14ac:dyDescent="0.25">
      <c r="A103" s="8" t="s">
        <v>23</v>
      </c>
      <c r="B103" s="11">
        <v>0.37359098228663445</v>
      </c>
      <c r="C103" s="11">
        <v>0.28180354267310787</v>
      </c>
      <c r="D103" s="11">
        <v>0.34460547504025762</v>
      </c>
      <c r="E103" s="11">
        <v>0.55223880597014929</v>
      </c>
      <c r="F103" s="11">
        <v>0.18407960199004975</v>
      </c>
      <c r="G103" s="11">
        <v>0.26368159203980102</v>
      </c>
      <c r="U103" s="37">
        <v>26272</v>
      </c>
      <c r="V103" s="10">
        <v>7</v>
      </c>
      <c r="W103" s="10">
        <v>4</v>
      </c>
      <c r="X103" s="10">
        <v>10</v>
      </c>
      <c r="Y103" s="11">
        <v>0.33333333333333331</v>
      </c>
      <c r="Z103" s="11">
        <v>0.19047619047619047</v>
      </c>
      <c r="AA103" s="11">
        <v>0.47619047619047616</v>
      </c>
    </row>
    <row r="104" spans="1:27" x14ac:dyDescent="0.25">
      <c r="A104" s="8" t="s">
        <v>22</v>
      </c>
      <c r="B104" s="11">
        <v>0.43458980044345896</v>
      </c>
      <c r="C104" s="11">
        <v>0.25055432372505543</v>
      </c>
      <c r="D104" s="11">
        <v>0.31485587583148561</v>
      </c>
      <c r="E104" s="11">
        <v>0.45435684647302904</v>
      </c>
      <c r="F104" s="11">
        <v>0.27385892116182575</v>
      </c>
      <c r="G104" s="11">
        <v>0.27178423236514521</v>
      </c>
      <c r="U104" s="37">
        <v>26279</v>
      </c>
      <c r="V104" s="10">
        <v>16</v>
      </c>
      <c r="W104" s="10">
        <v>5</v>
      </c>
      <c r="X104" s="10">
        <v>13</v>
      </c>
      <c r="Y104" s="11">
        <v>0.47058823529411764</v>
      </c>
      <c r="Z104" s="11">
        <v>0.14705882352941177</v>
      </c>
      <c r="AA104" s="11">
        <v>0.38235294117647056</v>
      </c>
    </row>
    <row r="105" spans="1:27" x14ac:dyDescent="0.25">
      <c r="A105" s="8" t="s">
        <v>24</v>
      </c>
      <c r="B105" s="11">
        <v>0.33839479392624727</v>
      </c>
      <c r="C105" s="11">
        <v>0.29067245119305857</v>
      </c>
      <c r="D105" s="11">
        <v>0.37093275488069416</v>
      </c>
      <c r="E105" s="11">
        <v>0.6384364820846905</v>
      </c>
      <c r="F105" s="11">
        <v>0.19218241042345277</v>
      </c>
      <c r="G105" s="11">
        <v>0.16938110749185667</v>
      </c>
      <c r="U105" s="37">
        <v>26286</v>
      </c>
      <c r="V105" s="10">
        <v>7</v>
      </c>
      <c r="W105" s="10">
        <v>7</v>
      </c>
      <c r="X105" s="10">
        <v>13</v>
      </c>
      <c r="Y105" s="11">
        <v>0.25925925925925924</v>
      </c>
      <c r="Z105" s="11">
        <v>0.25925925925925924</v>
      </c>
      <c r="AA105" s="11">
        <v>0.48148148148148145</v>
      </c>
    </row>
    <row r="106" spans="1:27" x14ac:dyDescent="0.25">
      <c r="A106" s="8" t="s">
        <v>25</v>
      </c>
      <c r="B106" s="11">
        <v>0.25173210161662818</v>
      </c>
      <c r="C106" s="11">
        <v>0.19861431870669746</v>
      </c>
      <c r="D106" s="11">
        <v>0.54965357967667439</v>
      </c>
      <c r="E106" s="11">
        <v>0.34782608695652173</v>
      </c>
      <c r="F106" s="11">
        <v>0.23478260869565218</v>
      </c>
      <c r="G106" s="11">
        <v>0.41739130434782606</v>
      </c>
      <c r="U106" s="37">
        <v>26292</v>
      </c>
      <c r="V106" s="10">
        <v>14</v>
      </c>
      <c r="W106" s="10">
        <v>12</v>
      </c>
      <c r="X106" s="10">
        <v>12</v>
      </c>
      <c r="Y106" s="11">
        <v>0.36842105263157893</v>
      </c>
      <c r="Z106" s="11">
        <v>0.31578947368421051</v>
      </c>
      <c r="AA106" s="11">
        <v>0.31578947368421051</v>
      </c>
    </row>
    <row r="107" spans="1:27" x14ac:dyDescent="0.25">
      <c r="A107" s="8" t="s">
        <v>27</v>
      </c>
      <c r="B107" s="11">
        <v>0.46554770318021199</v>
      </c>
      <c r="C107" s="11">
        <v>0.23586572438162545</v>
      </c>
      <c r="D107" s="11">
        <v>0.29858657243816256</v>
      </c>
      <c r="E107" s="11">
        <v>0.57082452431289643</v>
      </c>
      <c r="F107" s="11">
        <v>0.22832980972515857</v>
      </c>
      <c r="G107" s="11">
        <v>0.20084566596194503</v>
      </c>
      <c r="U107" s="37">
        <v>26300</v>
      </c>
      <c r="V107" s="10">
        <v>6</v>
      </c>
      <c r="W107" s="10">
        <v>1</v>
      </c>
      <c r="X107" s="10">
        <v>8</v>
      </c>
      <c r="Y107" s="11">
        <v>0.4</v>
      </c>
      <c r="Z107" s="11">
        <v>6.6666666666666666E-2</v>
      </c>
      <c r="AA107" s="11">
        <v>0.53333333333333333</v>
      </c>
    </row>
    <row r="108" spans="1:27" x14ac:dyDescent="0.25">
      <c r="A108" s="8" t="s">
        <v>26</v>
      </c>
      <c r="B108" s="11">
        <v>0.3418181818181818</v>
      </c>
      <c r="C108" s="11">
        <v>0.29454545454545455</v>
      </c>
      <c r="D108" s="11">
        <v>0.36363636363636365</v>
      </c>
      <c r="E108" s="11">
        <v>0.63456090651558072</v>
      </c>
      <c r="F108" s="11">
        <v>0.19546742209631729</v>
      </c>
      <c r="G108" s="11">
        <v>0.16997167138810199</v>
      </c>
      <c r="U108" s="37">
        <v>26307</v>
      </c>
      <c r="V108" s="10">
        <v>2</v>
      </c>
      <c r="W108" s="10">
        <v>1</v>
      </c>
      <c r="X108" s="10">
        <v>11</v>
      </c>
      <c r="Y108" s="11">
        <v>0.14285714285714285</v>
      </c>
      <c r="Z108" s="11">
        <v>7.1428571428571425E-2</v>
      </c>
      <c r="AA108" s="11">
        <v>0.7857142857142857</v>
      </c>
    </row>
    <row r="109" spans="1:27" x14ac:dyDescent="0.25">
      <c r="A109" s="8" t="s">
        <v>28</v>
      </c>
      <c r="B109" s="11">
        <v>0.33294663573085848</v>
      </c>
      <c r="C109" s="11">
        <v>0.20649651972157773</v>
      </c>
      <c r="D109" s="11">
        <v>0.46055684454756379</v>
      </c>
      <c r="E109" s="11">
        <v>0.59044368600682595</v>
      </c>
      <c r="F109" s="11">
        <v>0.20477815699658702</v>
      </c>
      <c r="G109" s="11">
        <v>0.20477815699658702</v>
      </c>
      <c r="U109" s="37">
        <v>26314</v>
      </c>
      <c r="V109" s="10">
        <v>8</v>
      </c>
      <c r="W109" s="10">
        <v>9</v>
      </c>
      <c r="X109" s="10">
        <v>22</v>
      </c>
      <c r="Y109" s="11">
        <v>0.20512820512820512</v>
      </c>
      <c r="Z109" s="11">
        <v>0.23076923076923078</v>
      </c>
      <c r="AA109" s="11">
        <v>0.5641025641025641</v>
      </c>
    </row>
    <row r="110" spans="1:27" x14ac:dyDescent="0.25">
      <c r="A110" s="8" t="s">
        <v>31</v>
      </c>
      <c r="B110" s="11">
        <v>0.23568281938325991</v>
      </c>
      <c r="C110" s="11">
        <v>0.1894273127753304</v>
      </c>
      <c r="D110" s="11">
        <v>0.57488986784140972</v>
      </c>
      <c r="E110" s="11">
        <v>0.52351097178683381</v>
      </c>
      <c r="F110" s="11">
        <v>0.17241379310344829</v>
      </c>
      <c r="G110" s="11">
        <v>0.30407523510971785</v>
      </c>
      <c r="U110" s="37">
        <v>26321</v>
      </c>
      <c r="V110" s="10">
        <v>9</v>
      </c>
      <c r="W110" s="10">
        <v>7</v>
      </c>
      <c r="X110" s="10">
        <v>8</v>
      </c>
      <c r="Y110" s="11">
        <v>0.375</v>
      </c>
      <c r="Z110" s="11">
        <v>0.29166666666666669</v>
      </c>
      <c r="AA110" s="11">
        <v>0.33333333333333331</v>
      </c>
    </row>
    <row r="111" spans="1:27" x14ac:dyDescent="0.25">
      <c r="A111" s="8" t="s">
        <v>30</v>
      </c>
      <c r="B111" s="11">
        <v>0.39386189258312021</v>
      </c>
      <c r="C111" s="11">
        <v>0.16879795396419436</v>
      </c>
      <c r="D111" s="11">
        <v>0.4373401534526854</v>
      </c>
      <c r="E111" s="11">
        <v>0.5300546448087432</v>
      </c>
      <c r="F111" s="11">
        <v>0.16939890710382513</v>
      </c>
      <c r="G111" s="11">
        <v>0.30054644808743169</v>
      </c>
      <c r="U111" s="37">
        <v>26328</v>
      </c>
      <c r="V111" s="10">
        <v>9</v>
      </c>
      <c r="W111" s="10">
        <v>7</v>
      </c>
      <c r="X111" s="10">
        <v>9</v>
      </c>
      <c r="Y111" s="11">
        <v>0.36</v>
      </c>
      <c r="Z111" s="11">
        <v>0.28000000000000003</v>
      </c>
      <c r="AA111" s="11">
        <v>0.36</v>
      </c>
    </row>
    <row r="112" spans="1:27" x14ac:dyDescent="0.25">
      <c r="A112" s="8" t="s">
        <v>29</v>
      </c>
      <c r="B112" s="11">
        <v>0.4759825327510917</v>
      </c>
      <c r="C112" s="11">
        <v>0.18995633187772926</v>
      </c>
      <c r="D112" s="11">
        <v>0.33406113537117904</v>
      </c>
      <c r="E112" s="11">
        <v>0.48058252427184467</v>
      </c>
      <c r="F112" s="11">
        <v>0.22815533980582525</v>
      </c>
      <c r="G112" s="11">
        <v>0.29126213592233008</v>
      </c>
      <c r="U112" s="37">
        <v>26335</v>
      </c>
      <c r="V112" s="10">
        <v>16</v>
      </c>
      <c r="W112" s="10">
        <v>20</v>
      </c>
      <c r="X112" s="10">
        <v>16</v>
      </c>
      <c r="Y112" s="11">
        <v>0.30769230769230771</v>
      </c>
      <c r="Z112" s="11">
        <v>0.38461538461538464</v>
      </c>
      <c r="AA112" s="11">
        <v>0.30769230769230771</v>
      </c>
    </row>
    <row r="113" spans="1:27" x14ac:dyDescent="0.25">
      <c r="A113" s="8" t="s">
        <v>32</v>
      </c>
      <c r="B113" s="11">
        <v>0.3613013698630137</v>
      </c>
      <c r="C113" s="11">
        <v>0.20205479452054795</v>
      </c>
      <c r="D113" s="11">
        <v>0.43664383561643838</v>
      </c>
      <c r="E113" s="11">
        <v>0.5214180206794683</v>
      </c>
      <c r="F113" s="11">
        <v>0.17577548005908419</v>
      </c>
      <c r="G113" s="11">
        <v>0.30280649926144754</v>
      </c>
      <c r="U113" s="37">
        <v>26342</v>
      </c>
      <c r="V113" s="10">
        <v>11</v>
      </c>
      <c r="W113" s="10">
        <v>0</v>
      </c>
      <c r="X113" s="10">
        <v>13</v>
      </c>
      <c r="Y113" s="11">
        <v>0.45833333333333331</v>
      </c>
      <c r="Z113" s="11">
        <v>0</v>
      </c>
      <c r="AA113" s="11">
        <v>0.54166666666666663</v>
      </c>
    </row>
    <row r="114" spans="1:27" x14ac:dyDescent="0.25">
      <c r="A114" s="8" t="s">
        <v>33</v>
      </c>
      <c r="B114" s="11">
        <v>0.40661938534278957</v>
      </c>
      <c r="C114" s="11">
        <v>0.25531914893617019</v>
      </c>
      <c r="D114" s="11">
        <v>0.33806146572104018</v>
      </c>
      <c r="E114" s="11">
        <v>0.5246422893481717</v>
      </c>
      <c r="F114" s="11">
        <v>0.21144674085850557</v>
      </c>
      <c r="G114" s="11">
        <v>0.26391096979332274</v>
      </c>
      <c r="U114" s="37">
        <v>26349</v>
      </c>
      <c r="V114" s="10">
        <v>6</v>
      </c>
      <c r="W114" s="10">
        <v>1</v>
      </c>
      <c r="X114" s="10">
        <v>16</v>
      </c>
      <c r="Y114" s="11">
        <v>0.2608695652173913</v>
      </c>
      <c r="Z114" s="11">
        <v>4.3478260869565216E-2</v>
      </c>
      <c r="AA114" s="11">
        <v>0.69565217391304346</v>
      </c>
    </row>
    <row r="115" spans="1:27" x14ac:dyDescent="0.25">
      <c r="A115" s="8" t="s">
        <v>34</v>
      </c>
      <c r="B115" s="11">
        <v>0.40508221225710017</v>
      </c>
      <c r="C115" s="11">
        <v>0.24215246636771301</v>
      </c>
      <c r="D115" s="11">
        <v>0.35276532137518685</v>
      </c>
      <c r="E115" s="11">
        <v>0.5536585365853659</v>
      </c>
      <c r="F115" s="11">
        <v>0.16747967479674797</v>
      </c>
      <c r="G115" s="11">
        <v>0.27886178861788619</v>
      </c>
      <c r="U115" s="37">
        <v>26356</v>
      </c>
      <c r="V115" s="10">
        <v>8</v>
      </c>
      <c r="W115" s="10">
        <v>9</v>
      </c>
      <c r="X115" s="10">
        <v>21</v>
      </c>
      <c r="Y115" s="11">
        <v>0.21052631578947367</v>
      </c>
      <c r="Z115" s="11">
        <v>0.23684210526315788</v>
      </c>
      <c r="AA115" s="11">
        <v>0.55263157894736847</v>
      </c>
    </row>
    <row r="116" spans="1:27" x14ac:dyDescent="0.25">
      <c r="A116" s="8" t="s">
        <v>35</v>
      </c>
      <c r="B116" s="11">
        <v>0.44186046511627908</v>
      </c>
      <c r="C116" s="11">
        <v>0.19238900634249473</v>
      </c>
      <c r="D116" s="11">
        <v>0.36575052854122619</v>
      </c>
      <c r="E116" s="11">
        <v>0.54678362573099415</v>
      </c>
      <c r="F116" s="11">
        <v>0.22514619883040934</v>
      </c>
      <c r="G116" s="11">
        <v>0.22807017543859648</v>
      </c>
      <c r="U116" s="37">
        <v>26363</v>
      </c>
      <c r="V116" s="10">
        <v>13</v>
      </c>
      <c r="W116" s="10">
        <v>5</v>
      </c>
      <c r="X116" s="10">
        <v>11</v>
      </c>
      <c r="Y116" s="11">
        <v>0.44827586206896552</v>
      </c>
      <c r="Z116" s="11">
        <v>0.17241379310344829</v>
      </c>
      <c r="AA116" s="11">
        <v>0.37931034482758619</v>
      </c>
    </row>
    <row r="117" spans="1:27" x14ac:dyDescent="0.25">
      <c r="A117" s="8" t="s">
        <v>305</v>
      </c>
      <c r="B117" s="11">
        <v>0.36269430051813473</v>
      </c>
      <c r="C117" s="11">
        <v>0.22020725388601037</v>
      </c>
      <c r="D117" s="11">
        <v>0.41709844559585491</v>
      </c>
      <c r="E117" s="11">
        <v>0.55531453362255967</v>
      </c>
      <c r="F117" s="11">
        <v>0.19305856832971802</v>
      </c>
      <c r="G117" s="11">
        <v>0.25162689804772237</v>
      </c>
      <c r="U117" s="37">
        <v>26370</v>
      </c>
      <c r="V117" s="10">
        <v>4</v>
      </c>
      <c r="W117" s="10">
        <v>10</v>
      </c>
      <c r="X117" s="10">
        <v>21</v>
      </c>
      <c r="Y117" s="11">
        <v>0.11428571428571428</v>
      </c>
      <c r="Z117" s="11">
        <v>0.2857142857142857</v>
      </c>
      <c r="AA117" s="11">
        <v>0.6</v>
      </c>
    </row>
    <row r="118" spans="1:27" x14ac:dyDescent="0.25">
      <c r="A118" s="8" t="s">
        <v>37</v>
      </c>
      <c r="B118" s="11">
        <v>0.34870317002881845</v>
      </c>
      <c r="C118" s="11">
        <v>0.21037463976945245</v>
      </c>
      <c r="D118" s="11">
        <v>0.44092219020172913</v>
      </c>
      <c r="E118" s="11">
        <v>0.54133333333333333</v>
      </c>
      <c r="F118" s="11">
        <v>0.20533333333333334</v>
      </c>
      <c r="G118" s="11">
        <v>0.25333333333333335</v>
      </c>
      <c r="U118" s="37">
        <v>26377</v>
      </c>
      <c r="V118" s="10">
        <v>18</v>
      </c>
      <c r="W118" s="10">
        <v>8</v>
      </c>
      <c r="X118" s="10">
        <v>26</v>
      </c>
      <c r="Y118" s="11">
        <v>0.34615384615384615</v>
      </c>
      <c r="Z118" s="11">
        <v>0.15384615384615385</v>
      </c>
      <c r="AA118" s="11">
        <v>0.5</v>
      </c>
    </row>
    <row r="119" spans="1:27" x14ac:dyDescent="0.25">
      <c r="A119" s="8" t="s">
        <v>38</v>
      </c>
      <c r="B119" s="11">
        <v>0.3904494382022472</v>
      </c>
      <c r="C119" s="11">
        <v>0.24719101123595505</v>
      </c>
      <c r="D119" s="11">
        <v>0.36235955056179775</v>
      </c>
      <c r="E119" s="11">
        <v>0.53392857142857142</v>
      </c>
      <c r="F119" s="11">
        <v>0.20714285714285716</v>
      </c>
      <c r="G119" s="11">
        <v>0.25892857142857145</v>
      </c>
      <c r="U119" s="37">
        <v>26384</v>
      </c>
      <c r="V119" s="10">
        <v>1</v>
      </c>
      <c r="W119" s="10">
        <v>2</v>
      </c>
      <c r="X119" s="10">
        <v>3</v>
      </c>
      <c r="Y119" s="11">
        <v>0.16666666666666666</v>
      </c>
      <c r="Z119" s="11">
        <v>0.33333333333333331</v>
      </c>
      <c r="AA119" s="11">
        <v>0.5</v>
      </c>
    </row>
    <row r="120" spans="1:27" x14ac:dyDescent="0.25">
      <c r="A120" s="8" t="s">
        <v>39</v>
      </c>
      <c r="B120" s="11">
        <v>0.40054495912806537</v>
      </c>
      <c r="C120" s="11">
        <v>0.14168937329700274</v>
      </c>
      <c r="D120" s="11">
        <v>0.45776566757493187</v>
      </c>
      <c r="E120" s="11">
        <v>0.42156862745098039</v>
      </c>
      <c r="F120" s="11">
        <v>0.23039215686274508</v>
      </c>
      <c r="G120" s="11">
        <v>0.34803921568627449</v>
      </c>
      <c r="U120" s="37">
        <v>26391</v>
      </c>
      <c r="V120" s="10">
        <v>4</v>
      </c>
      <c r="W120" s="10">
        <v>2</v>
      </c>
      <c r="X120" s="10">
        <v>8</v>
      </c>
      <c r="Y120" s="11">
        <v>0.2857142857142857</v>
      </c>
      <c r="Z120" s="11">
        <v>0.14285714285714285</v>
      </c>
      <c r="AA120" s="11">
        <v>0.5714285714285714</v>
      </c>
    </row>
    <row r="121" spans="1:27" x14ac:dyDescent="0.25">
      <c r="A121" s="8" t="s">
        <v>40</v>
      </c>
      <c r="B121" s="11">
        <v>0.30785562632696389</v>
      </c>
      <c r="C121" s="11">
        <v>0.21656050955414013</v>
      </c>
      <c r="D121" s="11">
        <v>0.47558386411889597</v>
      </c>
      <c r="E121" s="11">
        <v>0.53358925143953939</v>
      </c>
      <c r="F121" s="11">
        <v>0.20729366602687141</v>
      </c>
      <c r="G121" s="11">
        <v>0.25911708253358923</v>
      </c>
      <c r="U121" s="37">
        <v>26405</v>
      </c>
      <c r="V121" s="10">
        <v>9</v>
      </c>
      <c r="W121" s="10">
        <v>12</v>
      </c>
      <c r="X121" s="10">
        <v>7</v>
      </c>
      <c r="Y121" s="11">
        <v>0.32142857142857145</v>
      </c>
      <c r="Z121" s="11">
        <v>0.42857142857142855</v>
      </c>
      <c r="AA121" s="11">
        <v>0.25</v>
      </c>
    </row>
    <row r="122" spans="1:27" x14ac:dyDescent="0.25">
      <c r="A122" s="8" t="s">
        <v>41</v>
      </c>
      <c r="B122" s="11">
        <v>0.38095238095238093</v>
      </c>
      <c r="C122" s="11">
        <v>0.16402116402116401</v>
      </c>
      <c r="D122" s="11">
        <v>0.455026455026455</v>
      </c>
      <c r="E122" s="11">
        <v>0.57107843137254899</v>
      </c>
      <c r="F122" s="11">
        <v>0.20098039215686275</v>
      </c>
      <c r="G122" s="11">
        <v>0.22794117647058823</v>
      </c>
      <c r="U122" s="37">
        <v>26412</v>
      </c>
      <c r="V122" s="10">
        <v>6</v>
      </c>
      <c r="W122" s="10">
        <v>6</v>
      </c>
      <c r="X122" s="10">
        <v>19</v>
      </c>
      <c r="Y122" s="11">
        <v>0.19354838709677419</v>
      </c>
      <c r="Z122" s="11">
        <v>0.19354838709677419</v>
      </c>
      <c r="AA122" s="11">
        <v>0.61290322580645162</v>
      </c>
    </row>
    <row r="123" spans="1:27" x14ac:dyDescent="0.25">
      <c r="A123" s="8" t="s">
        <v>42</v>
      </c>
      <c r="B123" s="11">
        <v>0.33846153846153848</v>
      </c>
      <c r="C123" s="11">
        <v>0.18461538461538463</v>
      </c>
      <c r="D123" s="11">
        <v>0.47692307692307695</v>
      </c>
      <c r="E123" s="11">
        <v>0.53361344537815125</v>
      </c>
      <c r="F123" s="11">
        <v>0.23109243697478993</v>
      </c>
      <c r="G123" s="11">
        <v>0.23529411764705882</v>
      </c>
      <c r="U123" s="37">
        <v>26419</v>
      </c>
      <c r="V123" s="10">
        <v>11</v>
      </c>
      <c r="W123" s="10">
        <v>7</v>
      </c>
      <c r="X123" s="10">
        <v>15</v>
      </c>
      <c r="Y123" s="11">
        <v>0.33333333333333331</v>
      </c>
      <c r="Z123" s="11">
        <v>0.21212121212121213</v>
      </c>
      <c r="AA123" s="11">
        <v>0.45454545454545453</v>
      </c>
    </row>
    <row r="124" spans="1:27" x14ac:dyDescent="0.25">
      <c r="A124" s="8" t="s">
        <v>43</v>
      </c>
      <c r="B124" s="11">
        <v>0.40609137055837563</v>
      </c>
      <c r="C124" s="11">
        <v>0.25380710659898476</v>
      </c>
      <c r="D124" s="11">
        <v>0.34010152284263961</v>
      </c>
      <c r="E124" s="11">
        <v>0.6470588235294118</v>
      </c>
      <c r="F124" s="11">
        <v>0.21568627450980393</v>
      </c>
      <c r="G124" s="11">
        <v>0.13725490196078433</v>
      </c>
      <c r="U124" s="37">
        <v>26426</v>
      </c>
      <c r="V124" s="10">
        <v>11</v>
      </c>
      <c r="W124" s="10">
        <v>0</v>
      </c>
      <c r="X124" s="10">
        <v>6</v>
      </c>
      <c r="Y124" s="11">
        <v>0.6470588235294118</v>
      </c>
      <c r="Z124" s="11">
        <v>0</v>
      </c>
      <c r="AA124" s="11">
        <v>0.35294117647058826</v>
      </c>
    </row>
    <row r="125" spans="1:27" x14ac:dyDescent="0.25">
      <c r="A125" s="8" t="s">
        <v>45</v>
      </c>
      <c r="B125" s="11">
        <v>0.47368421052631576</v>
      </c>
      <c r="C125" s="11">
        <v>0.21052631578947367</v>
      </c>
      <c r="D125" s="11">
        <v>0.31578947368421051</v>
      </c>
      <c r="E125" s="11">
        <v>0.57004830917874394</v>
      </c>
      <c r="F125" s="11">
        <v>0.21739130434782608</v>
      </c>
      <c r="G125" s="11">
        <v>0.21256038647342995</v>
      </c>
      <c r="U125" s="37">
        <v>26433</v>
      </c>
      <c r="V125" s="10">
        <v>0</v>
      </c>
      <c r="W125" s="10">
        <v>7</v>
      </c>
      <c r="X125" s="10">
        <v>12</v>
      </c>
      <c r="Y125" s="11">
        <v>0</v>
      </c>
      <c r="Z125" s="11">
        <v>0.36842105263157893</v>
      </c>
      <c r="AA125" s="11">
        <v>0.63157894736842102</v>
      </c>
    </row>
    <row r="126" spans="1:27" x14ac:dyDescent="0.25">
      <c r="A126" s="8" t="s">
        <v>46</v>
      </c>
      <c r="B126" s="11">
        <v>0.29218106995884774</v>
      </c>
      <c r="C126" s="11">
        <v>0.20987654320987653</v>
      </c>
      <c r="D126" s="11">
        <v>0.49794238683127573</v>
      </c>
      <c r="E126" s="11">
        <v>0.59285714285714286</v>
      </c>
      <c r="F126" s="11">
        <v>0.21428571428571427</v>
      </c>
      <c r="G126" s="11">
        <v>0.19285714285714287</v>
      </c>
      <c r="U126" s="37">
        <v>26440</v>
      </c>
      <c r="V126" s="10">
        <v>15</v>
      </c>
      <c r="W126" s="10">
        <v>1</v>
      </c>
      <c r="X126" s="10">
        <v>11</v>
      </c>
      <c r="Y126" s="11">
        <v>0.55555555555555558</v>
      </c>
      <c r="Z126" s="11">
        <v>3.7037037037037035E-2</v>
      </c>
      <c r="AA126" s="11">
        <v>0.40740740740740738</v>
      </c>
    </row>
    <row r="127" spans="1:27" x14ac:dyDescent="0.25">
      <c r="A127" s="8" t="s">
        <v>44</v>
      </c>
      <c r="B127" s="11">
        <v>0.33070866141732286</v>
      </c>
      <c r="C127" s="11">
        <v>0.31496062992125984</v>
      </c>
      <c r="D127" s="11">
        <v>0.3543307086614173</v>
      </c>
      <c r="E127" s="11">
        <v>0.56028368794326244</v>
      </c>
      <c r="F127" s="11">
        <v>0.24822695035460993</v>
      </c>
      <c r="G127" s="11">
        <v>0.19148936170212766</v>
      </c>
      <c r="U127" s="37">
        <v>26447</v>
      </c>
      <c r="V127" s="10">
        <v>14</v>
      </c>
      <c r="W127" s="10">
        <v>12</v>
      </c>
      <c r="X127" s="10">
        <v>22</v>
      </c>
      <c r="Y127" s="11">
        <v>0.29166666666666669</v>
      </c>
      <c r="Z127" s="11">
        <v>0.25</v>
      </c>
      <c r="AA127" s="11">
        <v>0.45833333333333331</v>
      </c>
    </row>
    <row r="128" spans="1:27" x14ac:dyDescent="0.25">
      <c r="A128" s="8" t="s">
        <v>297</v>
      </c>
      <c r="B128" s="11">
        <v>0.365296121436682</v>
      </c>
      <c r="C128" s="11">
        <v>0.21102013984342319</v>
      </c>
      <c r="D128" s="11">
        <v>0.42368373871989484</v>
      </c>
      <c r="E128" s="11">
        <v>0.51229171555972774</v>
      </c>
      <c r="F128" s="11">
        <v>0.22245364937808026</v>
      </c>
      <c r="G128" s="11">
        <v>0.26525463506219199</v>
      </c>
      <c r="U128" s="37">
        <v>26454</v>
      </c>
      <c r="V128" s="10">
        <v>0</v>
      </c>
      <c r="W128" s="10">
        <v>4</v>
      </c>
      <c r="X128" s="10">
        <v>2</v>
      </c>
      <c r="Y128" s="11">
        <v>0</v>
      </c>
      <c r="Z128" s="11">
        <v>0.66666666666666663</v>
      </c>
      <c r="AA128" s="11">
        <v>0.33333333333333331</v>
      </c>
    </row>
    <row r="129" spans="21:27" x14ac:dyDescent="0.25">
      <c r="U129" s="37">
        <v>26461</v>
      </c>
      <c r="V129" s="10">
        <v>7</v>
      </c>
      <c r="W129" s="10">
        <v>5</v>
      </c>
      <c r="X129" s="10">
        <v>3</v>
      </c>
      <c r="Y129" s="11">
        <v>0.46666666666666667</v>
      </c>
      <c r="Z129" s="11">
        <v>0.33333333333333331</v>
      </c>
      <c r="AA129" s="11">
        <v>0.2</v>
      </c>
    </row>
    <row r="130" spans="21:27" x14ac:dyDescent="0.25">
      <c r="U130" s="37">
        <v>26468</v>
      </c>
      <c r="V130" s="10">
        <v>11</v>
      </c>
      <c r="W130" s="10">
        <v>2</v>
      </c>
      <c r="X130" s="10">
        <v>18</v>
      </c>
      <c r="Y130" s="11">
        <v>0.35483870967741937</v>
      </c>
      <c r="Z130" s="11">
        <v>6.4516129032258063E-2</v>
      </c>
      <c r="AA130" s="11">
        <v>0.58064516129032262</v>
      </c>
    </row>
    <row r="131" spans="21:27" x14ac:dyDescent="0.25">
      <c r="U131" s="37">
        <v>26475</v>
      </c>
      <c r="V131" s="10">
        <v>7</v>
      </c>
      <c r="W131" s="10">
        <v>4</v>
      </c>
      <c r="X131" s="10">
        <v>8</v>
      </c>
      <c r="Y131" s="11">
        <v>0.36842105263157893</v>
      </c>
      <c r="Z131" s="11">
        <v>0.21052631578947367</v>
      </c>
      <c r="AA131" s="11">
        <v>0.42105263157894735</v>
      </c>
    </row>
    <row r="132" spans="21:27" x14ac:dyDescent="0.25">
      <c r="U132" s="37">
        <v>26482</v>
      </c>
      <c r="V132" s="10">
        <v>6</v>
      </c>
      <c r="W132" s="10">
        <v>9</v>
      </c>
      <c r="X132" s="10">
        <v>18</v>
      </c>
      <c r="Y132" s="11">
        <v>0.18181818181818182</v>
      </c>
      <c r="Z132" s="11">
        <v>0.27272727272727271</v>
      </c>
      <c r="AA132" s="11">
        <v>0.54545454545454541</v>
      </c>
    </row>
    <row r="133" spans="21:27" x14ac:dyDescent="0.25">
      <c r="U133" s="37">
        <v>26496</v>
      </c>
      <c r="V133" s="10">
        <v>3</v>
      </c>
      <c r="W133" s="10">
        <v>1</v>
      </c>
      <c r="X133" s="10">
        <v>3</v>
      </c>
      <c r="Y133" s="11">
        <v>0.42857142857142855</v>
      </c>
      <c r="Z133" s="11">
        <v>0.14285714285714285</v>
      </c>
      <c r="AA133" s="11">
        <v>0.42857142857142855</v>
      </c>
    </row>
    <row r="134" spans="21:27" x14ac:dyDescent="0.25">
      <c r="U134" s="37">
        <v>26503</v>
      </c>
      <c r="V134" s="10">
        <v>7</v>
      </c>
      <c r="W134" s="10">
        <v>4</v>
      </c>
      <c r="X134" s="10">
        <v>2</v>
      </c>
      <c r="Y134" s="11">
        <v>0.53846153846153844</v>
      </c>
      <c r="Z134" s="11">
        <v>0.30769230769230771</v>
      </c>
      <c r="AA134" s="11">
        <v>0.15384615384615385</v>
      </c>
    </row>
    <row r="135" spans="21:27" x14ac:dyDescent="0.25">
      <c r="U135" s="37">
        <v>26510</v>
      </c>
      <c r="V135" s="10">
        <v>9</v>
      </c>
      <c r="W135" s="10">
        <v>3</v>
      </c>
      <c r="X135" s="10">
        <v>8</v>
      </c>
      <c r="Y135" s="11">
        <v>0.45</v>
      </c>
      <c r="Z135" s="11">
        <v>0.15</v>
      </c>
      <c r="AA135" s="11">
        <v>0.4</v>
      </c>
    </row>
    <row r="136" spans="21:27" x14ac:dyDescent="0.25">
      <c r="U136" s="37">
        <v>26517</v>
      </c>
      <c r="V136" s="10">
        <v>8</v>
      </c>
      <c r="W136" s="10">
        <v>7</v>
      </c>
      <c r="X136" s="10">
        <v>17</v>
      </c>
      <c r="Y136" s="11">
        <v>0.25</v>
      </c>
      <c r="Z136" s="11">
        <v>0.21875</v>
      </c>
      <c r="AA136" s="11">
        <v>0.53125</v>
      </c>
    </row>
    <row r="137" spans="21:27" x14ac:dyDescent="0.25">
      <c r="U137" s="37">
        <v>26524</v>
      </c>
      <c r="V137" s="10">
        <v>7</v>
      </c>
      <c r="W137" s="10">
        <v>6</v>
      </c>
      <c r="X137" s="10">
        <v>14</v>
      </c>
      <c r="Y137" s="11">
        <v>0.25925925925925924</v>
      </c>
      <c r="Z137" s="11">
        <v>0.22222222222222221</v>
      </c>
      <c r="AA137" s="11">
        <v>0.51851851851851849</v>
      </c>
    </row>
    <row r="138" spans="21:27" x14ac:dyDescent="0.25">
      <c r="U138" s="37">
        <v>26531</v>
      </c>
      <c r="V138" s="10">
        <v>7</v>
      </c>
      <c r="W138" s="10">
        <v>4</v>
      </c>
      <c r="X138" s="10">
        <v>10</v>
      </c>
      <c r="Y138" s="11">
        <v>0.33333333333333331</v>
      </c>
      <c r="Z138" s="11">
        <v>0.19047619047619047</v>
      </c>
      <c r="AA138" s="11">
        <v>0.47619047619047616</v>
      </c>
    </row>
    <row r="139" spans="21:27" x14ac:dyDescent="0.25">
      <c r="U139" s="37">
        <v>26538</v>
      </c>
      <c r="V139" s="10">
        <v>16</v>
      </c>
      <c r="W139" s="10">
        <v>12</v>
      </c>
      <c r="X139" s="10">
        <v>22</v>
      </c>
      <c r="Y139" s="11">
        <v>0.32</v>
      </c>
      <c r="Z139" s="11">
        <v>0.24</v>
      </c>
      <c r="AA139" s="11">
        <v>0.44</v>
      </c>
    </row>
    <row r="140" spans="21:27" x14ac:dyDescent="0.25">
      <c r="U140" s="37">
        <v>26559</v>
      </c>
      <c r="V140" s="10">
        <v>5</v>
      </c>
      <c r="W140" s="10">
        <v>2</v>
      </c>
      <c r="X140" s="10">
        <v>1</v>
      </c>
      <c r="Y140" s="11">
        <v>0.625</v>
      </c>
      <c r="Z140" s="11">
        <v>0.25</v>
      </c>
      <c r="AA140" s="11">
        <v>0.125</v>
      </c>
    </row>
    <row r="141" spans="21:27" x14ac:dyDescent="0.25">
      <c r="U141" s="37">
        <v>26566</v>
      </c>
      <c r="V141" s="10">
        <v>4</v>
      </c>
      <c r="W141" s="10">
        <v>0</v>
      </c>
      <c r="X141" s="10">
        <v>3</v>
      </c>
      <c r="Y141" s="11">
        <v>0.5714285714285714</v>
      </c>
      <c r="Z141" s="11">
        <v>0</v>
      </c>
      <c r="AA141" s="11">
        <v>0.42857142857142855</v>
      </c>
    </row>
    <row r="142" spans="21:27" x14ac:dyDescent="0.25">
      <c r="U142" s="37">
        <v>26601</v>
      </c>
      <c r="V142" s="10">
        <v>2</v>
      </c>
      <c r="W142" s="10">
        <v>6</v>
      </c>
      <c r="X142" s="10">
        <v>11</v>
      </c>
      <c r="Y142" s="11">
        <v>0.10526315789473684</v>
      </c>
      <c r="Z142" s="11">
        <v>0.31578947368421051</v>
      </c>
      <c r="AA142" s="11">
        <v>0.57894736842105265</v>
      </c>
    </row>
    <row r="143" spans="21:27" x14ac:dyDescent="0.25">
      <c r="U143" s="37">
        <v>26629</v>
      </c>
      <c r="V143" s="10">
        <v>8</v>
      </c>
      <c r="W143" s="10">
        <v>8</v>
      </c>
      <c r="X143" s="10">
        <v>8</v>
      </c>
      <c r="Y143" s="11">
        <v>0.33333333333333331</v>
      </c>
      <c r="Z143" s="11">
        <v>0.33333333333333331</v>
      </c>
      <c r="AA143" s="11">
        <v>0.33333333333333331</v>
      </c>
    </row>
    <row r="144" spans="21:27" x14ac:dyDescent="0.25">
      <c r="U144" s="37">
        <v>26636</v>
      </c>
      <c r="V144" s="10">
        <v>3</v>
      </c>
      <c r="W144" s="10">
        <v>2</v>
      </c>
      <c r="X144" s="10">
        <v>3</v>
      </c>
      <c r="Y144" s="11">
        <v>0.375</v>
      </c>
      <c r="Z144" s="11">
        <v>0.25</v>
      </c>
      <c r="AA144" s="11">
        <v>0.375</v>
      </c>
    </row>
    <row r="145" spans="21:27" x14ac:dyDescent="0.25">
      <c r="U145" s="37">
        <v>26650</v>
      </c>
      <c r="V145" s="10">
        <v>3</v>
      </c>
      <c r="W145" s="10">
        <v>6</v>
      </c>
      <c r="X145" s="10">
        <v>8</v>
      </c>
      <c r="Y145" s="11">
        <v>0.17647058823529413</v>
      </c>
      <c r="Z145" s="11">
        <v>0.35294117647058826</v>
      </c>
      <c r="AA145" s="11">
        <v>0.47058823529411764</v>
      </c>
    </row>
    <row r="146" spans="21:27" x14ac:dyDescent="0.25">
      <c r="U146" s="37">
        <v>26657</v>
      </c>
      <c r="V146" s="10">
        <v>14</v>
      </c>
      <c r="W146" s="10">
        <v>8</v>
      </c>
      <c r="X146" s="10">
        <v>7</v>
      </c>
      <c r="Y146" s="11">
        <v>0.48275862068965519</v>
      </c>
      <c r="Z146" s="11">
        <v>0.27586206896551724</v>
      </c>
      <c r="AA146" s="11">
        <v>0.2413793103448276</v>
      </c>
    </row>
    <row r="147" spans="21:27" x14ac:dyDescent="0.25">
      <c r="U147" s="37">
        <v>26664</v>
      </c>
      <c r="V147" s="10">
        <v>6</v>
      </c>
      <c r="W147" s="10">
        <v>1</v>
      </c>
      <c r="X147" s="10">
        <v>5</v>
      </c>
      <c r="Y147" s="11">
        <v>0.5</v>
      </c>
      <c r="Z147" s="11">
        <v>8.3333333333333329E-2</v>
      </c>
      <c r="AA147" s="11">
        <v>0.41666666666666669</v>
      </c>
    </row>
    <row r="148" spans="21:27" x14ac:dyDescent="0.25">
      <c r="U148" s="37">
        <v>26671</v>
      </c>
      <c r="V148" s="10">
        <v>8</v>
      </c>
      <c r="W148" s="10">
        <v>8</v>
      </c>
      <c r="X148" s="10">
        <v>7</v>
      </c>
      <c r="Y148" s="11">
        <v>0.34782608695652173</v>
      </c>
      <c r="Z148" s="11">
        <v>0.34782608695652173</v>
      </c>
      <c r="AA148" s="11">
        <v>0.30434782608695654</v>
      </c>
    </row>
    <row r="149" spans="21:27" x14ac:dyDescent="0.25">
      <c r="U149" s="37">
        <v>26678</v>
      </c>
      <c r="V149" s="10">
        <v>8</v>
      </c>
      <c r="W149" s="10">
        <v>8</v>
      </c>
      <c r="X149" s="10">
        <v>20</v>
      </c>
      <c r="Y149" s="11">
        <v>0.22222222222222221</v>
      </c>
      <c r="Z149" s="11">
        <v>0.22222222222222221</v>
      </c>
      <c r="AA149" s="11">
        <v>0.55555555555555558</v>
      </c>
    </row>
    <row r="150" spans="21:27" x14ac:dyDescent="0.25">
      <c r="U150" s="37">
        <v>26692</v>
      </c>
      <c r="V150" s="10">
        <v>18</v>
      </c>
      <c r="W150" s="10">
        <v>1</v>
      </c>
      <c r="X150" s="10">
        <v>24</v>
      </c>
      <c r="Y150" s="11">
        <v>0.41860465116279072</v>
      </c>
      <c r="Z150" s="11">
        <v>2.3255813953488372E-2</v>
      </c>
      <c r="AA150" s="11">
        <v>0.55813953488372092</v>
      </c>
    </row>
    <row r="151" spans="21:27" x14ac:dyDescent="0.25">
      <c r="U151" s="37">
        <v>26699</v>
      </c>
      <c r="V151" s="10">
        <v>5</v>
      </c>
      <c r="W151" s="10">
        <v>0</v>
      </c>
      <c r="X151" s="10">
        <v>15</v>
      </c>
      <c r="Y151" s="11">
        <v>0.25</v>
      </c>
      <c r="Z151" s="11">
        <v>0</v>
      </c>
      <c r="AA151" s="11">
        <v>0.75</v>
      </c>
    </row>
    <row r="152" spans="21:27" x14ac:dyDescent="0.25">
      <c r="U152" s="37">
        <v>26706</v>
      </c>
      <c r="V152" s="10">
        <v>20</v>
      </c>
      <c r="W152" s="10">
        <v>10</v>
      </c>
      <c r="X152" s="10">
        <v>16</v>
      </c>
      <c r="Y152" s="11">
        <v>0.43478260869565216</v>
      </c>
      <c r="Z152" s="11">
        <v>0.21739130434782608</v>
      </c>
      <c r="AA152" s="11">
        <v>0.34782608695652173</v>
      </c>
    </row>
    <row r="153" spans="21:27" x14ac:dyDescent="0.25">
      <c r="U153" s="37">
        <v>26713</v>
      </c>
      <c r="V153" s="10">
        <v>10</v>
      </c>
      <c r="W153" s="10">
        <v>6</v>
      </c>
      <c r="X153" s="10">
        <v>0</v>
      </c>
      <c r="Y153" s="11">
        <v>0.625</v>
      </c>
      <c r="Z153" s="11">
        <v>0.375</v>
      </c>
      <c r="AA153" s="11">
        <v>0</v>
      </c>
    </row>
    <row r="154" spans="21:27" x14ac:dyDescent="0.25">
      <c r="U154" s="37">
        <v>26720</v>
      </c>
      <c r="V154" s="10">
        <v>3</v>
      </c>
      <c r="W154" s="10">
        <v>1</v>
      </c>
      <c r="X154" s="10">
        <v>4</v>
      </c>
      <c r="Y154" s="11">
        <v>0.375</v>
      </c>
      <c r="Z154" s="11">
        <v>0.125</v>
      </c>
      <c r="AA154" s="11">
        <v>0.5</v>
      </c>
    </row>
    <row r="155" spans="21:27" x14ac:dyDescent="0.25">
      <c r="U155" s="37">
        <v>26727</v>
      </c>
      <c r="V155" s="10">
        <v>11</v>
      </c>
      <c r="W155" s="10">
        <v>2</v>
      </c>
      <c r="X155" s="10">
        <v>12</v>
      </c>
      <c r="Y155" s="11">
        <v>0.44</v>
      </c>
      <c r="Z155" s="11">
        <v>0.08</v>
      </c>
      <c r="AA155" s="11">
        <v>0.48</v>
      </c>
    </row>
    <row r="156" spans="21:27" x14ac:dyDescent="0.25">
      <c r="U156" s="37">
        <v>26734</v>
      </c>
      <c r="V156" s="10">
        <v>5</v>
      </c>
      <c r="W156" s="10">
        <v>7</v>
      </c>
      <c r="X156" s="10">
        <v>3</v>
      </c>
      <c r="Y156" s="11">
        <v>0.33333333333333331</v>
      </c>
      <c r="Z156" s="11">
        <v>0.46666666666666667</v>
      </c>
      <c r="AA156" s="11">
        <v>0.2</v>
      </c>
    </row>
    <row r="157" spans="21:27" x14ac:dyDescent="0.25">
      <c r="U157" s="37">
        <v>26741</v>
      </c>
      <c r="V157" s="10">
        <v>7</v>
      </c>
      <c r="W157" s="10">
        <v>3</v>
      </c>
      <c r="X157" s="10">
        <v>8</v>
      </c>
      <c r="Y157" s="11">
        <v>0.3888888888888889</v>
      </c>
      <c r="Z157" s="11">
        <v>0.16666666666666666</v>
      </c>
      <c r="AA157" s="11">
        <v>0.44444444444444442</v>
      </c>
    </row>
    <row r="158" spans="21:27" x14ac:dyDescent="0.25">
      <c r="U158" s="37">
        <v>26748</v>
      </c>
      <c r="V158" s="10">
        <v>20</v>
      </c>
      <c r="W158" s="10">
        <v>11</v>
      </c>
      <c r="X158" s="10">
        <v>15</v>
      </c>
      <c r="Y158" s="11">
        <v>0.43478260869565216</v>
      </c>
      <c r="Z158" s="11">
        <v>0.2391304347826087</v>
      </c>
      <c r="AA158" s="11">
        <v>0.32608695652173914</v>
      </c>
    </row>
    <row r="159" spans="21:27" x14ac:dyDescent="0.25">
      <c r="U159" s="37">
        <v>26755</v>
      </c>
      <c r="V159" s="10">
        <v>13</v>
      </c>
      <c r="W159" s="10">
        <v>6</v>
      </c>
      <c r="X159" s="10">
        <v>16</v>
      </c>
      <c r="Y159" s="11">
        <v>0.37142857142857144</v>
      </c>
      <c r="Z159" s="11">
        <v>0.17142857142857143</v>
      </c>
      <c r="AA159" s="11">
        <v>0.45714285714285713</v>
      </c>
    </row>
    <row r="160" spans="21:27" x14ac:dyDescent="0.25">
      <c r="U160" s="37">
        <v>26762</v>
      </c>
      <c r="V160" s="10">
        <v>6</v>
      </c>
      <c r="W160" s="10">
        <v>6</v>
      </c>
      <c r="X160" s="10">
        <v>11</v>
      </c>
      <c r="Y160" s="11">
        <v>0.2608695652173913</v>
      </c>
      <c r="Z160" s="11">
        <v>0.2608695652173913</v>
      </c>
      <c r="AA160" s="11">
        <v>0.47826086956521741</v>
      </c>
    </row>
    <row r="161" spans="21:27" x14ac:dyDescent="0.25">
      <c r="U161" s="37">
        <v>26769</v>
      </c>
      <c r="V161" s="10">
        <v>9</v>
      </c>
      <c r="W161" s="10">
        <v>8</v>
      </c>
      <c r="X161" s="10">
        <v>15</v>
      </c>
      <c r="Y161" s="11">
        <v>0.28125</v>
      </c>
      <c r="Z161" s="11">
        <v>0.25</v>
      </c>
      <c r="AA161" s="11">
        <v>0.46875</v>
      </c>
    </row>
    <row r="162" spans="21:27" x14ac:dyDescent="0.25">
      <c r="U162" s="37">
        <v>26776</v>
      </c>
      <c r="V162" s="10">
        <v>5</v>
      </c>
      <c r="W162" s="10">
        <v>0</v>
      </c>
      <c r="X162" s="10">
        <v>5</v>
      </c>
      <c r="Y162" s="11">
        <v>0.5</v>
      </c>
      <c r="Z162" s="11">
        <v>0</v>
      </c>
      <c r="AA162" s="11">
        <v>0.5</v>
      </c>
    </row>
    <row r="163" spans="21:27" x14ac:dyDescent="0.25">
      <c r="U163" s="37">
        <v>26783</v>
      </c>
      <c r="V163" s="10">
        <v>9</v>
      </c>
      <c r="W163" s="10">
        <v>8</v>
      </c>
      <c r="X163" s="10">
        <v>8</v>
      </c>
      <c r="Y163" s="11">
        <v>0.36</v>
      </c>
      <c r="Z163" s="11">
        <v>0.32</v>
      </c>
      <c r="AA163" s="11">
        <v>0.32</v>
      </c>
    </row>
    <row r="164" spans="21:27" x14ac:dyDescent="0.25">
      <c r="U164" s="37">
        <v>26790</v>
      </c>
      <c r="V164" s="10">
        <v>14</v>
      </c>
      <c r="W164" s="10">
        <v>8</v>
      </c>
      <c r="X164" s="10">
        <v>10</v>
      </c>
      <c r="Y164" s="11">
        <v>0.4375</v>
      </c>
      <c r="Z164" s="11">
        <v>0.25</v>
      </c>
      <c r="AA164" s="11">
        <v>0.3125</v>
      </c>
    </row>
    <row r="165" spans="21:27" x14ac:dyDescent="0.25">
      <c r="U165" s="37">
        <v>26797</v>
      </c>
      <c r="V165" s="10">
        <v>21</v>
      </c>
      <c r="W165" s="10">
        <v>3</v>
      </c>
      <c r="X165" s="10">
        <v>11</v>
      </c>
      <c r="Y165" s="11">
        <v>0.6</v>
      </c>
      <c r="Z165" s="11">
        <v>8.5714285714285715E-2</v>
      </c>
      <c r="AA165" s="11">
        <v>0.31428571428571428</v>
      </c>
    </row>
    <row r="166" spans="21:27" x14ac:dyDescent="0.25">
      <c r="U166" s="37">
        <v>26804</v>
      </c>
      <c r="V166" s="10">
        <v>5</v>
      </c>
      <c r="W166" s="10">
        <v>5</v>
      </c>
      <c r="X166" s="10">
        <v>5</v>
      </c>
      <c r="Y166" s="11">
        <v>0.33333333333333331</v>
      </c>
      <c r="Z166" s="11">
        <v>0.33333333333333331</v>
      </c>
      <c r="AA166" s="11">
        <v>0.33333333333333331</v>
      </c>
    </row>
    <row r="167" spans="21:27" x14ac:dyDescent="0.25">
      <c r="U167" s="37">
        <v>26811</v>
      </c>
      <c r="V167" s="10">
        <v>8</v>
      </c>
      <c r="W167" s="10">
        <v>8</v>
      </c>
      <c r="X167" s="10">
        <v>15</v>
      </c>
      <c r="Y167" s="11">
        <v>0.25806451612903225</v>
      </c>
      <c r="Z167" s="11">
        <v>0.25806451612903225</v>
      </c>
      <c r="AA167" s="11">
        <v>0.4838709677419355</v>
      </c>
    </row>
    <row r="168" spans="21:27" x14ac:dyDescent="0.25">
      <c r="U168" s="37">
        <v>26818</v>
      </c>
      <c r="V168" s="10">
        <v>25</v>
      </c>
      <c r="W168" s="10">
        <v>10</v>
      </c>
      <c r="X168" s="10">
        <v>21</v>
      </c>
      <c r="Y168" s="11">
        <v>0.44642857142857145</v>
      </c>
      <c r="Z168" s="11">
        <v>0.17857142857142858</v>
      </c>
      <c r="AA168" s="11">
        <v>0.375</v>
      </c>
    </row>
    <row r="169" spans="21:27" x14ac:dyDescent="0.25">
      <c r="U169" s="37">
        <v>26825</v>
      </c>
      <c r="V169" s="10">
        <v>4</v>
      </c>
      <c r="W169" s="10">
        <v>2</v>
      </c>
      <c r="X169" s="10">
        <v>19</v>
      </c>
      <c r="Y169" s="11">
        <v>0.16</v>
      </c>
      <c r="Z169" s="11">
        <v>0.08</v>
      </c>
      <c r="AA169" s="11">
        <v>0.76</v>
      </c>
    </row>
    <row r="170" spans="21:27" x14ac:dyDescent="0.25">
      <c r="U170" s="37">
        <v>26832</v>
      </c>
      <c r="V170" s="10">
        <v>21</v>
      </c>
      <c r="W170" s="10">
        <v>5</v>
      </c>
      <c r="X170" s="10">
        <v>17</v>
      </c>
      <c r="Y170" s="11">
        <v>0.48837209302325579</v>
      </c>
      <c r="Z170" s="11">
        <v>0.11627906976744186</v>
      </c>
      <c r="AA170" s="11">
        <v>0.39534883720930231</v>
      </c>
    </row>
    <row r="171" spans="21:27" x14ac:dyDescent="0.25">
      <c r="U171" s="37">
        <v>26839</v>
      </c>
      <c r="V171" s="10">
        <v>6</v>
      </c>
      <c r="W171" s="10">
        <v>3</v>
      </c>
      <c r="X171" s="10">
        <v>12</v>
      </c>
      <c r="Y171" s="11">
        <v>0.2857142857142857</v>
      </c>
      <c r="Z171" s="11">
        <v>0.14285714285714285</v>
      </c>
      <c r="AA171" s="11">
        <v>0.5714285714285714</v>
      </c>
    </row>
    <row r="172" spans="21:27" x14ac:dyDescent="0.25">
      <c r="U172" s="37">
        <v>26846</v>
      </c>
      <c r="V172" s="10">
        <v>10</v>
      </c>
      <c r="W172" s="10">
        <v>4</v>
      </c>
      <c r="X172" s="10">
        <v>8</v>
      </c>
      <c r="Y172" s="11">
        <v>0.45454545454545453</v>
      </c>
      <c r="Z172" s="11">
        <v>0.18181818181818182</v>
      </c>
      <c r="AA172" s="11">
        <v>0.36363636363636365</v>
      </c>
    </row>
    <row r="173" spans="21:27" x14ac:dyDescent="0.25">
      <c r="U173" s="37">
        <v>26853</v>
      </c>
      <c r="V173" s="10">
        <v>8</v>
      </c>
      <c r="W173" s="10">
        <v>3</v>
      </c>
      <c r="X173" s="10">
        <v>16</v>
      </c>
      <c r="Y173" s="11">
        <v>0.29629629629629628</v>
      </c>
      <c r="Z173" s="11">
        <v>0.1111111111111111</v>
      </c>
      <c r="AA173" s="11">
        <v>0.59259259259259256</v>
      </c>
    </row>
    <row r="174" spans="21:27" x14ac:dyDescent="0.25">
      <c r="U174" s="37">
        <v>26860</v>
      </c>
      <c r="V174" s="10">
        <v>5</v>
      </c>
      <c r="W174" s="10">
        <v>2</v>
      </c>
      <c r="X174" s="10">
        <v>7</v>
      </c>
      <c r="Y174" s="11">
        <v>0.35714285714285715</v>
      </c>
      <c r="Z174" s="11">
        <v>0.14285714285714285</v>
      </c>
      <c r="AA174" s="11">
        <v>0.5</v>
      </c>
    </row>
    <row r="175" spans="21:27" x14ac:dyDescent="0.25">
      <c r="U175" s="37">
        <v>26867</v>
      </c>
      <c r="V175" s="10">
        <v>12</v>
      </c>
      <c r="W175" s="10">
        <v>5</v>
      </c>
      <c r="X175" s="10">
        <v>4</v>
      </c>
      <c r="Y175" s="11">
        <v>0.5714285714285714</v>
      </c>
      <c r="Z175" s="11">
        <v>0.23809523809523808</v>
      </c>
      <c r="AA175" s="11">
        <v>0.19047619047619047</v>
      </c>
    </row>
    <row r="176" spans="21:27" x14ac:dyDescent="0.25">
      <c r="U176" s="37">
        <v>26874</v>
      </c>
      <c r="V176" s="10">
        <v>26</v>
      </c>
      <c r="W176" s="10">
        <v>3</v>
      </c>
      <c r="X176" s="10">
        <v>9</v>
      </c>
      <c r="Y176" s="11">
        <v>0.68421052631578949</v>
      </c>
      <c r="Z176" s="11">
        <v>7.8947368421052627E-2</v>
      </c>
      <c r="AA176" s="11">
        <v>0.23684210526315788</v>
      </c>
    </row>
    <row r="177" spans="21:27" x14ac:dyDescent="0.25">
      <c r="U177" s="37">
        <v>26881</v>
      </c>
      <c r="V177" s="10">
        <v>8</v>
      </c>
      <c r="W177" s="10">
        <v>10</v>
      </c>
      <c r="X177" s="10">
        <v>3</v>
      </c>
      <c r="Y177" s="11">
        <v>0.38095238095238093</v>
      </c>
      <c r="Z177" s="11">
        <v>0.47619047619047616</v>
      </c>
      <c r="AA177" s="11">
        <v>0.14285714285714285</v>
      </c>
    </row>
    <row r="178" spans="21:27" x14ac:dyDescent="0.25">
      <c r="U178" s="37">
        <v>26888</v>
      </c>
      <c r="V178" s="10">
        <v>17</v>
      </c>
      <c r="W178" s="10">
        <v>13</v>
      </c>
      <c r="X178" s="10">
        <v>17</v>
      </c>
      <c r="Y178" s="11">
        <v>0.36170212765957449</v>
      </c>
      <c r="Z178" s="11">
        <v>0.27659574468085107</v>
      </c>
      <c r="AA178" s="11">
        <v>0.36170212765957449</v>
      </c>
    </row>
    <row r="179" spans="21:27" x14ac:dyDescent="0.25">
      <c r="U179" s="37">
        <v>26891</v>
      </c>
      <c r="V179" s="10">
        <v>3</v>
      </c>
      <c r="W179" s="10">
        <v>4</v>
      </c>
      <c r="X179" s="10">
        <v>7</v>
      </c>
      <c r="Y179" s="11">
        <v>0.21428571428571427</v>
      </c>
      <c r="Z179" s="11">
        <v>0.2857142857142857</v>
      </c>
      <c r="AA179" s="11">
        <v>0.5</v>
      </c>
    </row>
    <row r="180" spans="21:27" x14ac:dyDescent="0.25">
      <c r="U180" s="37">
        <v>26895</v>
      </c>
      <c r="V180" s="10">
        <v>8</v>
      </c>
      <c r="W180" s="10">
        <v>10</v>
      </c>
      <c r="X180" s="10">
        <v>23</v>
      </c>
      <c r="Y180" s="11">
        <v>0.1951219512195122</v>
      </c>
      <c r="Z180" s="11">
        <v>0.24390243902439024</v>
      </c>
      <c r="AA180" s="11">
        <v>0.56097560975609762</v>
      </c>
    </row>
    <row r="181" spans="21:27" x14ac:dyDescent="0.25">
      <c r="U181" s="37">
        <v>26902</v>
      </c>
      <c r="V181" s="10">
        <v>6</v>
      </c>
      <c r="W181" s="10">
        <v>1</v>
      </c>
      <c r="X181" s="10">
        <v>4</v>
      </c>
      <c r="Y181" s="11">
        <v>0.54545454545454541</v>
      </c>
      <c r="Z181" s="11">
        <v>9.0909090909090912E-2</v>
      </c>
      <c r="AA181" s="11">
        <v>0.36363636363636365</v>
      </c>
    </row>
    <row r="182" spans="21:27" x14ac:dyDescent="0.25">
      <c r="U182" s="37">
        <v>26909</v>
      </c>
      <c r="V182" s="10">
        <v>2</v>
      </c>
      <c r="W182" s="10">
        <v>6</v>
      </c>
      <c r="X182" s="10">
        <v>6</v>
      </c>
      <c r="Y182" s="11">
        <v>0.14285714285714285</v>
      </c>
      <c r="Z182" s="11">
        <v>0.42857142857142855</v>
      </c>
      <c r="AA182" s="11">
        <v>0.42857142857142855</v>
      </c>
    </row>
    <row r="183" spans="21:27" x14ac:dyDescent="0.25">
      <c r="U183" s="37">
        <v>26916</v>
      </c>
      <c r="V183" s="10">
        <v>18</v>
      </c>
      <c r="W183" s="10">
        <v>12</v>
      </c>
      <c r="X183" s="10">
        <v>16</v>
      </c>
      <c r="Y183" s="11">
        <v>0.39130434782608697</v>
      </c>
      <c r="Z183" s="11">
        <v>0.2608695652173913</v>
      </c>
      <c r="AA183" s="11">
        <v>0.34782608695652173</v>
      </c>
    </row>
    <row r="184" spans="21:27" x14ac:dyDescent="0.25">
      <c r="U184" s="37">
        <v>26923</v>
      </c>
      <c r="V184" s="10">
        <v>5</v>
      </c>
      <c r="W184" s="10">
        <v>12</v>
      </c>
      <c r="X184" s="10">
        <v>33</v>
      </c>
      <c r="Y184" s="11">
        <v>0.1</v>
      </c>
      <c r="Z184" s="11">
        <v>0.24</v>
      </c>
      <c r="AA184" s="11">
        <v>0.66</v>
      </c>
    </row>
    <row r="185" spans="21:27" x14ac:dyDescent="0.25">
      <c r="U185" s="37">
        <v>26930</v>
      </c>
      <c r="V185" s="10">
        <v>10</v>
      </c>
      <c r="W185" s="10">
        <v>3</v>
      </c>
      <c r="X185" s="10">
        <v>4</v>
      </c>
      <c r="Y185" s="11">
        <v>0.58823529411764708</v>
      </c>
      <c r="Z185" s="11">
        <v>0.17647058823529413</v>
      </c>
      <c r="AA185" s="11">
        <v>0.23529411764705882</v>
      </c>
    </row>
    <row r="186" spans="21:27" x14ac:dyDescent="0.25">
      <c r="U186" s="37">
        <v>26937</v>
      </c>
      <c r="V186" s="10">
        <v>7</v>
      </c>
      <c r="W186" s="10">
        <v>1</v>
      </c>
      <c r="X186" s="10">
        <v>9</v>
      </c>
      <c r="Y186" s="11">
        <v>0.41176470588235292</v>
      </c>
      <c r="Z186" s="11">
        <v>5.8823529411764705E-2</v>
      </c>
      <c r="AA186" s="11">
        <v>0.52941176470588236</v>
      </c>
    </row>
    <row r="187" spans="21:27" x14ac:dyDescent="0.25">
      <c r="U187" s="37">
        <v>26944</v>
      </c>
      <c r="V187" s="10">
        <v>8</v>
      </c>
      <c r="W187" s="10">
        <v>4</v>
      </c>
      <c r="X187" s="10">
        <v>12</v>
      </c>
      <c r="Y187" s="11">
        <v>0.33333333333333331</v>
      </c>
      <c r="Z187" s="11">
        <v>0.16666666666666666</v>
      </c>
      <c r="AA187" s="11">
        <v>0.5</v>
      </c>
    </row>
    <row r="188" spans="21:27" x14ac:dyDescent="0.25">
      <c r="U188" s="37">
        <v>26951</v>
      </c>
      <c r="V188" s="10">
        <v>10</v>
      </c>
      <c r="W188" s="10">
        <v>13</v>
      </c>
      <c r="X188" s="10">
        <v>10</v>
      </c>
      <c r="Y188" s="11">
        <v>0.30303030303030304</v>
      </c>
      <c r="Z188" s="11">
        <v>0.39393939393939392</v>
      </c>
      <c r="AA188" s="11">
        <v>0.30303030303030304</v>
      </c>
    </row>
    <row r="189" spans="21:27" x14ac:dyDescent="0.25">
      <c r="U189" s="37">
        <v>26958</v>
      </c>
      <c r="V189" s="10">
        <v>3</v>
      </c>
      <c r="W189" s="10">
        <v>2</v>
      </c>
      <c r="X189" s="10">
        <v>8</v>
      </c>
      <c r="Y189" s="11">
        <v>0.23076923076923078</v>
      </c>
      <c r="Z189" s="11">
        <v>0.15384615384615385</v>
      </c>
      <c r="AA189" s="11">
        <v>0.61538461538461542</v>
      </c>
    </row>
    <row r="190" spans="21:27" x14ac:dyDescent="0.25">
      <c r="U190" s="37">
        <v>26965</v>
      </c>
      <c r="V190" s="10">
        <v>8</v>
      </c>
      <c r="W190" s="10">
        <v>4</v>
      </c>
      <c r="X190" s="10">
        <v>17</v>
      </c>
      <c r="Y190" s="11">
        <v>0.27586206896551724</v>
      </c>
      <c r="Z190" s="11">
        <v>0.13793103448275862</v>
      </c>
      <c r="AA190" s="11">
        <v>0.58620689655172409</v>
      </c>
    </row>
    <row r="191" spans="21:27" x14ac:dyDescent="0.25">
      <c r="U191" s="37">
        <v>26972</v>
      </c>
      <c r="V191" s="10">
        <v>5</v>
      </c>
      <c r="W191" s="10">
        <v>6</v>
      </c>
      <c r="X191" s="10">
        <v>9</v>
      </c>
      <c r="Y191" s="11">
        <v>0.25</v>
      </c>
      <c r="Z191" s="11">
        <v>0.3</v>
      </c>
      <c r="AA191" s="11">
        <v>0.45</v>
      </c>
    </row>
    <row r="192" spans="21:27" x14ac:dyDescent="0.25">
      <c r="U192" s="37">
        <v>26979</v>
      </c>
      <c r="V192" s="10">
        <v>21</v>
      </c>
      <c r="W192" s="10">
        <v>3</v>
      </c>
      <c r="X192" s="10">
        <v>16</v>
      </c>
      <c r="Y192" s="11">
        <v>0.52500000000000002</v>
      </c>
      <c r="Z192" s="11">
        <v>7.4999999999999997E-2</v>
      </c>
      <c r="AA192" s="11">
        <v>0.4</v>
      </c>
    </row>
    <row r="193" spans="21:27" x14ac:dyDescent="0.25">
      <c r="U193" s="37">
        <v>26986</v>
      </c>
      <c r="V193" s="10">
        <v>5</v>
      </c>
      <c r="W193" s="10">
        <v>4</v>
      </c>
      <c r="X193" s="10">
        <v>17</v>
      </c>
      <c r="Y193" s="11">
        <v>0.19230769230769232</v>
      </c>
      <c r="Z193" s="11">
        <v>0.15384615384615385</v>
      </c>
      <c r="AA193" s="11">
        <v>0.65384615384615385</v>
      </c>
    </row>
    <row r="194" spans="21:27" x14ac:dyDescent="0.25">
      <c r="U194" s="37">
        <v>26993</v>
      </c>
      <c r="V194" s="10">
        <v>1</v>
      </c>
      <c r="W194" s="10">
        <v>6</v>
      </c>
      <c r="X194" s="10">
        <v>10</v>
      </c>
      <c r="Y194" s="11">
        <v>5.8823529411764705E-2</v>
      </c>
      <c r="Z194" s="11">
        <v>0.35294117647058826</v>
      </c>
      <c r="AA194" s="11">
        <v>0.58823529411764708</v>
      </c>
    </row>
    <row r="195" spans="21:27" x14ac:dyDescent="0.25">
      <c r="U195" s="37">
        <v>27000</v>
      </c>
      <c r="V195" s="10">
        <v>5</v>
      </c>
      <c r="W195" s="10">
        <v>5</v>
      </c>
      <c r="X195" s="10">
        <v>7</v>
      </c>
      <c r="Y195" s="11">
        <v>0.29411764705882354</v>
      </c>
      <c r="Z195" s="11">
        <v>0.29411764705882354</v>
      </c>
      <c r="AA195" s="11">
        <v>0.41176470588235292</v>
      </c>
    </row>
    <row r="196" spans="21:27" x14ac:dyDescent="0.25">
      <c r="U196" s="37">
        <v>27021</v>
      </c>
      <c r="V196" s="10">
        <v>15</v>
      </c>
      <c r="W196" s="10">
        <v>10</v>
      </c>
      <c r="X196" s="10">
        <v>11</v>
      </c>
      <c r="Y196" s="11">
        <v>0.41666666666666669</v>
      </c>
      <c r="Z196" s="11">
        <v>0.27777777777777779</v>
      </c>
      <c r="AA196" s="11">
        <v>0.30555555555555558</v>
      </c>
    </row>
    <row r="197" spans="21:27" x14ac:dyDescent="0.25">
      <c r="U197" s="37">
        <v>27022</v>
      </c>
      <c r="V197" s="10">
        <v>8</v>
      </c>
      <c r="W197" s="10">
        <v>4</v>
      </c>
      <c r="X197" s="10">
        <v>10</v>
      </c>
      <c r="Y197" s="11">
        <v>0.36363636363636365</v>
      </c>
      <c r="Z197" s="11">
        <v>0.18181818181818182</v>
      </c>
      <c r="AA197" s="11">
        <v>0.45454545454545453</v>
      </c>
    </row>
    <row r="198" spans="21:27" x14ac:dyDescent="0.25">
      <c r="U198" s="37">
        <v>27023</v>
      </c>
      <c r="V198" s="10">
        <v>0</v>
      </c>
      <c r="W198" s="10">
        <v>0</v>
      </c>
      <c r="X198" s="10">
        <v>6</v>
      </c>
      <c r="Y198" s="11">
        <v>0</v>
      </c>
      <c r="Z198" s="11">
        <v>0</v>
      </c>
      <c r="AA198" s="11">
        <v>1</v>
      </c>
    </row>
    <row r="199" spans="21:27" x14ac:dyDescent="0.25">
      <c r="U199" s="37">
        <v>27028</v>
      </c>
      <c r="V199" s="10">
        <v>8</v>
      </c>
      <c r="W199" s="10">
        <v>5</v>
      </c>
      <c r="X199" s="10">
        <v>15</v>
      </c>
      <c r="Y199" s="11">
        <v>0.2857142857142857</v>
      </c>
      <c r="Z199" s="11">
        <v>0.17857142857142858</v>
      </c>
      <c r="AA199" s="11">
        <v>0.5357142857142857</v>
      </c>
    </row>
    <row r="200" spans="21:27" x14ac:dyDescent="0.25">
      <c r="U200" s="37">
        <v>27035</v>
      </c>
      <c r="V200" s="10">
        <v>8</v>
      </c>
      <c r="W200" s="10">
        <v>8</v>
      </c>
      <c r="X200" s="10">
        <v>10</v>
      </c>
      <c r="Y200" s="11">
        <v>0.30769230769230771</v>
      </c>
      <c r="Z200" s="11">
        <v>0.30769230769230771</v>
      </c>
      <c r="AA200" s="11">
        <v>0.38461538461538464</v>
      </c>
    </row>
    <row r="201" spans="21:27" x14ac:dyDescent="0.25">
      <c r="U201" s="37">
        <v>27042</v>
      </c>
      <c r="V201" s="10">
        <v>10</v>
      </c>
      <c r="W201" s="10">
        <v>10</v>
      </c>
      <c r="X201" s="10">
        <v>12</v>
      </c>
      <c r="Y201" s="11">
        <v>0.3125</v>
      </c>
      <c r="Z201" s="11">
        <v>0.3125</v>
      </c>
      <c r="AA201" s="11">
        <v>0.375</v>
      </c>
    </row>
    <row r="202" spans="21:27" x14ac:dyDescent="0.25">
      <c r="U202" s="37">
        <v>27049</v>
      </c>
      <c r="V202" s="10">
        <v>21</v>
      </c>
      <c r="W202" s="10">
        <v>12</v>
      </c>
      <c r="X202" s="10">
        <v>36</v>
      </c>
      <c r="Y202" s="11">
        <v>0.30434782608695654</v>
      </c>
      <c r="Z202" s="11">
        <v>0.17391304347826086</v>
      </c>
      <c r="AA202" s="11">
        <v>0.52173913043478259</v>
      </c>
    </row>
    <row r="203" spans="21:27" x14ac:dyDescent="0.25">
      <c r="U203" s="37">
        <v>27056</v>
      </c>
      <c r="V203" s="10">
        <v>7</v>
      </c>
      <c r="W203" s="10">
        <v>1</v>
      </c>
      <c r="X203" s="10">
        <v>3</v>
      </c>
      <c r="Y203" s="11">
        <v>0.63636363636363635</v>
      </c>
      <c r="Z203" s="11">
        <v>9.0909090909090912E-2</v>
      </c>
      <c r="AA203" s="11">
        <v>0.27272727272727271</v>
      </c>
    </row>
    <row r="204" spans="21:27" x14ac:dyDescent="0.25">
      <c r="U204" s="37">
        <v>27063</v>
      </c>
      <c r="V204" s="10">
        <v>8</v>
      </c>
      <c r="W204" s="10">
        <v>4</v>
      </c>
      <c r="X204" s="10">
        <v>4</v>
      </c>
      <c r="Y204" s="11">
        <v>0.5</v>
      </c>
      <c r="Z204" s="11">
        <v>0.25</v>
      </c>
      <c r="AA204" s="11">
        <v>0.25</v>
      </c>
    </row>
    <row r="205" spans="21:27" x14ac:dyDescent="0.25">
      <c r="U205" s="37">
        <v>27070</v>
      </c>
      <c r="V205" s="10">
        <v>8</v>
      </c>
      <c r="W205" s="10">
        <v>3</v>
      </c>
      <c r="X205" s="10">
        <v>11</v>
      </c>
      <c r="Y205" s="11">
        <v>0.36363636363636365</v>
      </c>
      <c r="Z205" s="11">
        <v>0.13636363636363635</v>
      </c>
      <c r="AA205" s="11">
        <v>0.5</v>
      </c>
    </row>
    <row r="206" spans="21:27" x14ac:dyDescent="0.25">
      <c r="U206" s="37">
        <v>27077</v>
      </c>
      <c r="V206" s="10">
        <v>12</v>
      </c>
      <c r="W206" s="10">
        <v>2</v>
      </c>
      <c r="X206" s="10">
        <v>8</v>
      </c>
      <c r="Y206" s="11">
        <v>0.54545454545454541</v>
      </c>
      <c r="Z206" s="11">
        <v>9.0909090909090912E-2</v>
      </c>
      <c r="AA206" s="11">
        <v>0.36363636363636365</v>
      </c>
    </row>
    <row r="207" spans="21:27" x14ac:dyDescent="0.25">
      <c r="U207" s="37">
        <v>27084</v>
      </c>
      <c r="V207" s="10">
        <v>25</v>
      </c>
      <c r="W207" s="10">
        <v>7</v>
      </c>
      <c r="X207" s="10">
        <v>8</v>
      </c>
      <c r="Y207" s="11">
        <v>0.625</v>
      </c>
      <c r="Z207" s="11">
        <v>0.17499999999999999</v>
      </c>
      <c r="AA207" s="11">
        <v>0.2</v>
      </c>
    </row>
    <row r="208" spans="21:27" x14ac:dyDescent="0.25">
      <c r="U208" s="37">
        <v>27091</v>
      </c>
      <c r="V208" s="10">
        <v>17</v>
      </c>
      <c r="W208" s="10">
        <v>12</v>
      </c>
      <c r="X208" s="10">
        <v>12</v>
      </c>
      <c r="Y208" s="11">
        <v>0.41463414634146339</v>
      </c>
      <c r="Z208" s="11">
        <v>0.29268292682926828</v>
      </c>
      <c r="AA208" s="11">
        <v>0.29268292682926828</v>
      </c>
    </row>
    <row r="209" spans="21:27" x14ac:dyDescent="0.25">
      <c r="U209" s="37">
        <v>27098</v>
      </c>
      <c r="V209" s="10">
        <v>5</v>
      </c>
      <c r="W209" s="10">
        <v>7</v>
      </c>
      <c r="X209" s="10">
        <v>6</v>
      </c>
      <c r="Y209" s="11">
        <v>0.27777777777777779</v>
      </c>
      <c r="Z209" s="11">
        <v>0.3888888888888889</v>
      </c>
      <c r="AA209" s="11">
        <v>0.33333333333333331</v>
      </c>
    </row>
    <row r="210" spans="21:27" x14ac:dyDescent="0.25">
      <c r="U210" s="37">
        <v>27105</v>
      </c>
      <c r="V210" s="10">
        <v>13</v>
      </c>
      <c r="W210" s="10">
        <v>2</v>
      </c>
      <c r="X210" s="10">
        <v>5</v>
      </c>
      <c r="Y210" s="11">
        <v>0.65</v>
      </c>
      <c r="Z210" s="11">
        <v>0.1</v>
      </c>
      <c r="AA210" s="11">
        <v>0.25</v>
      </c>
    </row>
    <row r="211" spans="21:27" x14ac:dyDescent="0.25">
      <c r="U211" s="37">
        <v>27112</v>
      </c>
      <c r="V211" s="10">
        <v>10</v>
      </c>
      <c r="W211" s="10">
        <v>6</v>
      </c>
      <c r="X211" s="10">
        <v>9</v>
      </c>
      <c r="Y211" s="11">
        <v>0.4</v>
      </c>
      <c r="Z211" s="11">
        <v>0.24</v>
      </c>
      <c r="AA211" s="11">
        <v>0.36</v>
      </c>
    </row>
    <row r="212" spans="21:27" x14ac:dyDescent="0.25">
      <c r="U212" s="37">
        <v>27119</v>
      </c>
      <c r="V212" s="10">
        <v>21</v>
      </c>
      <c r="W212" s="10">
        <v>6</v>
      </c>
      <c r="X212" s="10">
        <v>5</v>
      </c>
      <c r="Y212" s="11">
        <v>0.65625</v>
      </c>
      <c r="Z212" s="11">
        <v>0.1875</v>
      </c>
      <c r="AA212" s="11">
        <v>0.15625</v>
      </c>
    </row>
    <row r="213" spans="21:27" x14ac:dyDescent="0.25">
      <c r="U213" s="37">
        <v>27126</v>
      </c>
      <c r="V213" s="10">
        <v>6</v>
      </c>
      <c r="W213" s="10">
        <v>4</v>
      </c>
      <c r="X213" s="10">
        <v>9</v>
      </c>
      <c r="Y213" s="11">
        <v>0.31578947368421051</v>
      </c>
      <c r="Z213" s="11">
        <v>0.21052631578947367</v>
      </c>
      <c r="AA213" s="11">
        <v>0.47368421052631576</v>
      </c>
    </row>
    <row r="214" spans="21:27" x14ac:dyDescent="0.25">
      <c r="U214" s="37">
        <v>27133</v>
      </c>
      <c r="V214" s="10">
        <v>1</v>
      </c>
      <c r="W214" s="10">
        <v>0</v>
      </c>
      <c r="X214" s="10">
        <v>6</v>
      </c>
      <c r="Y214" s="11">
        <v>0.14285714285714285</v>
      </c>
      <c r="Z214" s="11">
        <v>0</v>
      </c>
      <c r="AA214" s="11">
        <v>0.8571428571428571</v>
      </c>
    </row>
    <row r="215" spans="21:27" x14ac:dyDescent="0.25">
      <c r="U215" s="37">
        <v>27140</v>
      </c>
      <c r="V215" s="10">
        <v>24</v>
      </c>
      <c r="W215" s="10">
        <v>18</v>
      </c>
      <c r="X215" s="10">
        <v>8</v>
      </c>
      <c r="Y215" s="11">
        <v>0.48</v>
      </c>
      <c r="Z215" s="11">
        <v>0.36</v>
      </c>
      <c r="AA215" s="11">
        <v>0.16</v>
      </c>
    </row>
    <row r="216" spans="21:27" x14ac:dyDescent="0.25">
      <c r="U216" s="37">
        <v>27147</v>
      </c>
      <c r="V216" s="10">
        <v>9</v>
      </c>
      <c r="W216" s="10">
        <v>6</v>
      </c>
      <c r="X216" s="10">
        <v>21</v>
      </c>
      <c r="Y216" s="11">
        <v>0.25</v>
      </c>
      <c r="Z216" s="11">
        <v>0.16666666666666666</v>
      </c>
      <c r="AA216" s="11">
        <v>0.58333333333333337</v>
      </c>
    </row>
    <row r="217" spans="21:27" x14ac:dyDescent="0.25">
      <c r="U217" s="37">
        <v>27154</v>
      </c>
      <c r="V217" s="10">
        <v>6</v>
      </c>
      <c r="W217" s="10">
        <v>6</v>
      </c>
      <c r="X217" s="10">
        <v>6</v>
      </c>
      <c r="Y217" s="11">
        <v>0.33333333333333331</v>
      </c>
      <c r="Z217" s="11">
        <v>0.33333333333333331</v>
      </c>
      <c r="AA217" s="11">
        <v>0.33333333333333331</v>
      </c>
    </row>
    <row r="218" spans="21:27" x14ac:dyDescent="0.25">
      <c r="U218" s="37">
        <v>27161</v>
      </c>
      <c r="V218" s="10">
        <v>7</v>
      </c>
      <c r="W218" s="10">
        <v>3</v>
      </c>
      <c r="X218" s="10">
        <v>3</v>
      </c>
      <c r="Y218" s="11">
        <v>0.53846153846153844</v>
      </c>
      <c r="Z218" s="11">
        <v>0.23076923076923078</v>
      </c>
      <c r="AA218" s="11">
        <v>0.23076923076923078</v>
      </c>
    </row>
    <row r="219" spans="21:27" x14ac:dyDescent="0.25">
      <c r="U219" s="37">
        <v>27168</v>
      </c>
      <c r="V219" s="10">
        <v>10</v>
      </c>
      <c r="W219" s="10">
        <v>2</v>
      </c>
      <c r="X219" s="10">
        <v>9</v>
      </c>
      <c r="Y219" s="11">
        <v>0.47619047619047616</v>
      </c>
      <c r="Z219" s="11">
        <v>9.5238095238095233E-2</v>
      </c>
      <c r="AA219" s="11">
        <v>0.42857142857142855</v>
      </c>
    </row>
    <row r="220" spans="21:27" x14ac:dyDescent="0.25">
      <c r="U220" s="37">
        <v>27175</v>
      </c>
      <c r="V220" s="10">
        <v>4</v>
      </c>
      <c r="W220" s="10">
        <v>3</v>
      </c>
      <c r="X220" s="10">
        <v>3</v>
      </c>
      <c r="Y220" s="11">
        <v>0.4</v>
      </c>
      <c r="Z220" s="11">
        <v>0.3</v>
      </c>
      <c r="AA220" s="11">
        <v>0.3</v>
      </c>
    </row>
    <row r="221" spans="21:27" x14ac:dyDescent="0.25">
      <c r="U221" s="37">
        <v>27182</v>
      </c>
      <c r="V221" s="10">
        <v>26</v>
      </c>
      <c r="W221" s="10">
        <v>17</v>
      </c>
      <c r="X221" s="10">
        <v>22</v>
      </c>
      <c r="Y221" s="11">
        <v>0.4</v>
      </c>
      <c r="Z221" s="11">
        <v>0.26153846153846155</v>
      </c>
      <c r="AA221" s="11">
        <v>0.33846153846153848</v>
      </c>
    </row>
    <row r="222" spans="21:27" x14ac:dyDescent="0.25">
      <c r="U222" s="37">
        <v>27189</v>
      </c>
      <c r="V222" s="10">
        <v>15</v>
      </c>
      <c r="W222" s="10">
        <v>2</v>
      </c>
      <c r="X222" s="10">
        <v>13</v>
      </c>
      <c r="Y222" s="11">
        <v>0.5</v>
      </c>
      <c r="Z222" s="11">
        <v>6.6666666666666666E-2</v>
      </c>
      <c r="AA222" s="11">
        <v>0.43333333333333335</v>
      </c>
    </row>
    <row r="223" spans="21:27" x14ac:dyDescent="0.25">
      <c r="U223" s="37">
        <v>27196</v>
      </c>
      <c r="V223" s="10">
        <v>2</v>
      </c>
      <c r="W223" s="10">
        <v>0</v>
      </c>
      <c r="X223" s="10">
        <v>4</v>
      </c>
      <c r="Y223" s="11">
        <v>0.33333333333333331</v>
      </c>
      <c r="Z223" s="11">
        <v>0</v>
      </c>
      <c r="AA223" s="11">
        <v>0.66666666666666663</v>
      </c>
    </row>
    <row r="224" spans="21:27" x14ac:dyDescent="0.25">
      <c r="U224" s="37">
        <v>27203</v>
      </c>
      <c r="V224" s="10">
        <v>12</v>
      </c>
      <c r="W224" s="10">
        <v>11</v>
      </c>
      <c r="X224" s="10">
        <v>9</v>
      </c>
      <c r="Y224" s="11">
        <v>0.375</v>
      </c>
      <c r="Z224" s="11">
        <v>0.34375</v>
      </c>
      <c r="AA224" s="11">
        <v>0.28125</v>
      </c>
    </row>
    <row r="225" spans="21:27" x14ac:dyDescent="0.25">
      <c r="U225" s="37">
        <v>27210</v>
      </c>
      <c r="V225" s="10">
        <v>13</v>
      </c>
      <c r="W225" s="10">
        <v>8</v>
      </c>
      <c r="X225" s="10">
        <v>12</v>
      </c>
      <c r="Y225" s="11">
        <v>0.39393939393939392</v>
      </c>
      <c r="Z225" s="11">
        <v>0.24242424242424243</v>
      </c>
      <c r="AA225" s="11">
        <v>0.36363636363636365</v>
      </c>
    </row>
    <row r="226" spans="21:27" x14ac:dyDescent="0.25">
      <c r="U226" s="37">
        <v>27217</v>
      </c>
      <c r="V226" s="10">
        <v>11</v>
      </c>
      <c r="W226" s="10">
        <v>5</v>
      </c>
      <c r="X226" s="10">
        <v>2</v>
      </c>
      <c r="Y226" s="11">
        <v>0.61111111111111116</v>
      </c>
      <c r="Z226" s="11">
        <v>0.27777777777777779</v>
      </c>
      <c r="AA226" s="11">
        <v>0.1111111111111111</v>
      </c>
    </row>
    <row r="227" spans="21:27" x14ac:dyDescent="0.25">
      <c r="U227" s="37">
        <v>27224</v>
      </c>
      <c r="V227" s="10">
        <v>7</v>
      </c>
      <c r="W227" s="10">
        <v>9</v>
      </c>
      <c r="X227" s="10">
        <v>7</v>
      </c>
      <c r="Y227" s="11">
        <v>0.30434782608695654</v>
      </c>
      <c r="Z227" s="11">
        <v>0.39130434782608697</v>
      </c>
      <c r="AA227" s="11">
        <v>0.30434782608695654</v>
      </c>
    </row>
    <row r="228" spans="21:27" x14ac:dyDescent="0.25">
      <c r="U228" s="37">
        <v>27231</v>
      </c>
      <c r="V228" s="10">
        <v>11</v>
      </c>
      <c r="W228" s="10">
        <v>5</v>
      </c>
      <c r="X228" s="10">
        <v>9</v>
      </c>
      <c r="Y228" s="11">
        <v>0.44</v>
      </c>
      <c r="Z228" s="11">
        <v>0.2</v>
      </c>
      <c r="AA228" s="11">
        <v>0.36</v>
      </c>
    </row>
    <row r="229" spans="21:27" x14ac:dyDescent="0.25">
      <c r="U229" s="37">
        <v>27238</v>
      </c>
      <c r="V229" s="10">
        <v>13</v>
      </c>
      <c r="W229" s="10">
        <v>10</v>
      </c>
      <c r="X229" s="10">
        <v>15</v>
      </c>
      <c r="Y229" s="11">
        <v>0.34210526315789475</v>
      </c>
      <c r="Z229" s="11">
        <v>0.26315789473684209</v>
      </c>
      <c r="AA229" s="11">
        <v>0.39473684210526316</v>
      </c>
    </row>
    <row r="230" spans="21:27" x14ac:dyDescent="0.25">
      <c r="U230" s="37">
        <v>27245</v>
      </c>
      <c r="V230" s="10">
        <v>17</v>
      </c>
      <c r="W230" s="10">
        <v>25</v>
      </c>
      <c r="X230" s="10">
        <v>11</v>
      </c>
      <c r="Y230" s="11">
        <v>0.32075471698113206</v>
      </c>
      <c r="Z230" s="11">
        <v>0.47169811320754718</v>
      </c>
      <c r="AA230" s="11">
        <v>0.20754716981132076</v>
      </c>
    </row>
    <row r="231" spans="21:27" x14ac:dyDescent="0.25">
      <c r="U231" s="37">
        <v>27252</v>
      </c>
      <c r="V231" s="10">
        <v>21</v>
      </c>
      <c r="W231" s="10">
        <v>7</v>
      </c>
      <c r="X231" s="10">
        <v>15</v>
      </c>
      <c r="Y231" s="11">
        <v>0.48837209302325579</v>
      </c>
      <c r="Z231" s="11">
        <v>0.16279069767441862</v>
      </c>
      <c r="AA231" s="11">
        <v>0.34883720930232559</v>
      </c>
    </row>
    <row r="232" spans="21:27" x14ac:dyDescent="0.25">
      <c r="U232" s="37">
        <v>27266</v>
      </c>
      <c r="V232" s="10">
        <v>6</v>
      </c>
      <c r="W232" s="10">
        <v>0</v>
      </c>
      <c r="X232" s="10">
        <v>13</v>
      </c>
      <c r="Y232" s="11">
        <v>0.31578947368421051</v>
      </c>
      <c r="Z232" s="11">
        <v>0</v>
      </c>
      <c r="AA232" s="11">
        <v>0.68421052631578949</v>
      </c>
    </row>
    <row r="233" spans="21:27" x14ac:dyDescent="0.25">
      <c r="U233" s="37">
        <v>27273</v>
      </c>
      <c r="V233" s="10">
        <v>9</v>
      </c>
      <c r="W233" s="10">
        <v>7</v>
      </c>
      <c r="X233" s="10">
        <v>12</v>
      </c>
      <c r="Y233" s="11">
        <v>0.32142857142857145</v>
      </c>
      <c r="Z233" s="11">
        <v>0.25</v>
      </c>
      <c r="AA233" s="11">
        <v>0.42857142857142855</v>
      </c>
    </row>
    <row r="234" spans="21:27" x14ac:dyDescent="0.25">
      <c r="U234" s="37">
        <v>27280</v>
      </c>
      <c r="V234" s="10">
        <v>1</v>
      </c>
      <c r="W234" s="10">
        <v>8</v>
      </c>
      <c r="X234" s="10">
        <v>2</v>
      </c>
      <c r="Y234" s="11">
        <v>9.0909090909090912E-2</v>
      </c>
      <c r="Z234" s="11">
        <v>0.72727272727272729</v>
      </c>
      <c r="AA234" s="11">
        <v>0.18181818181818182</v>
      </c>
    </row>
    <row r="235" spans="21:27" x14ac:dyDescent="0.25">
      <c r="U235" s="37">
        <v>27287</v>
      </c>
      <c r="V235" s="10">
        <v>11</v>
      </c>
      <c r="W235" s="10">
        <v>8</v>
      </c>
      <c r="X235" s="10">
        <v>2</v>
      </c>
      <c r="Y235" s="11">
        <v>0.52380952380952384</v>
      </c>
      <c r="Z235" s="11">
        <v>0.38095238095238093</v>
      </c>
      <c r="AA235" s="11">
        <v>9.5238095238095233E-2</v>
      </c>
    </row>
    <row r="236" spans="21:27" x14ac:dyDescent="0.25">
      <c r="U236" s="37">
        <v>27294</v>
      </c>
      <c r="V236" s="10">
        <v>7</v>
      </c>
      <c r="W236" s="10">
        <v>2</v>
      </c>
      <c r="X236" s="10">
        <v>5</v>
      </c>
      <c r="Y236" s="11">
        <v>0.5</v>
      </c>
      <c r="Z236" s="11">
        <v>0.14285714285714285</v>
      </c>
      <c r="AA236" s="11">
        <v>0.35714285714285715</v>
      </c>
    </row>
    <row r="237" spans="21:27" x14ac:dyDescent="0.25">
      <c r="U237" s="37">
        <v>27301</v>
      </c>
      <c r="V237" s="10">
        <v>6</v>
      </c>
      <c r="W237" s="10">
        <v>5</v>
      </c>
      <c r="X237" s="10">
        <v>8</v>
      </c>
      <c r="Y237" s="11">
        <v>0.31578947368421051</v>
      </c>
      <c r="Z237" s="11">
        <v>0.26315789473684209</v>
      </c>
      <c r="AA237" s="11">
        <v>0.42105263157894735</v>
      </c>
    </row>
    <row r="238" spans="21:27" x14ac:dyDescent="0.25">
      <c r="U238" s="37">
        <v>27308</v>
      </c>
      <c r="V238" s="10">
        <v>14</v>
      </c>
      <c r="W238" s="10">
        <v>7</v>
      </c>
      <c r="X238" s="10">
        <v>18</v>
      </c>
      <c r="Y238" s="11">
        <v>0.35897435897435898</v>
      </c>
      <c r="Z238" s="11">
        <v>0.17948717948717949</v>
      </c>
      <c r="AA238" s="11">
        <v>0.46153846153846156</v>
      </c>
    </row>
    <row r="239" spans="21:27" x14ac:dyDescent="0.25">
      <c r="U239" s="37">
        <v>27315</v>
      </c>
      <c r="V239" s="10">
        <v>10</v>
      </c>
      <c r="W239" s="10">
        <v>6</v>
      </c>
      <c r="X239" s="10">
        <v>8</v>
      </c>
      <c r="Y239" s="11">
        <v>0.41666666666666669</v>
      </c>
      <c r="Z239" s="11">
        <v>0.25</v>
      </c>
      <c r="AA239" s="11">
        <v>0.33333333333333331</v>
      </c>
    </row>
    <row r="240" spans="21:27" x14ac:dyDescent="0.25">
      <c r="U240" s="37">
        <v>27322</v>
      </c>
      <c r="V240" s="10">
        <v>1</v>
      </c>
      <c r="W240" s="10">
        <v>0</v>
      </c>
      <c r="X240" s="10">
        <v>1</v>
      </c>
      <c r="Y240" s="11">
        <v>0.5</v>
      </c>
      <c r="Z240" s="11">
        <v>0</v>
      </c>
      <c r="AA240" s="11">
        <v>0.5</v>
      </c>
    </row>
    <row r="241" spans="21:27" x14ac:dyDescent="0.25">
      <c r="U241" s="37">
        <v>27329</v>
      </c>
      <c r="V241" s="10">
        <v>6</v>
      </c>
      <c r="W241" s="10">
        <v>10</v>
      </c>
      <c r="X241" s="10">
        <v>22</v>
      </c>
      <c r="Y241" s="11">
        <v>0.15789473684210525</v>
      </c>
      <c r="Z241" s="11">
        <v>0.26315789473684209</v>
      </c>
      <c r="AA241" s="11">
        <v>0.57894736842105265</v>
      </c>
    </row>
    <row r="242" spans="21:27" x14ac:dyDescent="0.25">
      <c r="U242" s="37">
        <v>27336</v>
      </c>
      <c r="V242" s="10">
        <v>9</v>
      </c>
      <c r="W242" s="10">
        <v>8</v>
      </c>
      <c r="X242" s="10">
        <v>12</v>
      </c>
      <c r="Y242" s="11">
        <v>0.31034482758620691</v>
      </c>
      <c r="Z242" s="11">
        <v>0.27586206896551724</v>
      </c>
      <c r="AA242" s="11">
        <v>0.41379310344827586</v>
      </c>
    </row>
    <row r="243" spans="21:27" x14ac:dyDescent="0.25">
      <c r="U243" s="37">
        <v>27343</v>
      </c>
      <c r="V243" s="10">
        <v>2</v>
      </c>
      <c r="W243" s="10">
        <v>0</v>
      </c>
      <c r="X243" s="10">
        <v>1</v>
      </c>
      <c r="Y243" s="11">
        <v>0.66666666666666663</v>
      </c>
      <c r="Z243" s="11">
        <v>0</v>
      </c>
      <c r="AA243" s="11">
        <v>0.33333333333333331</v>
      </c>
    </row>
    <row r="244" spans="21:27" x14ac:dyDescent="0.25">
      <c r="U244" s="37">
        <v>27350</v>
      </c>
      <c r="V244" s="10">
        <v>6</v>
      </c>
      <c r="W244" s="10">
        <v>5</v>
      </c>
      <c r="X244" s="10">
        <v>6</v>
      </c>
      <c r="Y244" s="11">
        <v>0.35294117647058826</v>
      </c>
      <c r="Z244" s="11">
        <v>0.29411764705882354</v>
      </c>
      <c r="AA244" s="11">
        <v>0.35294117647058826</v>
      </c>
    </row>
    <row r="245" spans="21:27" x14ac:dyDescent="0.25">
      <c r="U245" s="37">
        <v>27357</v>
      </c>
      <c r="V245" s="10">
        <v>6</v>
      </c>
      <c r="W245" s="10">
        <v>6</v>
      </c>
      <c r="X245" s="10">
        <v>7</v>
      </c>
      <c r="Y245" s="11">
        <v>0.31578947368421051</v>
      </c>
      <c r="Z245" s="11">
        <v>0.31578947368421051</v>
      </c>
      <c r="AA245" s="11">
        <v>0.36842105263157893</v>
      </c>
    </row>
    <row r="246" spans="21:27" x14ac:dyDescent="0.25">
      <c r="U246" s="37">
        <v>27371</v>
      </c>
      <c r="V246" s="10">
        <v>5</v>
      </c>
      <c r="W246" s="10">
        <v>1</v>
      </c>
      <c r="X246" s="10">
        <v>10</v>
      </c>
      <c r="Y246" s="11">
        <v>0.3125</v>
      </c>
      <c r="Z246" s="11">
        <v>6.25E-2</v>
      </c>
      <c r="AA246" s="11">
        <v>0.625</v>
      </c>
    </row>
    <row r="247" spans="21:27" x14ac:dyDescent="0.25">
      <c r="U247" s="37">
        <v>27378</v>
      </c>
      <c r="V247" s="10">
        <v>15</v>
      </c>
      <c r="W247" s="10">
        <v>7</v>
      </c>
      <c r="X247" s="10">
        <v>11</v>
      </c>
      <c r="Y247" s="11">
        <v>0.45454545454545453</v>
      </c>
      <c r="Z247" s="11">
        <v>0.21212121212121213</v>
      </c>
      <c r="AA247" s="11">
        <v>0.33333333333333331</v>
      </c>
    </row>
    <row r="248" spans="21:27" x14ac:dyDescent="0.25">
      <c r="U248" s="37">
        <v>27385</v>
      </c>
      <c r="V248" s="10">
        <v>5</v>
      </c>
      <c r="W248" s="10">
        <v>3</v>
      </c>
      <c r="X248" s="10">
        <v>7</v>
      </c>
      <c r="Y248" s="11">
        <v>0.33333333333333331</v>
      </c>
      <c r="Z248" s="11">
        <v>0.2</v>
      </c>
      <c r="AA248" s="11">
        <v>0.46666666666666667</v>
      </c>
    </row>
    <row r="249" spans="21:27" x14ac:dyDescent="0.25">
      <c r="U249" s="37">
        <v>27388</v>
      </c>
      <c r="V249" s="10">
        <v>1</v>
      </c>
      <c r="W249" s="10">
        <v>6</v>
      </c>
      <c r="X249" s="10">
        <v>9</v>
      </c>
      <c r="Y249" s="11">
        <v>6.25E-2</v>
      </c>
      <c r="Z249" s="11">
        <v>0.375</v>
      </c>
      <c r="AA249" s="11">
        <v>0.5625</v>
      </c>
    </row>
    <row r="250" spans="21:27" x14ac:dyDescent="0.25">
      <c r="U250" s="37">
        <v>27392</v>
      </c>
      <c r="V250" s="10">
        <v>3</v>
      </c>
      <c r="W250" s="10">
        <v>1</v>
      </c>
      <c r="X250" s="10">
        <v>3</v>
      </c>
      <c r="Y250" s="11">
        <v>0.42857142857142855</v>
      </c>
      <c r="Z250" s="11">
        <v>0.14285714285714285</v>
      </c>
      <c r="AA250" s="11">
        <v>0.42857142857142855</v>
      </c>
    </row>
    <row r="251" spans="21:27" x14ac:dyDescent="0.25">
      <c r="U251" s="37">
        <v>27399</v>
      </c>
      <c r="V251" s="10">
        <v>3</v>
      </c>
      <c r="W251" s="10">
        <v>4</v>
      </c>
      <c r="X251" s="10">
        <v>2</v>
      </c>
      <c r="Y251" s="11">
        <v>0.33333333333333331</v>
      </c>
      <c r="Z251" s="11">
        <v>0.44444444444444442</v>
      </c>
      <c r="AA251" s="11">
        <v>0.22222222222222221</v>
      </c>
    </row>
    <row r="252" spans="21:27" x14ac:dyDescent="0.25">
      <c r="U252" s="37">
        <v>27406</v>
      </c>
      <c r="V252" s="10">
        <v>16</v>
      </c>
      <c r="W252" s="10">
        <v>27</v>
      </c>
      <c r="X252" s="10">
        <v>20</v>
      </c>
      <c r="Y252" s="11">
        <v>0.25396825396825395</v>
      </c>
      <c r="Z252" s="11">
        <v>0.42857142857142855</v>
      </c>
      <c r="AA252" s="11">
        <v>0.31746031746031744</v>
      </c>
    </row>
    <row r="253" spans="21:27" x14ac:dyDescent="0.25">
      <c r="U253" s="37">
        <v>27413</v>
      </c>
      <c r="V253" s="10">
        <v>2</v>
      </c>
      <c r="W253" s="10">
        <v>0</v>
      </c>
      <c r="X253" s="10">
        <v>13</v>
      </c>
      <c r="Y253" s="11">
        <v>0.13333333333333333</v>
      </c>
      <c r="Z253" s="11">
        <v>0</v>
      </c>
      <c r="AA253" s="11">
        <v>0.8666666666666667</v>
      </c>
    </row>
    <row r="254" spans="21:27" x14ac:dyDescent="0.25">
      <c r="U254" s="37">
        <v>27420</v>
      </c>
      <c r="V254" s="10">
        <v>9</v>
      </c>
      <c r="W254" s="10">
        <v>3</v>
      </c>
      <c r="X254" s="10">
        <v>16</v>
      </c>
      <c r="Y254" s="11">
        <v>0.32142857142857145</v>
      </c>
      <c r="Z254" s="11">
        <v>0.10714285714285714</v>
      </c>
      <c r="AA254" s="11">
        <v>0.5714285714285714</v>
      </c>
    </row>
    <row r="255" spans="21:27" x14ac:dyDescent="0.25">
      <c r="U255" s="37">
        <v>27427</v>
      </c>
      <c r="V255" s="10">
        <v>5</v>
      </c>
      <c r="W255" s="10">
        <v>5</v>
      </c>
      <c r="X255" s="10">
        <v>15</v>
      </c>
      <c r="Y255" s="11">
        <v>0.2</v>
      </c>
      <c r="Z255" s="11">
        <v>0.2</v>
      </c>
      <c r="AA255" s="11">
        <v>0.6</v>
      </c>
    </row>
    <row r="256" spans="21:27" x14ac:dyDescent="0.25">
      <c r="U256" s="37">
        <v>27434</v>
      </c>
      <c r="V256" s="10">
        <v>10</v>
      </c>
      <c r="W256" s="10">
        <v>3</v>
      </c>
      <c r="X256" s="10">
        <v>8</v>
      </c>
      <c r="Y256" s="11">
        <v>0.47619047619047616</v>
      </c>
      <c r="Z256" s="11">
        <v>0.14285714285714285</v>
      </c>
      <c r="AA256" s="11">
        <v>0.38095238095238093</v>
      </c>
    </row>
    <row r="257" spans="21:27" x14ac:dyDescent="0.25">
      <c r="U257" s="37">
        <v>27441</v>
      </c>
      <c r="V257" s="10">
        <v>10</v>
      </c>
      <c r="W257" s="10">
        <v>3</v>
      </c>
      <c r="X257" s="10">
        <v>10</v>
      </c>
      <c r="Y257" s="11">
        <v>0.43478260869565216</v>
      </c>
      <c r="Z257" s="11">
        <v>0.13043478260869565</v>
      </c>
      <c r="AA257" s="11">
        <v>0.43478260869565216</v>
      </c>
    </row>
    <row r="258" spans="21:27" x14ac:dyDescent="0.25">
      <c r="U258" s="37">
        <v>27448</v>
      </c>
      <c r="V258" s="10">
        <v>13</v>
      </c>
      <c r="W258" s="10">
        <v>10</v>
      </c>
      <c r="X258" s="10">
        <v>8</v>
      </c>
      <c r="Y258" s="11">
        <v>0.41935483870967744</v>
      </c>
      <c r="Z258" s="11">
        <v>0.32258064516129031</v>
      </c>
      <c r="AA258" s="11">
        <v>0.25806451612903225</v>
      </c>
    </row>
    <row r="259" spans="21:27" x14ac:dyDescent="0.25">
      <c r="U259" s="37">
        <v>27455</v>
      </c>
      <c r="V259" s="10">
        <v>0</v>
      </c>
      <c r="W259" s="10">
        <v>2</v>
      </c>
      <c r="X259" s="10">
        <v>3</v>
      </c>
      <c r="Y259" s="11">
        <v>0</v>
      </c>
      <c r="Z259" s="11">
        <v>0.4</v>
      </c>
      <c r="AA259" s="11">
        <v>0.6</v>
      </c>
    </row>
    <row r="260" spans="21:27" x14ac:dyDescent="0.25">
      <c r="U260" s="37">
        <v>27462</v>
      </c>
      <c r="V260" s="10">
        <v>18</v>
      </c>
      <c r="W260" s="10">
        <v>9</v>
      </c>
      <c r="X260" s="10">
        <v>20</v>
      </c>
      <c r="Y260" s="11">
        <v>0.38297872340425532</v>
      </c>
      <c r="Z260" s="11">
        <v>0.19148936170212766</v>
      </c>
      <c r="AA260" s="11">
        <v>0.42553191489361702</v>
      </c>
    </row>
    <row r="261" spans="21:27" x14ac:dyDescent="0.25">
      <c r="U261" s="37">
        <v>27469</v>
      </c>
      <c r="V261" s="10">
        <v>14</v>
      </c>
      <c r="W261" s="10">
        <v>10</v>
      </c>
      <c r="X261" s="10">
        <v>6</v>
      </c>
      <c r="Y261" s="11">
        <v>0.46666666666666667</v>
      </c>
      <c r="Z261" s="11">
        <v>0.33333333333333331</v>
      </c>
      <c r="AA261" s="11">
        <v>0.2</v>
      </c>
    </row>
    <row r="262" spans="21:27" x14ac:dyDescent="0.25">
      <c r="U262" s="37">
        <v>27476</v>
      </c>
      <c r="V262" s="10">
        <v>9</v>
      </c>
      <c r="W262" s="10">
        <v>6</v>
      </c>
      <c r="X262" s="10">
        <v>13</v>
      </c>
      <c r="Y262" s="11">
        <v>0.32142857142857145</v>
      </c>
      <c r="Z262" s="11">
        <v>0.21428571428571427</v>
      </c>
      <c r="AA262" s="11">
        <v>0.4642857142857143</v>
      </c>
    </row>
    <row r="263" spans="21:27" x14ac:dyDescent="0.25">
      <c r="U263" s="37">
        <v>27483</v>
      </c>
      <c r="V263" s="10">
        <v>3</v>
      </c>
      <c r="W263" s="10">
        <v>3</v>
      </c>
      <c r="X263" s="10">
        <v>2</v>
      </c>
      <c r="Y263" s="11">
        <v>0.375</v>
      </c>
      <c r="Z263" s="11">
        <v>0.375</v>
      </c>
      <c r="AA263" s="11">
        <v>0.25</v>
      </c>
    </row>
    <row r="264" spans="21:27" x14ac:dyDescent="0.25">
      <c r="U264" s="37">
        <v>27490</v>
      </c>
      <c r="V264" s="10">
        <v>6</v>
      </c>
      <c r="W264" s="10">
        <v>5</v>
      </c>
      <c r="X264" s="10">
        <v>12</v>
      </c>
      <c r="Y264" s="11">
        <v>0.2608695652173913</v>
      </c>
      <c r="Z264" s="11">
        <v>0.21739130434782608</v>
      </c>
      <c r="AA264" s="11">
        <v>0.52173913043478259</v>
      </c>
    </row>
    <row r="265" spans="21:27" x14ac:dyDescent="0.25">
      <c r="U265" s="37">
        <v>27497</v>
      </c>
      <c r="V265" s="10">
        <v>7</v>
      </c>
      <c r="W265" s="10">
        <v>1</v>
      </c>
      <c r="X265" s="10">
        <v>4</v>
      </c>
      <c r="Y265" s="11">
        <v>0.58333333333333337</v>
      </c>
      <c r="Z265" s="11">
        <v>8.3333333333333329E-2</v>
      </c>
      <c r="AA265" s="11">
        <v>0.33333333333333331</v>
      </c>
    </row>
    <row r="266" spans="21:27" x14ac:dyDescent="0.25">
      <c r="U266" s="37">
        <v>27504</v>
      </c>
      <c r="V266" s="10">
        <v>2</v>
      </c>
      <c r="W266" s="10">
        <v>9</v>
      </c>
      <c r="X266" s="10">
        <v>6</v>
      </c>
      <c r="Y266" s="11">
        <v>0.11764705882352941</v>
      </c>
      <c r="Z266" s="11">
        <v>0.52941176470588236</v>
      </c>
      <c r="AA266" s="11">
        <v>0.35294117647058826</v>
      </c>
    </row>
    <row r="267" spans="21:27" x14ac:dyDescent="0.25">
      <c r="U267" s="37">
        <v>27511</v>
      </c>
      <c r="V267" s="10">
        <v>2</v>
      </c>
      <c r="W267" s="10">
        <v>0</v>
      </c>
      <c r="X267" s="10">
        <v>1</v>
      </c>
      <c r="Y267" s="11">
        <v>0.66666666666666663</v>
      </c>
      <c r="Z267" s="11">
        <v>0</v>
      </c>
      <c r="AA267" s="11">
        <v>0.33333333333333331</v>
      </c>
    </row>
    <row r="268" spans="21:27" x14ac:dyDescent="0.25">
      <c r="U268" s="37">
        <v>27518</v>
      </c>
      <c r="V268" s="10">
        <v>2</v>
      </c>
      <c r="W268" s="10">
        <v>3</v>
      </c>
      <c r="X268" s="10">
        <v>2</v>
      </c>
      <c r="Y268" s="11">
        <v>0.2857142857142857</v>
      </c>
      <c r="Z268" s="11">
        <v>0.42857142857142855</v>
      </c>
      <c r="AA268" s="11">
        <v>0.2857142857142857</v>
      </c>
    </row>
    <row r="269" spans="21:27" x14ac:dyDescent="0.25">
      <c r="U269" s="37">
        <v>27525</v>
      </c>
      <c r="V269" s="10">
        <v>6</v>
      </c>
      <c r="W269" s="10">
        <v>7</v>
      </c>
      <c r="X269" s="10">
        <v>21</v>
      </c>
      <c r="Y269" s="11">
        <v>0.17647058823529413</v>
      </c>
      <c r="Z269" s="11">
        <v>0.20588235294117646</v>
      </c>
      <c r="AA269" s="11">
        <v>0.61764705882352944</v>
      </c>
    </row>
    <row r="270" spans="21:27" x14ac:dyDescent="0.25">
      <c r="U270" s="37">
        <v>27532</v>
      </c>
      <c r="V270" s="10">
        <v>11</v>
      </c>
      <c r="W270" s="10">
        <v>8</v>
      </c>
      <c r="X270" s="10">
        <v>9</v>
      </c>
      <c r="Y270" s="11">
        <v>0.39285714285714285</v>
      </c>
      <c r="Z270" s="11">
        <v>0.2857142857142857</v>
      </c>
      <c r="AA270" s="11">
        <v>0.32142857142857145</v>
      </c>
    </row>
    <row r="271" spans="21:27" x14ac:dyDescent="0.25">
      <c r="U271" s="37">
        <v>27539</v>
      </c>
      <c r="V271" s="10">
        <v>17</v>
      </c>
      <c r="W271" s="10">
        <v>8</v>
      </c>
      <c r="X271" s="10">
        <v>17</v>
      </c>
      <c r="Y271" s="11">
        <v>0.40476190476190477</v>
      </c>
      <c r="Z271" s="11">
        <v>0.19047619047619047</v>
      </c>
      <c r="AA271" s="11">
        <v>0.40476190476190477</v>
      </c>
    </row>
    <row r="272" spans="21:27" x14ac:dyDescent="0.25">
      <c r="U272" s="37">
        <v>27546</v>
      </c>
      <c r="V272" s="10">
        <v>5</v>
      </c>
      <c r="W272" s="10">
        <v>6</v>
      </c>
      <c r="X272" s="10">
        <v>11</v>
      </c>
      <c r="Y272" s="11">
        <v>0.22727272727272727</v>
      </c>
      <c r="Z272" s="11">
        <v>0.27272727272727271</v>
      </c>
      <c r="AA272" s="11">
        <v>0.5</v>
      </c>
    </row>
    <row r="273" spans="21:27" x14ac:dyDescent="0.25">
      <c r="U273" s="37">
        <v>27553</v>
      </c>
      <c r="V273" s="10">
        <v>11</v>
      </c>
      <c r="W273" s="10">
        <v>15</v>
      </c>
      <c r="X273" s="10">
        <v>13</v>
      </c>
      <c r="Y273" s="11">
        <v>0.28205128205128205</v>
      </c>
      <c r="Z273" s="11">
        <v>0.38461538461538464</v>
      </c>
      <c r="AA273" s="11">
        <v>0.33333333333333331</v>
      </c>
    </row>
    <row r="274" spans="21:27" x14ac:dyDescent="0.25">
      <c r="U274" s="37">
        <v>27560</v>
      </c>
      <c r="V274" s="10">
        <v>1</v>
      </c>
      <c r="W274" s="10">
        <v>0</v>
      </c>
      <c r="X274" s="10">
        <v>3</v>
      </c>
      <c r="Y274" s="11">
        <v>0.25</v>
      </c>
      <c r="Z274" s="11">
        <v>0</v>
      </c>
      <c r="AA274" s="11">
        <v>0.75</v>
      </c>
    </row>
    <row r="275" spans="21:27" x14ac:dyDescent="0.25">
      <c r="U275" s="37">
        <v>27567</v>
      </c>
      <c r="V275" s="10">
        <v>6</v>
      </c>
      <c r="W275" s="10">
        <v>3</v>
      </c>
      <c r="X275" s="10">
        <v>6</v>
      </c>
      <c r="Y275" s="11">
        <v>0.4</v>
      </c>
      <c r="Z275" s="11">
        <v>0.2</v>
      </c>
      <c r="AA275" s="11">
        <v>0.4</v>
      </c>
    </row>
    <row r="276" spans="21:27" x14ac:dyDescent="0.25">
      <c r="U276" s="37">
        <v>27574</v>
      </c>
      <c r="V276" s="10">
        <v>14</v>
      </c>
      <c r="W276" s="10">
        <v>16</v>
      </c>
      <c r="X276" s="10">
        <v>16</v>
      </c>
      <c r="Y276" s="11">
        <v>0.30434782608695654</v>
      </c>
      <c r="Z276" s="11">
        <v>0.34782608695652173</v>
      </c>
      <c r="AA276" s="11">
        <v>0.34782608695652173</v>
      </c>
    </row>
    <row r="277" spans="21:27" x14ac:dyDescent="0.25">
      <c r="U277" s="37">
        <v>27581</v>
      </c>
      <c r="V277" s="10">
        <v>8</v>
      </c>
      <c r="W277" s="10">
        <v>4</v>
      </c>
      <c r="X277" s="10">
        <v>13</v>
      </c>
      <c r="Y277" s="11">
        <v>0.32</v>
      </c>
      <c r="Z277" s="11">
        <v>0.16</v>
      </c>
      <c r="AA277" s="11">
        <v>0.52</v>
      </c>
    </row>
    <row r="278" spans="21:27" x14ac:dyDescent="0.25">
      <c r="U278" s="37">
        <v>27588</v>
      </c>
      <c r="V278" s="10">
        <v>0</v>
      </c>
      <c r="W278" s="10">
        <v>2</v>
      </c>
      <c r="X278" s="10">
        <v>2</v>
      </c>
      <c r="Y278" s="11">
        <v>0</v>
      </c>
      <c r="Z278" s="11">
        <v>0.5</v>
      </c>
      <c r="AA278" s="11">
        <v>0.5</v>
      </c>
    </row>
    <row r="279" spans="21:27" x14ac:dyDescent="0.25">
      <c r="U279" s="37">
        <v>27595</v>
      </c>
      <c r="V279" s="10">
        <v>7</v>
      </c>
      <c r="W279" s="10">
        <v>5</v>
      </c>
      <c r="X279" s="10">
        <v>10</v>
      </c>
      <c r="Y279" s="11">
        <v>0.31818181818181818</v>
      </c>
      <c r="Z279" s="11">
        <v>0.22727272727272727</v>
      </c>
      <c r="AA279" s="11">
        <v>0.45454545454545453</v>
      </c>
    </row>
    <row r="280" spans="21:27" x14ac:dyDescent="0.25">
      <c r="U280" s="37">
        <v>27602</v>
      </c>
      <c r="V280" s="10">
        <v>24</v>
      </c>
      <c r="W280" s="10">
        <v>7</v>
      </c>
      <c r="X280" s="10">
        <v>19</v>
      </c>
      <c r="Y280" s="11">
        <v>0.48</v>
      </c>
      <c r="Z280" s="11">
        <v>0.14000000000000001</v>
      </c>
      <c r="AA280" s="11">
        <v>0.38</v>
      </c>
    </row>
    <row r="281" spans="21:27" x14ac:dyDescent="0.25">
      <c r="U281" s="37">
        <v>27609</v>
      </c>
      <c r="V281" s="10">
        <v>7</v>
      </c>
      <c r="W281" s="10">
        <v>6</v>
      </c>
      <c r="X281" s="10">
        <v>6</v>
      </c>
      <c r="Y281" s="11">
        <v>0.36842105263157893</v>
      </c>
      <c r="Z281" s="11">
        <v>0.31578947368421051</v>
      </c>
      <c r="AA281" s="11">
        <v>0.31578947368421051</v>
      </c>
    </row>
    <row r="282" spans="21:27" x14ac:dyDescent="0.25">
      <c r="U282" s="37">
        <v>27616</v>
      </c>
      <c r="V282" s="10">
        <v>9</v>
      </c>
      <c r="W282" s="10">
        <v>6</v>
      </c>
      <c r="X282" s="10">
        <v>11</v>
      </c>
      <c r="Y282" s="11">
        <v>0.34615384615384615</v>
      </c>
      <c r="Z282" s="11">
        <v>0.23076923076923078</v>
      </c>
      <c r="AA282" s="11">
        <v>0.42307692307692307</v>
      </c>
    </row>
    <row r="283" spans="21:27" x14ac:dyDescent="0.25">
      <c r="U283" s="37">
        <v>27623</v>
      </c>
      <c r="V283" s="10">
        <v>16</v>
      </c>
      <c r="W283" s="10">
        <v>8</v>
      </c>
      <c r="X283" s="10">
        <v>15</v>
      </c>
      <c r="Y283" s="11">
        <v>0.41025641025641024</v>
      </c>
      <c r="Z283" s="11">
        <v>0.20512820512820512</v>
      </c>
      <c r="AA283" s="11">
        <v>0.38461538461538464</v>
      </c>
    </row>
    <row r="284" spans="21:27" x14ac:dyDescent="0.25">
      <c r="U284" s="37">
        <v>27630</v>
      </c>
      <c r="V284" s="10">
        <v>8</v>
      </c>
      <c r="W284" s="10">
        <v>6</v>
      </c>
      <c r="X284" s="10">
        <v>8</v>
      </c>
      <c r="Y284" s="11">
        <v>0.36363636363636365</v>
      </c>
      <c r="Z284" s="11">
        <v>0.27272727272727271</v>
      </c>
      <c r="AA284" s="11">
        <v>0.36363636363636365</v>
      </c>
    </row>
    <row r="285" spans="21:27" x14ac:dyDescent="0.25">
      <c r="U285" s="37">
        <v>27637</v>
      </c>
      <c r="V285" s="10">
        <v>3</v>
      </c>
      <c r="W285" s="10">
        <v>1</v>
      </c>
      <c r="X285" s="10">
        <v>6</v>
      </c>
      <c r="Y285" s="11">
        <v>0.3</v>
      </c>
      <c r="Z285" s="11">
        <v>0.1</v>
      </c>
      <c r="AA285" s="11">
        <v>0.6</v>
      </c>
    </row>
    <row r="286" spans="21:27" x14ac:dyDescent="0.25">
      <c r="U286" s="37">
        <v>27644</v>
      </c>
      <c r="V286" s="10">
        <v>3</v>
      </c>
      <c r="W286" s="10">
        <v>6</v>
      </c>
      <c r="X286" s="10">
        <v>2</v>
      </c>
      <c r="Y286" s="11">
        <v>0.27272727272727271</v>
      </c>
      <c r="Z286" s="11">
        <v>0.54545454545454541</v>
      </c>
      <c r="AA286" s="11">
        <v>0.18181818181818182</v>
      </c>
    </row>
    <row r="287" spans="21:27" x14ac:dyDescent="0.25">
      <c r="U287" s="37">
        <v>27651</v>
      </c>
      <c r="V287" s="10">
        <v>9</v>
      </c>
      <c r="W287" s="10">
        <v>5</v>
      </c>
      <c r="X287" s="10">
        <v>19</v>
      </c>
      <c r="Y287" s="11">
        <v>0.27272727272727271</v>
      </c>
      <c r="Z287" s="11">
        <v>0.15151515151515152</v>
      </c>
      <c r="AA287" s="11">
        <v>0.5757575757575758</v>
      </c>
    </row>
    <row r="288" spans="21:27" x14ac:dyDescent="0.25">
      <c r="U288" s="37">
        <v>27658</v>
      </c>
      <c r="V288" s="10">
        <v>9</v>
      </c>
      <c r="W288" s="10">
        <v>5</v>
      </c>
      <c r="X288" s="10">
        <v>3</v>
      </c>
      <c r="Y288" s="11">
        <v>0.52941176470588236</v>
      </c>
      <c r="Z288" s="11">
        <v>0.29411764705882354</v>
      </c>
      <c r="AA288" s="11">
        <v>0.17647058823529413</v>
      </c>
    </row>
    <row r="289" spans="21:27" x14ac:dyDescent="0.25">
      <c r="U289" s="37">
        <v>27665</v>
      </c>
      <c r="V289" s="10">
        <v>5</v>
      </c>
      <c r="W289" s="10">
        <v>3</v>
      </c>
      <c r="X289" s="10">
        <v>5</v>
      </c>
      <c r="Y289" s="11">
        <v>0.38461538461538464</v>
      </c>
      <c r="Z289" s="11">
        <v>0.23076923076923078</v>
      </c>
      <c r="AA289" s="11">
        <v>0.38461538461538464</v>
      </c>
    </row>
    <row r="290" spans="21:27" x14ac:dyDescent="0.25">
      <c r="U290" s="37">
        <v>27672</v>
      </c>
      <c r="V290" s="10">
        <v>20</v>
      </c>
      <c r="W290" s="10">
        <v>2</v>
      </c>
      <c r="X290" s="10">
        <v>8</v>
      </c>
      <c r="Y290" s="11">
        <v>0.66666666666666663</v>
      </c>
      <c r="Z290" s="11">
        <v>6.6666666666666666E-2</v>
      </c>
      <c r="AA290" s="11">
        <v>0.26666666666666666</v>
      </c>
    </row>
    <row r="291" spans="21:27" x14ac:dyDescent="0.25">
      <c r="U291" s="37">
        <v>27679</v>
      </c>
      <c r="V291" s="10">
        <v>2</v>
      </c>
      <c r="W291" s="10">
        <v>2</v>
      </c>
      <c r="X291" s="10">
        <v>7</v>
      </c>
      <c r="Y291" s="11">
        <v>0.18181818181818182</v>
      </c>
      <c r="Z291" s="11">
        <v>0.18181818181818182</v>
      </c>
      <c r="AA291" s="11">
        <v>0.63636363636363635</v>
      </c>
    </row>
    <row r="292" spans="21:27" x14ac:dyDescent="0.25">
      <c r="U292" s="37">
        <v>27686</v>
      </c>
      <c r="V292" s="10">
        <v>4</v>
      </c>
      <c r="W292" s="10">
        <v>2</v>
      </c>
      <c r="X292" s="10">
        <v>4</v>
      </c>
      <c r="Y292" s="11">
        <v>0.4</v>
      </c>
      <c r="Z292" s="11">
        <v>0.2</v>
      </c>
      <c r="AA292" s="11">
        <v>0.4</v>
      </c>
    </row>
    <row r="293" spans="21:27" x14ac:dyDescent="0.25">
      <c r="U293" s="37">
        <v>27693</v>
      </c>
      <c r="V293" s="10">
        <v>31</v>
      </c>
      <c r="W293" s="10">
        <v>34</v>
      </c>
      <c r="X293" s="10">
        <v>29</v>
      </c>
      <c r="Y293" s="11">
        <v>0.32978723404255317</v>
      </c>
      <c r="Z293" s="11">
        <v>0.36170212765957449</v>
      </c>
      <c r="AA293" s="11">
        <v>0.30851063829787234</v>
      </c>
    </row>
    <row r="294" spans="21:27" x14ac:dyDescent="0.25">
      <c r="U294" s="37">
        <v>27700</v>
      </c>
      <c r="V294" s="10">
        <v>7</v>
      </c>
      <c r="W294" s="10">
        <v>5</v>
      </c>
      <c r="X294" s="10">
        <v>4</v>
      </c>
      <c r="Y294" s="11">
        <v>0.4375</v>
      </c>
      <c r="Z294" s="11">
        <v>0.3125</v>
      </c>
      <c r="AA294" s="11">
        <v>0.25</v>
      </c>
    </row>
    <row r="295" spans="21:27" x14ac:dyDescent="0.25">
      <c r="U295" s="37">
        <v>27707</v>
      </c>
      <c r="V295" s="10">
        <v>9</v>
      </c>
      <c r="W295" s="10">
        <v>7</v>
      </c>
      <c r="X295" s="10">
        <v>8</v>
      </c>
      <c r="Y295" s="11">
        <v>0.375</v>
      </c>
      <c r="Z295" s="11">
        <v>0.29166666666666669</v>
      </c>
      <c r="AA295" s="11">
        <v>0.33333333333333331</v>
      </c>
    </row>
    <row r="296" spans="21:27" x14ac:dyDescent="0.25">
      <c r="U296" s="37">
        <v>27714</v>
      </c>
      <c r="V296" s="10">
        <v>3</v>
      </c>
      <c r="W296" s="10">
        <v>1</v>
      </c>
      <c r="X296" s="10">
        <v>4</v>
      </c>
      <c r="Y296" s="11">
        <v>0.375</v>
      </c>
      <c r="Z296" s="11">
        <v>0.125</v>
      </c>
      <c r="AA296" s="11">
        <v>0.5</v>
      </c>
    </row>
    <row r="297" spans="21:27" x14ac:dyDescent="0.25">
      <c r="U297" s="37">
        <v>27721</v>
      </c>
      <c r="V297" s="10">
        <v>1</v>
      </c>
      <c r="W297" s="10">
        <v>0</v>
      </c>
      <c r="X297" s="10">
        <v>0</v>
      </c>
      <c r="Y297" s="11">
        <v>1</v>
      </c>
      <c r="Z297" s="11">
        <v>0</v>
      </c>
      <c r="AA297" s="11">
        <v>0</v>
      </c>
    </row>
    <row r="298" spans="21:27" x14ac:dyDescent="0.25">
      <c r="U298" s="37">
        <v>27728</v>
      </c>
      <c r="V298" s="10">
        <v>13</v>
      </c>
      <c r="W298" s="10">
        <v>11</v>
      </c>
      <c r="X298" s="10">
        <v>10</v>
      </c>
      <c r="Y298" s="11">
        <v>0.38235294117647056</v>
      </c>
      <c r="Z298" s="11">
        <v>0.3235294117647059</v>
      </c>
      <c r="AA298" s="11">
        <v>0.29411764705882354</v>
      </c>
    </row>
    <row r="299" spans="21:27" x14ac:dyDescent="0.25">
      <c r="U299" s="37">
        <v>27735</v>
      </c>
      <c r="V299" s="10">
        <v>5</v>
      </c>
      <c r="W299" s="10">
        <v>9</v>
      </c>
      <c r="X299" s="10">
        <v>12</v>
      </c>
      <c r="Y299" s="11">
        <v>0.19230769230769232</v>
      </c>
      <c r="Z299" s="11">
        <v>0.34615384615384615</v>
      </c>
      <c r="AA299" s="11">
        <v>0.46153846153846156</v>
      </c>
    </row>
    <row r="300" spans="21:27" x14ac:dyDescent="0.25">
      <c r="U300" s="37">
        <v>27742</v>
      </c>
      <c r="V300" s="10">
        <v>9</v>
      </c>
      <c r="W300" s="10">
        <v>2</v>
      </c>
      <c r="X300" s="10">
        <v>0</v>
      </c>
      <c r="Y300" s="11">
        <v>0.81818181818181823</v>
      </c>
      <c r="Z300" s="11">
        <v>0.18181818181818182</v>
      </c>
      <c r="AA300" s="11">
        <v>0</v>
      </c>
    </row>
    <row r="301" spans="21:27" x14ac:dyDescent="0.25">
      <c r="U301" s="37">
        <v>27749</v>
      </c>
      <c r="V301" s="10">
        <v>4</v>
      </c>
      <c r="W301" s="10">
        <v>3</v>
      </c>
      <c r="X301" s="10">
        <v>4</v>
      </c>
      <c r="Y301" s="11">
        <v>0.36363636363636365</v>
      </c>
      <c r="Z301" s="11">
        <v>0.27272727272727271</v>
      </c>
      <c r="AA301" s="11">
        <v>0.36363636363636365</v>
      </c>
    </row>
    <row r="302" spans="21:27" x14ac:dyDescent="0.25">
      <c r="U302" s="37">
        <v>27752</v>
      </c>
      <c r="V302" s="10">
        <v>4</v>
      </c>
      <c r="W302" s="10">
        <v>1</v>
      </c>
      <c r="X302" s="10">
        <v>10</v>
      </c>
      <c r="Y302" s="11">
        <v>0.26666666666666666</v>
      </c>
      <c r="Z302" s="11">
        <v>6.6666666666666666E-2</v>
      </c>
      <c r="AA302" s="11">
        <v>0.66666666666666663</v>
      </c>
    </row>
    <row r="303" spans="21:27" x14ac:dyDescent="0.25">
      <c r="U303" s="37">
        <v>27753</v>
      </c>
      <c r="V303" s="10">
        <v>14</v>
      </c>
      <c r="W303" s="10">
        <v>9</v>
      </c>
      <c r="X303" s="10">
        <v>15</v>
      </c>
      <c r="Y303" s="11">
        <v>0.36842105263157893</v>
      </c>
      <c r="Z303" s="11">
        <v>0.23684210526315788</v>
      </c>
      <c r="AA303" s="11">
        <v>0.39473684210526316</v>
      </c>
    </row>
    <row r="304" spans="21:27" x14ac:dyDescent="0.25">
      <c r="U304" s="37">
        <v>27756</v>
      </c>
      <c r="V304" s="10">
        <v>10</v>
      </c>
      <c r="W304" s="10">
        <v>5</v>
      </c>
      <c r="X304" s="10">
        <v>6</v>
      </c>
      <c r="Y304" s="11">
        <v>0.47619047619047616</v>
      </c>
      <c r="Z304" s="11">
        <v>0.23809523809523808</v>
      </c>
      <c r="AA304" s="11">
        <v>0.2857142857142857</v>
      </c>
    </row>
    <row r="305" spans="21:27" x14ac:dyDescent="0.25">
      <c r="U305" s="37">
        <v>27763</v>
      </c>
      <c r="V305" s="10">
        <v>3</v>
      </c>
      <c r="W305" s="10">
        <v>1</v>
      </c>
      <c r="X305" s="10">
        <v>5</v>
      </c>
      <c r="Y305" s="11">
        <v>0.33333333333333331</v>
      </c>
      <c r="Z305" s="11">
        <v>0.1111111111111111</v>
      </c>
      <c r="AA305" s="11">
        <v>0.55555555555555558</v>
      </c>
    </row>
    <row r="306" spans="21:27" x14ac:dyDescent="0.25">
      <c r="U306" s="37">
        <v>27770</v>
      </c>
      <c r="V306" s="10">
        <v>5</v>
      </c>
      <c r="W306" s="10">
        <v>7</v>
      </c>
      <c r="X306" s="10">
        <v>6</v>
      </c>
      <c r="Y306" s="11">
        <v>0.27777777777777779</v>
      </c>
      <c r="Z306" s="11">
        <v>0.3888888888888889</v>
      </c>
      <c r="AA306" s="11">
        <v>0.33333333333333331</v>
      </c>
    </row>
    <row r="307" spans="21:27" x14ac:dyDescent="0.25">
      <c r="U307" s="37">
        <v>27777</v>
      </c>
      <c r="V307" s="10">
        <v>2</v>
      </c>
      <c r="W307" s="10">
        <v>2</v>
      </c>
      <c r="X307" s="10">
        <v>5</v>
      </c>
      <c r="Y307" s="11">
        <v>0.22222222222222221</v>
      </c>
      <c r="Z307" s="11">
        <v>0.22222222222222221</v>
      </c>
      <c r="AA307" s="11">
        <v>0.55555555555555558</v>
      </c>
    </row>
    <row r="308" spans="21:27" x14ac:dyDescent="0.25">
      <c r="U308" s="37">
        <v>27784</v>
      </c>
      <c r="V308" s="10">
        <v>2</v>
      </c>
      <c r="W308" s="10">
        <v>5</v>
      </c>
      <c r="X308" s="10">
        <v>3</v>
      </c>
      <c r="Y308" s="11">
        <v>0.2</v>
      </c>
      <c r="Z308" s="11">
        <v>0.5</v>
      </c>
      <c r="AA308" s="11">
        <v>0.3</v>
      </c>
    </row>
    <row r="309" spans="21:27" x14ac:dyDescent="0.25">
      <c r="U309" s="37">
        <v>27798</v>
      </c>
      <c r="V309" s="10">
        <v>10</v>
      </c>
      <c r="W309" s="10">
        <v>6</v>
      </c>
      <c r="X309" s="10">
        <v>26</v>
      </c>
      <c r="Y309" s="11">
        <v>0.23809523809523808</v>
      </c>
      <c r="Z309" s="11">
        <v>0.14285714285714285</v>
      </c>
      <c r="AA309" s="11">
        <v>0.61904761904761907</v>
      </c>
    </row>
    <row r="310" spans="21:27" x14ac:dyDescent="0.25">
      <c r="U310" s="37">
        <v>27805</v>
      </c>
      <c r="V310" s="10">
        <v>6</v>
      </c>
      <c r="W310" s="10">
        <v>5</v>
      </c>
      <c r="X310" s="10">
        <v>8</v>
      </c>
      <c r="Y310" s="11">
        <v>0.31578947368421051</v>
      </c>
      <c r="Z310" s="11">
        <v>0.26315789473684209</v>
      </c>
      <c r="AA310" s="11">
        <v>0.42105263157894735</v>
      </c>
    </row>
    <row r="311" spans="21:27" x14ac:dyDescent="0.25">
      <c r="U311" s="37">
        <v>27812</v>
      </c>
      <c r="V311" s="10">
        <v>3</v>
      </c>
      <c r="W311" s="10">
        <v>1</v>
      </c>
      <c r="X311" s="10">
        <v>4</v>
      </c>
      <c r="Y311" s="11">
        <v>0.375</v>
      </c>
      <c r="Z311" s="11">
        <v>0.125</v>
      </c>
      <c r="AA311" s="11">
        <v>0.5</v>
      </c>
    </row>
    <row r="312" spans="21:27" x14ac:dyDescent="0.25">
      <c r="U312" s="37">
        <v>27819</v>
      </c>
      <c r="V312" s="10">
        <v>12</v>
      </c>
      <c r="W312" s="10">
        <v>5</v>
      </c>
      <c r="X312" s="10">
        <v>10</v>
      </c>
      <c r="Y312" s="11">
        <v>0.44444444444444442</v>
      </c>
      <c r="Z312" s="11">
        <v>0.18518518518518517</v>
      </c>
      <c r="AA312" s="11">
        <v>0.37037037037037035</v>
      </c>
    </row>
    <row r="313" spans="21:27" x14ac:dyDescent="0.25">
      <c r="U313" s="37">
        <v>27826</v>
      </c>
      <c r="V313" s="10">
        <v>6</v>
      </c>
      <c r="W313" s="10">
        <v>4</v>
      </c>
      <c r="X313" s="10">
        <v>8</v>
      </c>
      <c r="Y313" s="11">
        <v>0.33333333333333331</v>
      </c>
      <c r="Z313" s="11">
        <v>0.22222222222222221</v>
      </c>
      <c r="AA313" s="11">
        <v>0.44444444444444442</v>
      </c>
    </row>
    <row r="314" spans="21:27" x14ac:dyDescent="0.25">
      <c r="U314" s="37">
        <v>27833</v>
      </c>
      <c r="V314" s="10">
        <v>10</v>
      </c>
      <c r="W314" s="10">
        <v>8</v>
      </c>
      <c r="X314" s="10">
        <v>23</v>
      </c>
      <c r="Y314" s="11">
        <v>0.24390243902439024</v>
      </c>
      <c r="Z314" s="11">
        <v>0.1951219512195122</v>
      </c>
      <c r="AA314" s="11">
        <v>0.56097560975609762</v>
      </c>
    </row>
    <row r="315" spans="21:27" x14ac:dyDescent="0.25">
      <c r="U315" s="37">
        <v>27840</v>
      </c>
      <c r="V315" s="10">
        <v>4</v>
      </c>
      <c r="W315" s="10">
        <v>1</v>
      </c>
      <c r="X315" s="10">
        <v>3</v>
      </c>
      <c r="Y315" s="11">
        <v>0.5</v>
      </c>
      <c r="Z315" s="11">
        <v>0.125</v>
      </c>
      <c r="AA315" s="11">
        <v>0.375</v>
      </c>
    </row>
    <row r="316" spans="21:27" x14ac:dyDescent="0.25">
      <c r="U316" s="37">
        <v>27847</v>
      </c>
      <c r="V316" s="10">
        <v>8</v>
      </c>
      <c r="W316" s="10">
        <v>11</v>
      </c>
      <c r="X316" s="10">
        <v>10</v>
      </c>
      <c r="Y316" s="11">
        <v>0.27586206896551724</v>
      </c>
      <c r="Z316" s="11">
        <v>0.37931034482758619</v>
      </c>
      <c r="AA316" s="11">
        <v>0.34482758620689657</v>
      </c>
    </row>
    <row r="317" spans="21:27" x14ac:dyDescent="0.25">
      <c r="U317" s="37">
        <v>27854</v>
      </c>
      <c r="V317" s="10">
        <v>5</v>
      </c>
      <c r="W317" s="10">
        <v>6</v>
      </c>
      <c r="X317" s="10">
        <v>3</v>
      </c>
      <c r="Y317" s="11">
        <v>0.35714285714285715</v>
      </c>
      <c r="Z317" s="11">
        <v>0.42857142857142855</v>
      </c>
      <c r="AA317" s="11">
        <v>0.21428571428571427</v>
      </c>
    </row>
    <row r="318" spans="21:27" x14ac:dyDescent="0.25">
      <c r="U318" s="37">
        <v>27861</v>
      </c>
      <c r="V318" s="10">
        <v>6</v>
      </c>
      <c r="W318" s="10">
        <v>6</v>
      </c>
      <c r="X318" s="10">
        <v>15</v>
      </c>
      <c r="Y318" s="11">
        <v>0.22222222222222221</v>
      </c>
      <c r="Z318" s="11">
        <v>0.22222222222222221</v>
      </c>
      <c r="AA318" s="11">
        <v>0.55555555555555558</v>
      </c>
    </row>
    <row r="319" spans="21:27" x14ac:dyDescent="0.25">
      <c r="U319" s="37">
        <v>27868</v>
      </c>
      <c r="V319" s="10">
        <v>12</v>
      </c>
      <c r="W319" s="10">
        <v>2</v>
      </c>
      <c r="X319" s="10">
        <v>9</v>
      </c>
      <c r="Y319" s="11">
        <v>0.52173913043478259</v>
      </c>
      <c r="Z319" s="11">
        <v>8.6956521739130432E-2</v>
      </c>
      <c r="AA319" s="11">
        <v>0.39130434782608697</v>
      </c>
    </row>
    <row r="320" spans="21:27" x14ac:dyDescent="0.25">
      <c r="U320" s="37">
        <v>27875</v>
      </c>
      <c r="V320" s="10">
        <v>26</v>
      </c>
      <c r="W320" s="10">
        <v>14</v>
      </c>
      <c r="X320" s="10">
        <v>26</v>
      </c>
      <c r="Y320" s="11">
        <v>0.39393939393939392</v>
      </c>
      <c r="Z320" s="11">
        <v>0.21212121212121213</v>
      </c>
      <c r="AA320" s="11">
        <v>0.39393939393939392</v>
      </c>
    </row>
    <row r="321" spans="21:27" x14ac:dyDescent="0.25">
      <c r="U321" s="37">
        <v>27882</v>
      </c>
      <c r="V321" s="10">
        <v>2</v>
      </c>
      <c r="W321" s="10">
        <v>5</v>
      </c>
      <c r="X321" s="10">
        <v>4</v>
      </c>
      <c r="Y321" s="11">
        <v>0.18181818181818182</v>
      </c>
      <c r="Z321" s="11">
        <v>0.45454545454545453</v>
      </c>
      <c r="AA321" s="11">
        <v>0.36363636363636365</v>
      </c>
    </row>
    <row r="322" spans="21:27" x14ac:dyDescent="0.25">
      <c r="U322" s="37">
        <v>27889</v>
      </c>
      <c r="V322" s="10">
        <v>8</v>
      </c>
      <c r="W322" s="10">
        <v>3</v>
      </c>
      <c r="X322" s="10">
        <v>3</v>
      </c>
      <c r="Y322" s="11">
        <v>0.5714285714285714</v>
      </c>
      <c r="Z322" s="11">
        <v>0.21428571428571427</v>
      </c>
      <c r="AA322" s="11">
        <v>0.21428571428571427</v>
      </c>
    </row>
    <row r="323" spans="21:27" x14ac:dyDescent="0.25">
      <c r="U323" s="37">
        <v>27896</v>
      </c>
      <c r="V323" s="10">
        <v>13</v>
      </c>
      <c r="W323" s="10">
        <v>8</v>
      </c>
      <c r="X323" s="10">
        <v>18</v>
      </c>
      <c r="Y323" s="11">
        <v>0.33333333333333331</v>
      </c>
      <c r="Z323" s="11">
        <v>0.20512820512820512</v>
      </c>
      <c r="AA323" s="11">
        <v>0.46153846153846156</v>
      </c>
    </row>
    <row r="324" spans="21:27" x14ac:dyDescent="0.25">
      <c r="U324" s="37">
        <v>27910</v>
      </c>
      <c r="V324" s="10">
        <v>9</v>
      </c>
      <c r="W324" s="10">
        <v>10</v>
      </c>
      <c r="X324" s="10">
        <v>13</v>
      </c>
      <c r="Y324" s="11">
        <v>0.28125</v>
      </c>
      <c r="Z324" s="11">
        <v>0.3125</v>
      </c>
      <c r="AA324" s="11">
        <v>0.40625</v>
      </c>
    </row>
    <row r="325" spans="21:27" x14ac:dyDescent="0.25">
      <c r="U325" s="37">
        <v>27917</v>
      </c>
      <c r="V325" s="10">
        <v>11</v>
      </c>
      <c r="W325" s="10">
        <v>6</v>
      </c>
      <c r="X325" s="10">
        <v>11</v>
      </c>
      <c r="Y325" s="11">
        <v>0.39285714285714285</v>
      </c>
      <c r="Z325" s="11">
        <v>0.21428571428571427</v>
      </c>
      <c r="AA325" s="11">
        <v>0.39285714285714285</v>
      </c>
    </row>
    <row r="326" spans="21:27" x14ac:dyDescent="0.25">
      <c r="U326" s="37">
        <v>27924</v>
      </c>
      <c r="V326" s="10">
        <v>12</v>
      </c>
      <c r="W326" s="10">
        <v>7</v>
      </c>
      <c r="X326" s="10">
        <v>16</v>
      </c>
      <c r="Y326" s="11">
        <v>0.34285714285714286</v>
      </c>
      <c r="Z326" s="11">
        <v>0.2</v>
      </c>
      <c r="AA326" s="11">
        <v>0.45714285714285713</v>
      </c>
    </row>
    <row r="327" spans="21:27" x14ac:dyDescent="0.25">
      <c r="U327" s="37">
        <v>27931</v>
      </c>
      <c r="V327" s="10">
        <v>4</v>
      </c>
      <c r="W327" s="10">
        <v>2</v>
      </c>
      <c r="X327" s="10">
        <v>10</v>
      </c>
      <c r="Y327" s="11">
        <v>0.25</v>
      </c>
      <c r="Z327" s="11">
        <v>0.125</v>
      </c>
      <c r="AA327" s="11">
        <v>0.625</v>
      </c>
    </row>
    <row r="328" spans="21:27" x14ac:dyDescent="0.25">
      <c r="U328" s="37">
        <v>27938</v>
      </c>
      <c r="V328" s="10">
        <v>13</v>
      </c>
      <c r="W328" s="10">
        <v>6</v>
      </c>
      <c r="X328" s="10">
        <v>9</v>
      </c>
      <c r="Y328" s="11">
        <v>0.4642857142857143</v>
      </c>
      <c r="Z328" s="11">
        <v>0.21428571428571427</v>
      </c>
      <c r="AA328" s="11">
        <v>0.32142857142857145</v>
      </c>
    </row>
    <row r="329" spans="21:27" x14ac:dyDescent="0.25">
      <c r="U329" s="37">
        <v>27945</v>
      </c>
      <c r="V329" s="10">
        <v>8</v>
      </c>
      <c r="W329" s="10">
        <v>6</v>
      </c>
      <c r="X329" s="10">
        <v>14</v>
      </c>
      <c r="Y329" s="11">
        <v>0.2857142857142857</v>
      </c>
      <c r="Z329" s="11">
        <v>0.21428571428571427</v>
      </c>
      <c r="AA329" s="11">
        <v>0.5</v>
      </c>
    </row>
    <row r="330" spans="21:27" x14ac:dyDescent="0.25">
      <c r="U330" s="37">
        <v>27952</v>
      </c>
      <c r="V330" s="10">
        <v>5</v>
      </c>
      <c r="W330" s="10">
        <v>5</v>
      </c>
      <c r="X330" s="10">
        <v>1</v>
      </c>
      <c r="Y330" s="11">
        <v>0.45454545454545453</v>
      </c>
      <c r="Z330" s="11">
        <v>0.45454545454545453</v>
      </c>
      <c r="AA330" s="11">
        <v>9.0909090909090912E-2</v>
      </c>
    </row>
    <row r="331" spans="21:27" x14ac:dyDescent="0.25">
      <c r="U331" s="37">
        <v>27959</v>
      </c>
      <c r="V331" s="10">
        <v>6</v>
      </c>
      <c r="W331" s="10">
        <v>0</v>
      </c>
      <c r="X331" s="10">
        <v>7</v>
      </c>
      <c r="Y331" s="11">
        <v>0.46153846153846156</v>
      </c>
      <c r="Z331" s="11">
        <v>0</v>
      </c>
      <c r="AA331" s="11">
        <v>0.53846153846153844</v>
      </c>
    </row>
    <row r="332" spans="21:27" x14ac:dyDescent="0.25">
      <c r="U332" s="37">
        <v>27966</v>
      </c>
      <c r="V332" s="10">
        <v>10</v>
      </c>
      <c r="W332" s="10">
        <v>3</v>
      </c>
      <c r="X332" s="10">
        <v>11</v>
      </c>
      <c r="Y332" s="11">
        <v>0.41666666666666669</v>
      </c>
      <c r="Z332" s="11">
        <v>0.125</v>
      </c>
      <c r="AA332" s="11">
        <v>0.45833333333333331</v>
      </c>
    </row>
    <row r="333" spans="21:27" x14ac:dyDescent="0.25">
      <c r="U333" s="37">
        <v>27973</v>
      </c>
      <c r="V333" s="10">
        <v>2</v>
      </c>
      <c r="W333" s="10">
        <v>3</v>
      </c>
      <c r="X333" s="10">
        <v>11</v>
      </c>
      <c r="Y333" s="11">
        <v>0.125</v>
      </c>
      <c r="Z333" s="11">
        <v>0.1875</v>
      </c>
      <c r="AA333" s="11">
        <v>0.6875</v>
      </c>
    </row>
    <row r="334" spans="21:27" x14ac:dyDescent="0.25">
      <c r="U334" s="37">
        <v>27994</v>
      </c>
      <c r="V334" s="10">
        <v>12</v>
      </c>
      <c r="W334" s="10">
        <v>5</v>
      </c>
      <c r="X334" s="10">
        <v>9</v>
      </c>
      <c r="Y334" s="11">
        <v>0.46153846153846156</v>
      </c>
      <c r="Z334" s="11">
        <v>0.19230769230769232</v>
      </c>
      <c r="AA334" s="11">
        <v>0.34615384615384615</v>
      </c>
    </row>
    <row r="335" spans="21:27" x14ac:dyDescent="0.25">
      <c r="U335" s="37">
        <v>28001</v>
      </c>
      <c r="V335" s="10">
        <v>3</v>
      </c>
      <c r="W335" s="10">
        <v>5</v>
      </c>
      <c r="X335" s="10">
        <v>10</v>
      </c>
      <c r="Y335" s="11">
        <v>0.16666666666666666</v>
      </c>
      <c r="Z335" s="11">
        <v>0.27777777777777779</v>
      </c>
      <c r="AA335" s="11">
        <v>0.55555555555555558</v>
      </c>
    </row>
    <row r="336" spans="21:27" x14ac:dyDescent="0.25">
      <c r="U336" s="37">
        <v>28008</v>
      </c>
      <c r="V336" s="10">
        <v>15</v>
      </c>
      <c r="W336" s="10">
        <v>6</v>
      </c>
      <c r="X336" s="10">
        <v>16</v>
      </c>
      <c r="Y336" s="11">
        <v>0.40540540540540543</v>
      </c>
      <c r="Z336" s="11">
        <v>0.16216216216216217</v>
      </c>
      <c r="AA336" s="11">
        <v>0.43243243243243246</v>
      </c>
    </row>
    <row r="337" spans="21:27" x14ac:dyDescent="0.25">
      <c r="U337" s="37">
        <v>28015</v>
      </c>
      <c r="V337" s="10">
        <v>15</v>
      </c>
      <c r="W337" s="10">
        <v>14</v>
      </c>
      <c r="X337" s="10">
        <v>21</v>
      </c>
      <c r="Y337" s="11">
        <v>0.3</v>
      </c>
      <c r="Z337" s="11">
        <v>0.28000000000000003</v>
      </c>
      <c r="AA337" s="11">
        <v>0.42</v>
      </c>
    </row>
    <row r="338" spans="21:27" x14ac:dyDescent="0.25">
      <c r="U338" s="37">
        <v>28022</v>
      </c>
      <c r="V338" s="10">
        <v>8</v>
      </c>
      <c r="W338" s="10">
        <v>1</v>
      </c>
      <c r="X338" s="10">
        <v>10</v>
      </c>
      <c r="Y338" s="11">
        <v>0.42105263157894735</v>
      </c>
      <c r="Z338" s="11">
        <v>5.2631578947368418E-2</v>
      </c>
      <c r="AA338" s="11">
        <v>0.52631578947368418</v>
      </c>
    </row>
    <row r="339" spans="21:27" x14ac:dyDescent="0.25">
      <c r="U339" s="37">
        <v>28029</v>
      </c>
      <c r="V339" s="10">
        <v>8</v>
      </c>
      <c r="W339" s="10">
        <v>10</v>
      </c>
      <c r="X339" s="10">
        <v>12</v>
      </c>
      <c r="Y339" s="11">
        <v>0.26666666666666666</v>
      </c>
      <c r="Z339" s="11">
        <v>0.33333333333333331</v>
      </c>
      <c r="AA339" s="11">
        <v>0.4</v>
      </c>
    </row>
    <row r="340" spans="21:27" x14ac:dyDescent="0.25">
      <c r="U340" s="37">
        <v>28036</v>
      </c>
      <c r="V340" s="10">
        <v>3</v>
      </c>
      <c r="W340" s="10">
        <v>3</v>
      </c>
      <c r="X340" s="10">
        <v>5</v>
      </c>
      <c r="Y340" s="11">
        <v>0.27272727272727271</v>
      </c>
      <c r="Z340" s="11">
        <v>0.27272727272727271</v>
      </c>
      <c r="AA340" s="11">
        <v>0.45454545454545453</v>
      </c>
    </row>
    <row r="341" spans="21:27" x14ac:dyDescent="0.25">
      <c r="U341" s="37">
        <v>28043</v>
      </c>
      <c r="V341" s="10">
        <v>23</v>
      </c>
      <c r="W341" s="10">
        <v>5</v>
      </c>
      <c r="X341" s="10">
        <v>10</v>
      </c>
      <c r="Y341" s="11">
        <v>0.60526315789473684</v>
      </c>
      <c r="Z341" s="11">
        <v>0.13157894736842105</v>
      </c>
      <c r="AA341" s="11">
        <v>0.26315789473684209</v>
      </c>
    </row>
    <row r="342" spans="21:27" x14ac:dyDescent="0.25">
      <c r="U342" s="37">
        <v>28050</v>
      </c>
      <c r="V342" s="10">
        <v>4</v>
      </c>
      <c r="W342" s="10">
        <v>2</v>
      </c>
      <c r="X342" s="10">
        <v>2</v>
      </c>
      <c r="Y342" s="11">
        <v>0.5</v>
      </c>
      <c r="Z342" s="11">
        <v>0.25</v>
      </c>
      <c r="AA342" s="11">
        <v>0.25</v>
      </c>
    </row>
    <row r="343" spans="21:27" x14ac:dyDescent="0.25">
      <c r="U343" s="37">
        <v>28057</v>
      </c>
      <c r="V343" s="10">
        <v>12</v>
      </c>
      <c r="W343" s="10">
        <v>1</v>
      </c>
      <c r="X343" s="10">
        <v>7</v>
      </c>
      <c r="Y343" s="11">
        <v>0.6</v>
      </c>
      <c r="Z343" s="11">
        <v>0.05</v>
      </c>
      <c r="AA343" s="11">
        <v>0.35</v>
      </c>
    </row>
    <row r="344" spans="21:27" x14ac:dyDescent="0.25">
      <c r="U344" s="37">
        <v>28064</v>
      </c>
      <c r="V344" s="10">
        <v>14</v>
      </c>
      <c r="W344" s="10">
        <v>6</v>
      </c>
      <c r="X344" s="10">
        <v>34</v>
      </c>
      <c r="Y344" s="11">
        <v>0.25925925925925924</v>
      </c>
      <c r="Z344" s="11">
        <v>0.1111111111111111</v>
      </c>
      <c r="AA344" s="11">
        <v>0.62962962962962965</v>
      </c>
    </row>
    <row r="345" spans="21:27" x14ac:dyDescent="0.25">
      <c r="U345" s="37">
        <v>28071</v>
      </c>
      <c r="V345" s="10">
        <v>12</v>
      </c>
      <c r="W345" s="10">
        <v>8</v>
      </c>
      <c r="X345" s="10">
        <v>14</v>
      </c>
      <c r="Y345" s="11">
        <v>0.35294117647058826</v>
      </c>
      <c r="Z345" s="11">
        <v>0.23529411764705882</v>
      </c>
      <c r="AA345" s="11">
        <v>0.41176470588235292</v>
      </c>
    </row>
    <row r="346" spans="21:27" x14ac:dyDescent="0.25">
      <c r="U346" s="37">
        <v>28078</v>
      </c>
      <c r="V346" s="10">
        <v>1</v>
      </c>
      <c r="W346" s="10">
        <v>2</v>
      </c>
      <c r="X346" s="10">
        <v>3</v>
      </c>
      <c r="Y346" s="11">
        <v>0.16666666666666666</v>
      </c>
      <c r="Z346" s="11">
        <v>0.33333333333333331</v>
      </c>
      <c r="AA346" s="11">
        <v>0.5</v>
      </c>
    </row>
    <row r="347" spans="21:27" x14ac:dyDescent="0.25">
      <c r="U347" s="37">
        <v>28085</v>
      </c>
      <c r="V347" s="10">
        <v>10</v>
      </c>
      <c r="W347" s="10">
        <v>5</v>
      </c>
      <c r="X347" s="10">
        <v>3</v>
      </c>
      <c r="Y347" s="11">
        <v>0.55555555555555558</v>
      </c>
      <c r="Z347" s="11">
        <v>0.27777777777777779</v>
      </c>
      <c r="AA347" s="11">
        <v>0.16666666666666666</v>
      </c>
    </row>
    <row r="348" spans="21:27" x14ac:dyDescent="0.25">
      <c r="U348" s="37">
        <v>28092</v>
      </c>
      <c r="V348" s="10">
        <v>7</v>
      </c>
      <c r="W348" s="10">
        <v>5</v>
      </c>
      <c r="X348" s="10">
        <v>6</v>
      </c>
      <c r="Y348" s="11">
        <v>0.3888888888888889</v>
      </c>
      <c r="Z348" s="11">
        <v>0.27777777777777779</v>
      </c>
      <c r="AA348" s="11">
        <v>0.33333333333333331</v>
      </c>
    </row>
    <row r="349" spans="21:27" x14ac:dyDescent="0.25">
      <c r="U349" s="37">
        <v>28099</v>
      </c>
      <c r="V349" s="10">
        <v>9</v>
      </c>
      <c r="W349" s="10">
        <v>8</v>
      </c>
      <c r="X349" s="10">
        <v>14</v>
      </c>
      <c r="Y349" s="11">
        <v>0.29032258064516131</v>
      </c>
      <c r="Z349" s="11">
        <v>0.25806451612903225</v>
      </c>
      <c r="AA349" s="11">
        <v>0.45161290322580644</v>
      </c>
    </row>
    <row r="350" spans="21:27" x14ac:dyDescent="0.25">
      <c r="U350" s="37">
        <v>28106</v>
      </c>
      <c r="V350" s="10">
        <v>3</v>
      </c>
      <c r="W350" s="10">
        <v>1</v>
      </c>
      <c r="X350" s="10">
        <v>2</v>
      </c>
      <c r="Y350" s="11">
        <v>0.5</v>
      </c>
      <c r="Z350" s="11">
        <v>0.16666666666666666</v>
      </c>
      <c r="AA350" s="11">
        <v>0.33333333333333331</v>
      </c>
    </row>
    <row r="351" spans="21:27" x14ac:dyDescent="0.25">
      <c r="U351" s="37">
        <v>28113</v>
      </c>
      <c r="V351" s="10">
        <v>5</v>
      </c>
      <c r="W351" s="10">
        <v>2</v>
      </c>
      <c r="X351" s="10">
        <v>4</v>
      </c>
      <c r="Y351" s="11">
        <v>0.45454545454545453</v>
      </c>
      <c r="Z351" s="11">
        <v>0.18181818181818182</v>
      </c>
      <c r="AA351" s="11">
        <v>0.36363636363636365</v>
      </c>
    </row>
    <row r="352" spans="21:27" x14ac:dyDescent="0.25">
      <c r="U352" s="37">
        <v>28118</v>
      </c>
      <c r="V352" s="10">
        <v>5</v>
      </c>
      <c r="W352" s="10">
        <v>4</v>
      </c>
      <c r="X352" s="10">
        <v>14</v>
      </c>
      <c r="Y352" s="11">
        <v>0.21739130434782608</v>
      </c>
      <c r="Z352" s="11">
        <v>0.17391304347826086</v>
      </c>
      <c r="AA352" s="11">
        <v>0.60869565217391308</v>
      </c>
    </row>
    <row r="353" spans="21:27" x14ac:dyDescent="0.25">
      <c r="U353" s="37">
        <v>28119</v>
      </c>
      <c r="V353" s="10">
        <v>7</v>
      </c>
      <c r="W353" s="10">
        <v>8</v>
      </c>
      <c r="X353" s="10">
        <v>8</v>
      </c>
      <c r="Y353" s="11">
        <v>0.30434782608695654</v>
      </c>
      <c r="Z353" s="11">
        <v>0.34782608695652173</v>
      </c>
      <c r="AA353" s="11">
        <v>0.34782608695652173</v>
      </c>
    </row>
    <row r="354" spans="21:27" x14ac:dyDescent="0.25">
      <c r="U354" s="37">
        <v>28120</v>
      </c>
      <c r="V354" s="10">
        <v>4</v>
      </c>
      <c r="W354" s="10">
        <v>6</v>
      </c>
      <c r="X354" s="10">
        <v>1</v>
      </c>
      <c r="Y354" s="11">
        <v>0.36363636363636365</v>
      </c>
      <c r="Z354" s="11">
        <v>0.54545454545454541</v>
      </c>
      <c r="AA354" s="11">
        <v>9.0909090909090912E-2</v>
      </c>
    </row>
    <row r="355" spans="21:27" x14ac:dyDescent="0.25">
      <c r="U355" s="37">
        <v>28127</v>
      </c>
      <c r="V355" s="10">
        <v>18</v>
      </c>
      <c r="W355" s="10">
        <v>9</v>
      </c>
      <c r="X355" s="10">
        <v>25</v>
      </c>
      <c r="Y355" s="11">
        <v>0.34615384615384615</v>
      </c>
      <c r="Z355" s="11">
        <v>0.17307692307692307</v>
      </c>
      <c r="AA355" s="11">
        <v>0.48076923076923078</v>
      </c>
    </row>
    <row r="356" spans="21:27" x14ac:dyDescent="0.25">
      <c r="U356" s="37">
        <v>28134</v>
      </c>
      <c r="V356" s="10">
        <v>4</v>
      </c>
      <c r="W356" s="10">
        <v>7</v>
      </c>
      <c r="X356" s="10">
        <v>21</v>
      </c>
      <c r="Y356" s="11">
        <v>0.125</v>
      </c>
      <c r="Z356" s="11">
        <v>0.21875</v>
      </c>
      <c r="AA356" s="11">
        <v>0.65625</v>
      </c>
    </row>
    <row r="357" spans="21:27" x14ac:dyDescent="0.25">
      <c r="U357" s="37">
        <v>28141</v>
      </c>
      <c r="V357" s="10">
        <v>10</v>
      </c>
      <c r="W357" s="10">
        <v>15</v>
      </c>
      <c r="X357" s="10">
        <v>9</v>
      </c>
      <c r="Y357" s="11">
        <v>0.29411764705882354</v>
      </c>
      <c r="Z357" s="11">
        <v>0.44117647058823528</v>
      </c>
      <c r="AA357" s="11">
        <v>0.26470588235294118</v>
      </c>
    </row>
    <row r="358" spans="21:27" x14ac:dyDescent="0.25">
      <c r="U358" s="37">
        <v>28148</v>
      </c>
      <c r="V358" s="10">
        <v>1</v>
      </c>
      <c r="W358" s="10">
        <v>5</v>
      </c>
      <c r="X358" s="10">
        <v>11</v>
      </c>
      <c r="Y358" s="11">
        <v>5.8823529411764705E-2</v>
      </c>
      <c r="Z358" s="11">
        <v>0.29411764705882354</v>
      </c>
      <c r="AA358" s="11">
        <v>0.6470588235294118</v>
      </c>
    </row>
    <row r="359" spans="21:27" x14ac:dyDescent="0.25">
      <c r="U359" s="37">
        <v>28155</v>
      </c>
      <c r="V359" s="10">
        <v>13</v>
      </c>
      <c r="W359" s="10">
        <v>10</v>
      </c>
      <c r="X359" s="10">
        <v>12</v>
      </c>
      <c r="Y359" s="11">
        <v>0.37142857142857144</v>
      </c>
      <c r="Z359" s="11">
        <v>0.2857142857142857</v>
      </c>
      <c r="AA359" s="11">
        <v>0.34285714285714286</v>
      </c>
    </row>
    <row r="360" spans="21:27" x14ac:dyDescent="0.25">
      <c r="U360" s="37">
        <v>28162</v>
      </c>
      <c r="V360" s="10">
        <v>10</v>
      </c>
      <c r="W360" s="10">
        <v>15</v>
      </c>
      <c r="X360" s="10">
        <v>14</v>
      </c>
      <c r="Y360" s="11">
        <v>0.25641025641025639</v>
      </c>
      <c r="Z360" s="11">
        <v>0.38461538461538464</v>
      </c>
      <c r="AA360" s="11">
        <v>0.35897435897435898</v>
      </c>
    </row>
    <row r="361" spans="21:27" x14ac:dyDescent="0.25">
      <c r="U361" s="37">
        <v>28169</v>
      </c>
      <c r="V361" s="10">
        <v>14</v>
      </c>
      <c r="W361" s="10">
        <v>11</v>
      </c>
      <c r="X361" s="10">
        <v>12</v>
      </c>
      <c r="Y361" s="11">
        <v>0.3783783783783784</v>
      </c>
      <c r="Z361" s="11">
        <v>0.29729729729729731</v>
      </c>
      <c r="AA361" s="11">
        <v>0.32432432432432434</v>
      </c>
    </row>
    <row r="362" spans="21:27" x14ac:dyDescent="0.25">
      <c r="U362" s="37">
        <v>28176</v>
      </c>
      <c r="V362" s="10">
        <v>4</v>
      </c>
      <c r="W362" s="10">
        <v>1</v>
      </c>
      <c r="X362" s="10">
        <v>6</v>
      </c>
      <c r="Y362" s="11">
        <v>0.36363636363636365</v>
      </c>
      <c r="Z362" s="11">
        <v>9.0909090909090912E-2</v>
      </c>
      <c r="AA362" s="11">
        <v>0.54545454545454541</v>
      </c>
    </row>
    <row r="363" spans="21:27" x14ac:dyDescent="0.25">
      <c r="U363" s="37">
        <v>28183</v>
      </c>
      <c r="V363" s="10">
        <v>17</v>
      </c>
      <c r="W363" s="10">
        <v>19</v>
      </c>
      <c r="X363" s="10">
        <v>20</v>
      </c>
      <c r="Y363" s="11">
        <v>0.30357142857142855</v>
      </c>
      <c r="Z363" s="11">
        <v>0.3392857142857143</v>
      </c>
      <c r="AA363" s="11">
        <v>0.35714285714285715</v>
      </c>
    </row>
    <row r="364" spans="21:27" x14ac:dyDescent="0.25">
      <c r="U364" s="37">
        <v>28190</v>
      </c>
      <c r="V364" s="10">
        <v>16</v>
      </c>
      <c r="W364" s="10">
        <v>7</v>
      </c>
      <c r="X364" s="10">
        <v>7</v>
      </c>
      <c r="Y364" s="11">
        <v>0.53333333333333333</v>
      </c>
      <c r="Z364" s="11">
        <v>0.23333333333333334</v>
      </c>
      <c r="AA364" s="11">
        <v>0.23333333333333334</v>
      </c>
    </row>
    <row r="365" spans="21:27" x14ac:dyDescent="0.25">
      <c r="U365" s="37">
        <v>28197</v>
      </c>
      <c r="V365" s="10">
        <v>17</v>
      </c>
      <c r="W365" s="10">
        <v>7</v>
      </c>
      <c r="X365" s="10">
        <v>8</v>
      </c>
      <c r="Y365" s="11">
        <v>0.53125</v>
      </c>
      <c r="Z365" s="11">
        <v>0.21875</v>
      </c>
      <c r="AA365" s="11">
        <v>0.25</v>
      </c>
    </row>
    <row r="366" spans="21:27" x14ac:dyDescent="0.25">
      <c r="U366" s="37">
        <v>28204</v>
      </c>
      <c r="V366" s="10">
        <v>6</v>
      </c>
      <c r="W366" s="10">
        <v>4</v>
      </c>
      <c r="X366" s="10">
        <v>3</v>
      </c>
      <c r="Y366" s="11">
        <v>0.46153846153846156</v>
      </c>
      <c r="Z366" s="11">
        <v>0.30769230769230771</v>
      </c>
      <c r="AA366" s="11">
        <v>0.23076923076923078</v>
      </c>
    </row>
    <row r="367" spans="21:27" x14ac:dyDescent="0.25">
      <c r="U367" s="37">
        <v>28211</v>
      </c>
      <c r="V367" s="10">
        <v>12</v>
      </c>
      <c r="W367" s="10">
        <v>4</v>
      </c>
      <c r="X367" s="10">
        <v>5</v>
      </c>
      <c r="Y367" s="11">
        <v>0.5714285714285714</v>
      </c>
      <c r="Z367" s="11">
        <v>0.19047619047619047</v>
      </c>
      <c r="AA367" s="11">
        <v>0.23809523809523808</v>
      </c>
    </row>
    <row r="368" spans="21:27" x14ac:dyDescent="0.25">
      <c r="U368" s="37">
        <v>28225</v>
      </c>
      <c r="V368" s="10">
        <v>9</v>
      </c>
      <c r="W368" s="10">
        <v>8</v>
      </c>
      <c r="X368" s="10">
        <v>11</v>
      </c>
      <c r="Y368" s="11">
        <v>0.32142857142857145</v>
      </c>
      <c r="Z368" s="11">
        <v>0.2857142857142857</v>
      </c>
      <c r="AA368" s="11">
        <v>0.39285714285714285</v>
      </c>
    </row>
    <row r="369" spans="21:27" x14ac:dyDescent="0.25">
      <c r="U369" s="37">
        <v>28232</v>
      </c>
      <c r="V369" s="10">
        <v>5</v>
      </c>
      <c r="W369" s="10">
        <v>5</v>
      </c>
      <c r="X369" s="10">
        <v>11</v>
      </c>
      <c r="Y369" s="11">
        <v>0.23809523809523808</v>
      </c>
      <c r="Z369" s="11">
        <v>0.23809523809523808</v>
      </c>
      <c r="AA369" s="11">
        <v>0.52380952380952384</v>
      </c>
    </row>
    <row r="370" spans="21:27" x14ac:dyDescent="0.25">
      <c r="U370" s="37">
        <v>28239</v>
      </c>
      <c r="V370" s="10">
        <v>11</v>
      </c>
      <c r="W370" s="10">
        <v>13</v>
      </c>
      <c r="X370" s="10">
        <v>12</v>
      </c>
      <c r="Y370" s="11">
        <v>0.30555555555555558</v>
      </c>
      <c r="Z370" s="11">
        <v>0.3611111111111111</v>
      </c>
      <c r="AA370" s="11">
        <v>0.33333333333333331</v>
      </c>
    </row>
    <row r="371" spans="21:27" x14ac:dyDescent="0.25">
      <c r="U371" s="37">
        <v>28253</v>
      </c>
      <c r="V371" s="10">
        <v>3</v>
      </c>
      <c r="W371" s="10">
        <v>6</v>
      </c>
      <c r="X371" s="10">
        <v>10</v>
      </c>
      <c r="Y371" s="11">
        <v>0.15789473684210525</v>
      </c>
      <c r="Z371" s="11">
        <v>0.31578947368421051</v>
      </c>
      <c r="AA371" s="11">
        <v>0.52631578947368418</v>
      </c>
    </row>
    <row r="372" spans="21:27" x14ac:dyDescent="0.25">
      <c r="U372" s="37">
        <v>28260</v>
      </c>
      <c r="V372" s="10">
        <v>11</v>
      </c>
      <c r="W372" s="10">
        <v>4</v>
      </c>
      <c r="X372" s="10">
        <v>10</v>
      </c>
      <c r="Y372" s="11">
        <v>0.44</v>
      </c>
      <c r="Z372" s="11">
        <v>0.16</v>
      </c>
      <c r="AA372" s="11">
        <v>0.4</v>
      </c>
    </row>
    <row r="373" spans="21:27" x14ac:dyDescent="0.25">
      <c r="U373" s="37">
        <v>28267</v>
      </c>
      <c r="V373" s="10">
        <v>2</v>
      </c>
      <c r="W373" s="10">
        <v>3</v>
      </c>
      <c r="X373" s="10">
        <v>12</v>
      </c>
      <c r="Y373" s="11">
        <v>0.11764705882352941</v>
      </c>
      <c r="Z373" s="11">
        <v>0.17647058823529413</v>
      </c>
      <c r="AA373" s="11">
        <v>0.70588235294117652</v>
      </c>
    </row>
    <row r="374" spans="21:27" x14ac:dyDescent="0.25">
      <c r="U374" s="37">
        <v>28274</v>
      </c>
      <c r="V374" s="10">
        <v>7</v>
      </c>
      <c r="W374" s="10">
        <v>5</v>
      </c>
      <c r="X374" s="10">
        <v>14</v>
      </c>
      <c r="Y374" s="11">
        <v>0.26923076923076922</v>
      </c>
      <c r="Z374" s="11">
        <v>0.19230769230769232</v>
      </c>
      <c r="AA374" s="11">
        <v>0.53846153846153844</v>
      </c>
    </row>
    <row r="375" spans="21:27" x14ac:dyDescent="0.25">
      <c r="U375" s="37">
        <v>28281</v>
      </c>
      <c r="V375" s="10">
        <v>8</v>
      </c>
      <c r="W375" s="10">
        <v>7</v>
      </c>
      <c r="X375" s="10">
        <v>8</v>
      </c>
      <c r="Y375" s="11">
        <v>0.34782608695652173</v>
      </c>
      <c r="Z375" s="11">
        <v>0.30434782608695654</v>
      </c>
      <c r="AA375" s="11">
        <v>0.34782608695652173</v>
      </c>
    </row>
    <row r="376" spans="21:27" x14ac:dyDescent="0.25">
      <c r="U376" s="37">
        <v>28288</v>
      </c>
      <c r="V376" s="10">
        <v>2</v>
      </c>
      <c r="W376" s="10">
        <v>0</v>
      </c>
      <c r="X376" s="10">
        <v>14</v>
      </c>
      <c r="Y376" s="11">
        <v>0.125</v>
      </c>
      <c r="Z376" s="11">
        <v>0</v>
      </c>
      <c r="AA376" s="11">
        <v>0.875</v>
      </c>
    </row>
    <row r="377" spans="21:27" x14ac:dyDescent="0.25">
      <c r="U377" s="37">
        <v>28295</v>
      </c>
      <c r="V377" s="10">
        <v>14</v>
      </c>
      <c r="W377" s="10">
        <v>2</v>
      </c>
      <c r="X377" s="10">
        <v>9</v>
      </c>
      <c r="Y377" s="11">
        <v>0.56000000000000005</v>
      </c>
      <c r="Z377" s="11">
        <v>0.08</v>
      </c>
      <c r="AA377" s="11">
        <v>0.36</v>
      </c>
    </row>
    <row r="378" spans="21:27" x14ac:dyDescent="0.25">
      <c r="U378" s="37">
        <v>28302</v>
      </c>
      <c r="V378" s="10">
        <v>9</v>
      </c>
      <c r="W378" s="10">
        <v>4</v>
      </c>
      <c r="X378" s="10">
        <v>8</v>
      </c>
      <c r="Y378" s="11">
        <v>0.42857142857142855</v>
      </c>
      <c r="Z378" s="11">
        <v>0.19047619047619047</v>
      </c>
      <c r="AA378" s="11">
        <v>0.38095238095238093</v>
      </c>
    </row>
    <row r="379" spans="21:27" x14ac:dyDescent="0.25">
      <c r="U379" s="37">
        <v>28309</v>
      </c>
      <c r="V379" s="10">
        <v>7</v>
      </c>
      <c r="W379" s="10">
        <v>2</v>
      </c>
      <c r="X379" s="10">
        <v>9</v>
      </c>
      <c r="Y379" s="11">
        <v>0.3888888888888889</v>
      </c>
      <c r="Z379" s="11">
        <v>0.1111111111111111</v>
      </c>
      <c r="AA379" s="11">
        <v>0.5</v>
      </c>
    </row>
    <row r="380" spans="21:27" x14ac:dyDescent="0.25">
      <c r="U380" s="37">
        <v>28316</v>
      </c>
      <c r="V380" s="10">
        <v>13</v>
      </c>
      <c r="W380" s="10">
        <v>2</v>
      </c>
      <c r="X380" s="10">
        <v>2</v>
      </c>
      <c r="Y380" s="11">
        <v>0.76470588235294112</v>
      </c>
      <c r="Z380" s="11">
        <v>0.11764705882352941</v>
      </c>
      <c r="AA380" s="11">
        <v>0.11764705882352941</v>
      </c>
    </row>
    <row r="381" spans="21:27" x14ac:dyDescent="0.25">
      <c r="U381" s="37">
        <v>28323</v>
      </c>
      <c r="V381" s="10">
        <v>8</v>
      </c>
      <c r="W381" s="10">
        <v>2</v>
      </c>
      <c r="X381" s="10">
        <v>11</v>
      </c>
      <c r="Y381" s="11">
        <v>0.38095238095238093</v>
      </c>
      <c r="Z381" s="11">
        <v>9.5238095238095233E-2</v>
      </c>
      <c r="AA381" s="11">
        <v>0.52380952380952384</v>
      </c>
    </row>
    <row r="382" spans="21:27" x14ac:dyDescent="0.25">
      <c r="U382" s="37">
        <v>28330</v>
      </c>
      <c r="V382" s="10">
        <v>9</v>
      </c>
      <c r="W382" s="10">
        <v>18</v>
      </c>
      <c r="X382" s="10">
        <v>15</v>
      </c>
      <c r="Y382" s="11">
        <v>0.21428571428571427</v>
      </c>
      <c r="Z382" s="11">
        <v>0.42857142857142855</v>
      </c>
      <c r="AA382" s="11">
        <v>0.35714285714285715</v>
      </c>
    </row>
    <row r="383" spans="21:27" x14ac:dyDescent="0.25">
      <c r="U383" s="37">
        <v>28337</v>
      </c>
      <c r="V383" s="10">
        <v>6</v>
      </c>
      <c r="W383" s="10">
        <v>3</v>
      </c>
      <c r="X383" s="10">
        <v>5</v>
      </c>
      <c r="Y383" s="11">
        <v>0.42857142857142855</v>
      </c>
      <c r="Z383" s="11">
        <v>0.21428571428571427</v>
      </c>
      <c r="AA383" s="11">
        <v>0.35714285714285715</v>
      </c>
    </row>
    <row r="384" spans="21:27" x14ac:dyDescent="0.25">
      <c r="U384" s="37">
        <v>28344</v>
      </c>
      <c r="V384" s="10">
        <v>4</v>
      </c>
      <c r="W384" s="10">
        <v>8</v>
      </c>
      <c r="X384" s="10">
        <v>14</v>
      </c>
      <c r="Y384" s="11">
        <v>0.15384615384615385</v>
      </c>
      <c r="Z384" s="11">
        <v>0.30769230769230771</v>
      </c>
      <c r="AA384" s="11">
        <v>0.53846153846153844</v>
      </c>
    </row>
    <row r="385" spans="21:27" x14ac:dyDescent="0.25">
      <c r="U385" s="37">
        <v>28351</v>
      </c>
      <c r="V385" s="10">
        <v>5</v>
      </c>
      <c r="W385" s="10">
        <v>2</v>
      </c>
      <c r="X385" s="10">
        <v>10</v>
      </c>
      <c r="Y385" s="11">
        <v>0.29411764705882354</v>
      </c>
      <c r="Z385" s="11">
        <v>0.11764705882352941</v>
      </c>
      <c r="AA385" s="11">
        <v>0.58823529411764708</v>
      </c>
    </row>
    <row r="386" spans="21:27" x14ac:dyDescent="0.25">
      <c r="U386" s="37">
        <v>28358</v>
      </c>
      <c r="V386" s="10">
        <v>6</v>
      </c>
      <c r="W386" s="10">
        <v>2</v>
      </c>
      <c r="X386" s="10">
        <v>5</v>
      </c>
      <c r="Y386" s="11">
        <v>0.46153846153846156</v>
      </c>
      <c r="Z386" s="11">
        <v>0.15384615384615385</v>
      </c>
      <c r="AA386" s="11">
        <v>0.38461538461538464</v>
      </c>
    </row>
    <row r="387" spans="21:27" x14ac:dyDescent="0.25">
      <c r="U387" s="37">
        <v>28365</v>
      </c>
      <c r="V387" s="10">
        <v>15</v>
      </c>
      <c r="W387" s="10">
        <v>9</v>
      </c>
      <c r="X387" s="10">
        <v>7</v>
      </c>
      <c r="Y387" s="11">
        <v>0.4838709677419355</v>
      </c>
      <c r="Z387" s="11">
        <v>0.29032258064516131</v>
      </c>
      <c r="AA387" s="11">
        <v>0.22580645161290322</v>
      </c>
    </row>
    <row r="388" spans="21:27" x14ac:dyDescent="0.25">
      <c r="U388" s="37">
        <v>28372</v>
      </c>
      <c r="V388" s="10">
        <v>3</v>
      </c>
      <c r="W388" s="10">
        <v>5</v>
      </c>
      <c r="X388" s="10">
        <v>8</v>
      </c>
      <c r="Y388" s="11">
        <v>0.1875</v>
      </c>
      <c r="Z388" s="11">
        <v>0.3125</v>
      </c>
      <c r="AA388" s="11">
        <v>0.5</v>
      </c>
    </row>
    <row r="389" spans="21:27" x14ac:dyDescent="0.25">
      <c r="U389" s="37">
        <v>28379</v>
      </c>
      <c r="V389" s="10">
        <v>19</v>
      </c>
      <c r="W389" s="10">
        <v>10</v>
      </c>
      <c r="X389" s="10">
        <v>10</v>
      </c>
      <c r="Y389" s="11">
        <v>0.48717948717948717</v>
      </c>
      <c r="Z389" s="11">
        <v>0.25641025641025639</v>
      </c>
      <c r="AA389" s="11">
        <v>0.25641025641025639</v>
      </c>
    </row>
    <row r="390" spans="21:27" x14ac:dyDescent="0.25">
      <c r="U390" s="37">
        <v>28386</v>
      </c>
      <c r="V390" s="10">
        <v>1</v>
      </c>
      <c r="W390" s="10">
        <v>1</v>
      </c>
      <c r="X390" s="10">
        <v>4</v>
      </c>
      <c r="Y390" s="11">
        <v>0.16666666666666666</v>
      </c>
      <c r="Z390" s="11">
        <v>0.16666666666666666</v>
      </c>
      <c r="AA390" s="11">
        <v>0.66666666666666663</v>
      </c>
    </row>
    <row r="391" spans="21:27" x14ac:dyDescent="0.25">
      <c r="U391" s="37">
        <v>28414</v>
      </c>
      <c r="V391" s="10">
        <v>14</v>
      </c>
      <c r="W391" s="10">
        <v>8</v>
      </c>
      <c r="X391" s="10">
        <v>12</v>
      </c>
      <c r="Y391" s="11">
        <v>0.41176470588235292</v>
      </c>
      <c r="Z391" s="11">
        <v>0.23529411764705882</v>
      </c>
      <c r="AA391" s="11">
        <v>0.35294117647058826</v>
      </c>
    </row>
    <row r="392" spans="21:27" x14ac:dyDescent="0.25">
      <c r="U392" s="37">
        <v>28428</v>
      </c>
      <c r="V392" s="10">
        <v>2</v>
      </c>
      <c r="W392" s="10">
        <v>6</v>
      </c>
      <c r="X392" s="10">
        <v>9</v>
      </c>
      <c r="Y392" s="11">
        <v>0.11764705882352941</v>
      </c>
      <c r="Z392" s="11">
        <v>0.35294117647058826</v>
      </c>
      <c r="AA392" s="11">
        <v>0.52941176470588236</v>
      </c>
    </row>
    <row r="393" spans="21:27" x14ac:dyDescent="0.25">
      <c r="U393" s="37">
        <v>28456</v>
      </c>
      <c r="V393" s="10">
        <v>15</v>
      </c>
      <c r="W393" s="10">
        <v>14</v>
      </c>
      <c r="X393" s="10">
        <v>9</v>
      </c>
      <c r="Y393" s="11">
        <v>0.39473684210526316</v>
      </c>
      <c r="Z393" s="11">
        <v>0.36842105263157893</v>
      </c>
      <c r="AA393" s="11">
        <v>0.23684210526315788</v>
      </c>
    </row>
    <row r="394" spans="21:27" x14ac:dyDescent="0.25">
      <c r="U394" s="37">
        <v>28463</v>
      </c>
      <c r="V394" s="10">
        <v>18</v>
      </c>
      <c r="W394" s="10">
        <v>10</v>
      </c>
      <c r="X394" s="10">
        <v>12</v>
      </c>
      <c r="Y394" s="11">
        <v>0.45</v>
      </c>
      <c r="Z394" s="11">
        <v>0.25</v>
      </c>
      <c r="AA394" s="11">
        <v>0.3</v>
      </c>
    </row>
    <row r="395" spans="21:27" x14ac:dyDescent="0.25">
      <c r="U395" s="37">
        <v>28470</v>
      </c>
      <c r="V395" s="10">
        <v>8</v>
      </c>
      <c r="W395" s="10">
        <v>4</v>
      </c>
      <c r="X395" s="10">
        <v>7</v>
      </c>
      <c r="Y395" s="11">
        <v>0.42105263157894735</v>
      </c>
      <c r="Z395" s="11">
        <v>0.21052631578947367</v>
      </c>
      <c r="AA395" s="11">
        <v>0.36842105263157893</v>
      </c>
    </row>
    <row r="396" spans="21:27" x14ac:dyDescent="0.25">
      <c r="U396" s="37">
        <v>28477</v>
      </c>
      <c r="V396" s="10">
        <v>5</v>
      </c>
      <c r="W396" s="10">
        <v>5</v>
      </c>
      <c r="X396" s="10">
        <v>6</v>
      </c>
      <c r="Y396" s="11">
        <v>0.3125</v>
      </c>
      <c r="Z396" s="11">
        <v>0.3125</v>
      </c>
      <c r="AA396" s="11">
        <v>0.375</v>
      </c>
    </row>
    <row r="397" spans="21:27" x14ac:dyDescent="0.25">
      <c r="U397" s="37">
        <v>28483</v>
      </c>
      <c r="V397" s="10">
        <v>4</v>
      </c>
      <c r="W397" s="10">
        <v>1</v>
      </c>
      <c r="X397" s="10">
        <v>4</v>
      </c>
      <c r="Y397" s="11">
        <v>0.44444444444444442</v>
      </c>
      <c r="Z397" s="11">
        <v>0.1111111111111111</v>
      </c>
      <c r="AA397" s="11">
        <v>0.44444444444444442</v>
      </c>
    </row>
    <row r="398" spans="21:27" x14ac:dyDescent="0.25">
      <c r="U398" s="37">
        <v>28484</v>
      </c>
      <c r="V398" s="10">
        <v>8</v>
      </c>
      <c r="W398" s="10">
        <v>3</v>
      </c>
      <c r="X398" s="10">
        <v>7</v>
      </c>
      <c r="Y398" s="11">
        <v>0.44444444444444442</v>
      </c>
      <c r="Z398" s="11">
        <v>0.16666666666666666</v>
      </c>
      <c r="AA398" s="11">
        <v>0.3888888888888889</v>
      </c>
    </row>
    <row r="399" spans="21:27" x14ac:dyDescent="0.25">
      <c r="U399" s="37">
        <v>28491</v>
      </c>
      <c r="V399" s="10">
        <v>10</v>
      </c>
      <c r="W399" s="10">
        <v>2</v>
      </c>
      <c r="X399" s="10">
        <v>4</v>
      </c>
      <c r="Y399" s="11">
        <v>0.625</v>
      </c>
      <c r="Z399" s="11">
        <v>0.125</v>
      </c>
      <c r="AA399" s="11">
        <v>0.25</v>
      </c>
    </row>
    <row r="400" spans="21:27" x14ac:dyDescent="0.25">
      <c r="U400" s="37">
        <v>28498</v>
      </c>
      <c r="V400" s="10">
        <v>4</v>
      </c>
      <c r="W400" s="10">
        <v>5</v>
      </c>
      <c r="X400" s="10">
        <v>20</v>
      </c>
      <c r="Y400" s="11">
        <v>0.13793103448275862</v>
      </c>
      <c r="Z400" s="11">
        <v>0.17241379310344829</v>
      </c>
      <c r="AA400" s="11">
        <v>0.68965517241379315</v>
      </c>
    </row>
    <row r="401" spans="21:27" x14ac:dyDescent="0.25">
      <c r="U401" s="37">
        <v>28505</v>
      </c>
      <c r="V401" s="10">
        <v>1</v>
      </c>
      <c r="W401" s="10">
        <v>3</v>
      </c>
      <c r="X401" s="10">
        <v>10</v>
      </c>
      <c r="Y401" s="11">
        <v>7.1428571428571425E-2</v>
      </c>
      <c r="Z401" s="11">
        <v>0.21428571428571427</v>
      </c>
      <c r="AA401" s="11">
        <v>0.7142857142857143</v>
      </c>
    </row>
    <row r="402" spans="21:27" x14ac:dyDescent="0.25">
      <c r="U402" s="37">
        <v>28512</v>
      </c>
      <c r="V402" s="10">
        <v>7</v>
      </c>
      <c r="W402" s="10">
        <v>2</v>
      </c>
      <c r="X402" s="10">
        <v>19</v>
      </c>
      <c r="Y402" s="11">
        <v>0.25</v>
      </c>
      <c r="Z402" s="11">
        <v>7.1428571428571425E-2</v>
      </c>
      <c r="AA402" s="11">
        <v>0.6785714285714286</v>
      </c>
    </row>
    <row r="403" spans="21:27" x14ac:dyDescent="0.25">
      <c r="U403" s="37">
        <v>28519</v>
      </c>
      <c r="V403" s="10">
        <v>8</v>
      </c>
      <c r="W403" s="10">
        <v>2</v>
      </c>
      <c r="X403" s="10">
        <v>6</v>
      </c>
      <c r="Y403" s="11">
        <v>0.5</v>
      </c>
      <c r="Z403" s="11">
        <v>0.125</v>
      </c>
      <c r="AA403" s="11">
        <v>0.375</v>
      </c>
    </row>
    <row r="404" spans="21:27" x14ac:dyDescent="0.25">
      <c r="U404" s="37">
        <v>28526</v>
      </c>
      <c r="V404" s="10">
        <v>4</v>
      </c>
      <c r="W404" s="10">
        <v>0</v>
      </c>
      <c r="X404" s="10">
        <v>2</v>
      </c>
      <c r="Y404" s="11">
        <v>0.66666666666666663</v>
      </c>
      <c r="Z404" s="11">
        <v>0</v>
      </c>
      <c r="AA404" s="11">
        <v>0.33333333333333331</v>
      </c>
    </row>
    <row r="405" spans="21:27" x14ac:dyDescent="0.25">
      <c r="U405" s="37">
        <v>28533</v>
      </c>
      <c r="V405" s="10">
        <v>5</v>
      </c>
      <c r="W405" s="10">
        <v>13</v>
      </c>
      <c r="X405" s="10">
        <v>6</v>
      </c>
      <c r="Y405" s="11">
        <v>0.20833333333333334</v>
      </c>
      <c r="Z405" s="11">
        <v>0.54166666666666663</v>
      </c>
      <c r="AA405" s="11">
        <v>0.25</v>
      </c>
    </row>
    <row r="406" spans="21:27" x14ac:dyDescent="0.25">
      <c r="U406" s="37">
        <v>28547</v>
      </c>
      <c r="V406" s="10">
        <v>2</v>
      </c>
      <c r="W406" s="10">
        <v>2</v>
      </c>
      <c r="X406" s="10">
        <v>9</v>
      </c>
      <c r="Y406" s="11">
        <v>0.15384615384615385</v>
      </c>
      <c r="Z406" s="11">
        <v>0.15384615384615385</v>
      </c>
      <c r="AA406" s="11">
        <v>0.69230769230769229</v>
      </c>
    </row>
    <row r="407" spans="21:27" x14ac:dyDescent="0.25">
      <c r="U407" s="37">
        <v>28554</v>
      </c>
      <c r="V407" s="10">
        <v>13</v>
      </c>
      <c r="W407" s="10">
        <v>1</v>
      </c>
      <c r="X407" s="10">
        <v>2</v>
      </c>
      <c r="Y407" s="11">
        <v>0.8125</v>
      </c>
      <c r="Z407" s="11">
        <v>6.25E-2</v>
      </c>
      <c r="AA407" s="11">
        <v>0.125</v>
      </c>
    </row>
    <row r="408" spans="21:27" x14ac:dyDescent="0.25">
      <c r="U408" s="37">
        <v>28561</v>
      </c>
      <c r="V408" s="10">
        <v>3</v>
      </c>
      <c r="W408" s="10">
        <v>2</v>
      </c>
      <c r="X408" s="10">
        <v>3</v>
      </c>
      <c r="Y408" s="11">
        <v>0.375</v>
      </c>
      <c r="Z408" s="11">
        <v>0.25</v>
      </c>
      <c r="AA408" s="11">
        <v>0.375</v>
      </c>
    </row>
    <row r="409" spans="21:27" x14ac:dyDescent="0.25">
      <c r="U409" s="37">
        <v>28575</v>
      </c>
      <c r="V409" s="10">
        <v>3</v>
      </c>
      <c r="W409" s="10">
        <v>2</v>
      </c>
      <c r="X409" s="10">
        <v>7</v>
      </c>
      <c r="Y409" s="11">
        <v>0.25</v>
      </c>
      <c r="Z409" s="11">
        <v>0.16666666666666666</v>
      </c>
      <c r="AA409" s="11">
        <v>0.58333333333333337</v>
      </c>
    </row>
    <row r="410" spans="21:27" x14ac:dyDescent="0.25">
      <c r="U410" s="37">
        <v>28582</v>
      </c>
      <c r="V410" s="10">
        <v>7</v>
      </c>
      <c r="W410" s="10">
        <v>1</v>
      </c>
      <c r="X410" s="10">
        <v>7</v>
      </c>
      <c r="Y410" s="11">
        <v>0.46666666666666667</v>
      </c>
      <c r="Z410" s="11">
        <v>6.6666666666666666E-2</v>
      </c>
      <c r="AA410" s="11">
        <v>0.46666666666666667</v>
      </c>
    </row>
    <row r="411" spans="21:27" x14ac:dyDescent="0.25">
      <c r="U411" s="37">
        <v>28589</v>
      </c>
      <c r="V411" s="10">
        <v>16</v>
      </c>
      <c r="W411" s="10">
        <v>6</v>
      </c>
      <c r="X411" s="10">
        <v>20</v>
      </c>
      <c r="Y411" s="11">
        <v>0.38095238095238093</v>
      </c>
      <c r="Z411" s="11">
        <v>0.14285714285714285</v>
      </c>
      <c r="AA411" s="11">
        <v>0.47619047619047616</v>
      </c>
    </row>
    <row r="412" spans="21:27" x14ac:dyDescent="0.25">
      <c r="U412" s="37">
        <v>28596</v>
      </c>
      <c r="V412" s="10">
        <v>14</v>
      </c>
      <c r="W412" s="10">
        <v>3</v>
      </c>
      <c r="X412" s="10">
        <v>17</v>
      </c>
      <c r="Y412" s="11">
        <v>0.41176470588235292</v>
      </c>
      <c r="Z412" s="11">
        <v>8.8235294117647065E-2</v>
      </c>
      <c r="AA412" s="11">
        <v>0.5</v>
      </c>
    </row>
    <row r="413" spans="21:27" x14ac:dyDescent="0.25">
      <c r="U413" s="37">
        <v>28603</v>
      </c>
      <c r="V413" s="10">
        <v>9</v>
      </c>
      <c r="W413" s="10">
        <v>5</v>
      </c>
      <c r="X413" s="10">
        <v>7</v>
      </c>
      <c r="Y413" s="11">
        <v>0.42857142857142855</v>
      </c>
      <c r="Z413" s="11">
        <v>0.23809523809523808</v>
      </c>
      <c r="AA413" s="11">
        <v>0.33333333333333331</v>
      </c>
    </row>
    <row r="414" spans="21:27" x14ac:dyDescent="0.25">
      <c r="U414" s="37">
        <v>28610</v>
      </c>
      <c r="V414" s="10">
        <v>4</v>
      </c>
      <c r="W414" s="10">
        <v>9</v>
      </c>
      <c r="X414" s="10">
        <v>8</v>
      </c>
      <c r="Y414" s="11">
        <v>0.19047619047619047</v>
      </c>
      <c r="Z414" s="11">
        <v>0.42857142857142855</v>
      </c>
      <c r="AA414" s="11">
        <v>0.38095238095238093</v>
      </c>
    </row>
    <row r="415" spans="21:27" x14ac:dyDescent="0.25">
      <c r="U415" s="37">
        <v>28617</v>
      </c>
      <c r="V415" s="10">
        <v>2</v>
      </c>
      <c r="W415" s="10">
        <v>0</v>
      </c>
      <c r="X415" s="10">
        <v>7</v>
      </c>
      <c r="Y415" s="11">
        <v>0.22222222222222221</v>
      </c>
      <c r="Z415" s="11">
        <v>0</v>
      </c>
      <c r="AA415" s="11">
        <v>0.77777777777777779</v>
      </c>
    </row>
    <row r="416" spans="21:27" x14ac:dyDescent="0.25">
      <c r="U416" s="37">
        <v>28624</v>
      </c>
      <c r="V416" s="10">
        <v>8</v>
      </c>
      <c r="W416" s="10">
        <v>1</v>
      </c>
      <c r="X416" s="10">
        <v>9</v>
      </c>
      <c r="Y416" s="11">
        <v>0.44444444444444442</v>
      </c>
      <c r="Z416" s="11">
        <v>5.5555555555555552E-2</v>
      </c>
      <c r="AA416" s="11">
        <v>0.5</v>
      </c>
    </row>
    <row r="417" spans="21:27" x14ac:dyDescent="0.25">
      <c r="U417" s="37">
        <v>28631</v>
      </c>
      <c r="V417" s="10">
        <v>11</v>
      </c>
      <c r="W417" s="10">
        <v>4</v>
      </c>
      <c r="X417" s="10">
        <v>16</v>
      </c>
      <c r="Y417" s="11">
        <v>0.35483870967741937</v>
      </c>
      <c r="Z417" s="11">
        <v>0.12903225806451613</v>
      </c>
      <c r="AA417" s="11">
        <v>0.5161290322580645</v>
      </c>
    </row>
    <row r="418" spans="21:27" x14ac:dyDescent="0.25">
      <c r="U418" s="37">
        <v>28638</v>
      </c>
      <c r="V418" s="10">
        <v>15</v>
      </c>
      <c r="W418" s="10">
        <v>10</v>
      </c>
      <c r="X418" s="10">
        <v>17</v>
      </c>
      <c r="Y418" s="11">
        <v>0.35714285714285715</v>
      </c>
      <c r="Z418" s="11">
        <v>0.23809523809523808</v>
      </c>
      <c r="AA418" s="11">
        <v>0.40476190476190477</v>
      </c>
    </row>
    <row r="419" spans="21:27" x14ac:dyDescent="0.25">
      <c r="U419" s="37">
        <v>28652</v>
      </c>
      <c r="V419" s="10">
        <v>1</v>
      </c>
      <c r="W419" s="10">
        <v>2</v>
      </c>
      <c r="X419" s="10">
        <v>4</v>
      </c>
      <c r="Y419" s="11">
        <v>0.14285714285714285</v>
      </c>
      <c r="Z419" s="11">
        <v>0.2857142857142857</v>
      </c>
      <c r="AA419" s="11">
        <v>0.5714285714285714</v>
      </c>
    </row>
    <row r="420" spans="21:27" x14ac:dyDescent="0.25">
      <c r="U420" s="37">
        <v>28659</v>
      </c>
      <c r="V420" s="10">
        <v>6</v>
      </c>
      <c r="W420" s="10">
        <v>1</v>
      </c>
      <c r="X420" s="10">
        <v>6</v>
      </c>
      <c r="Y420" s="11">
        <v>0.46153846153846156</v>
      </c>
      <c r="Z420" s="11">
        <v>7.6923076923076927E-2</v>
      </c>
      <c r="AA420" s="11">
        <v>0.46153846153846156</v>
      </c>
    </row>
    <row r="421" spans="21:27" x14ac:dyDescent="0.25">
      <c r="U421" s="37">
        <v>28666</v>
      </c>
      <c r="V421" s="10">
        <v>13</v>
      </c>
      <c r="W421" s="10">
        <v>3</v>
      </c>
      <c r="X421" s="10">
        <v>12</v>
      </c>
      <c r="Y421" s="11">
        <v>0.4642857142857143</v>
      </c>
      <c r="Z421" s="11">
        <v>0.10714285714285714</v>
      </c>
      <c r="AA421" s="11">
        <v>0.42857142857142855</v>
      </c>
    </row>
    <row r="422" spans="21:27" x14ac:dyDescent="0.25">
      <c r="U422" s="37">
        <v>28673</v>
      </c>
      <c r="V422" s="10">
        <v>10</v>
      </c>
      <c r="W422" s="10">
        <v>15</v>
      </c>
      <c r="X422" s="10">
        <v>17</v>
      </c>
      <c r="Y422" s="11">
        <v>0.23809523809523808</v>
      </c>
      <c r="Z422" s="11">
        <v>0.35714285714285715</v>
      </c>
      <c r="AA422" s="11">
        <v>0.40476190476190477</v>
      </c>
    </row>
    <row r="423" spans="21:27" x14ac:dyDescent="0.25">
      <c r="U423" s="37">
        <v>28680</v>
      </c>
      <c r="V423" s="10">
        <v>18</v>
      </c>
      <c r="W423" s="10">
        <v>2</v>
      </c>
      <c r="X423" s="10">
        <v>9</v>
      </c>
      <c r="Y423" s="11">
        <v>0.62068965517241381</v>
      </c>
      <c r="Z423" s="11">
        <v>6.8965517241379309E-2</v>
      </c>
      <c r="AA423" s="11">
        <v>0.31034482758620691</v>
      </c>
    </row>
    <row r="424" spans="21:27" x14ac:dyDescent="0.25">
      <c r="U424" s="37">
        <v>28687</v>
      </c>
      <c r="V424" s="10">
        <v>9</v>
      </c>
      <c r="W424" s="10">
        <v>2</v>
      </c>
      <c r="X424" s="10">
        <v>6</v>
      </c>
      <c r="Y424" s="11">
        <v>0.52941176470588236</v>
      </c>
      <c r="Z424" s="11">
        <v>0.11764705882352941</v>
      </c>
      <c r="AA424" s="11">
        <v>0.35294117647058826</v>
      </c>
    </row>
    <row r="425" spans="21:27" x14ac:dyDescent="0.25">
      <c r="U425" s="37">
        <v>28694</v>
      </c>
      <c r="V425" s="10">
        <v>18</v>
      </c>
      <c r="W425" s="10">
        <v>8</v>
      </c>
      <c r="X425" s="10">
        <v>12</v>
      </c>
      <c r="Y425" s="11">
        <v>0.47368421052631576</v>
      </c>
      <c r="Z425" s="11">
        <v>0.21052631578947367</v>
      </c>
      <c r="AA425" s="11">
        <v>0.31578947368421051</v>
      </c>
    </row>
    <row r="426" spans="21:27" x14ac:dyDescent="0.25">
      <c r="U426" s="37">
        <v>28701</v>
      </c>
      <c r="V426" s="10">
        <v>8</v>
      </c>
      <c r="W426" s="10">
        <v>8</v>
      </c>
      <c r="X426" s="10">
        <v>14</v>
      </c>
      <c r="Y426" s="11">
        <v>0.26666666666666666</v>
      </c>
      <c r="Z426" s="11">
        <v>0.26666666666666666</v>
      </c>
      <c r="AA426" s="11">
        <v>0.46666666666666667</v>
      </c>
    </row>
    <row r="427" spans="21:27" x14ac:dyDescent="0.25">
      <c r="U427" s="37">
        <v>28708</v>
      </c>
      <c r="V427" s="10">
        <v>8</v>
      </c>
      <c r="W427" s="10">
        <v>19</v>
      </c>
      <c r="X427" s="10">
        <v>12</v>
      </c>
      <c r="Y427" s="11">
        <v>0.20512820512820512</v>
      </c>
      <c r="Z427" s="11">
        <v>0.48717948717948717</v>
      </c>
      <c r="AA427" s="11">
        <v>0.30769230769230771</v>
      </c>
    </row>
    <row r="428" spans="21:27" x14ac:dyDescent="0.25">
      <c r="U428" s="37">
        <v>28715</v>
      </c>
      <c r="V428" s="10">
        <v>10</v>
      </c>
      <c r="W428" s="10">
        <v>8</v>
      </c>
      <c r="X428" s="10">
        <v>18</v>
      </c>
      <c r="Y428" s="11">
        <v>0.27777777777777779</v>
      </c>
      <c r="Z428" s="11">
        <v>0.22222222222222221</v>
      </c>
      <c r="AA428" s="11">
        <v>0.5</v>
      </c>
    </row>
    <row r="429" spans="21:27" x14ac:dyDescent="0.25">
      <c r="U429" s="37">
        <v>28717</v>
      </c>
      <c r="V429" s="10">
        <v>1</v>
      </c>
      <c r="W429" s="10">
        <v>0</v>
      </c>
      <c r="X429" s="10">
        <v>5</v>
      </c>
      <c r="Y429" s="11">
        <v>0.16666666666666666</v>
      </c>
      <c r="Z429" s="11">
        <v>0</v>
      </c>
      <c r="AA429" s="11">
        <v>0.83333333333333337</v>
      </c>
    </row>
    <row r="430" spans="21:27" x14ac:dyDescent="0.25">
      <c r="U430" s="37">
        <v>28722</v>
      </c>
      <c r="V430" s="10">
        <v>10</v>
      </c>
      <c r="W430" s="10">
        <v>9</v>
      </c>
      <c r="X430" s="10">
        <v>7</v>
      </c>
      <c r="Y430" s="11">
        <v>0.38461538461538464</v>
      </c>
      <c r="Z430" s="11">
        <v>0.34615384615384615</v>
      </c>
      <c r="AA430" s="11">
        <v>0.26923076923076922</v>
      </c>
    </row>
    <row r="431" spans="21:27" x14ac:dyDescent="0.25">
      <c r="U431" s="37">
        <v>28729</v>
      </c>
      <c r="V431" s="10">
        <v>5</v>
      </c>
      <c r="W431" s="10">
        <v>4</v>
      </c>
      <c r="X431" s="10">
        <v>10</v>
      </c>
      <c r="Y431" s="11">
        <v>0.26315789473684209</v>
      </c>
      <c r="Z431" s="11">
        <v>0.21052631578947367</v>
      </c>
      <c r="AA431" s="11">
        <v>0.52631578947368418</v>
      </c>
    </row>
    <row r="432" spans="21:27" x14ac:dyDescent="0.25">
      <c r="U432" s="37">
        <v>28736</v>
      </c>
      <c r="V432" s="10">
        <v>11</v>
      </c>
      <c r="W432" s="10">
        <v>5</v>
      </c>
      <c r="X432" s="10">
        <v>14</v>
      </c>
      <c r="Y432" s="11">
        <v>0.36666666666666664</v>
      </c>
      <c r="Z432" s="11">
        <v>0.16666666666666666</v>
      </c>
      <c r="AA432" s="11">
        <v>0.46666666666666667</v>
      </c>
    </row>
    <row r="433" spans="21:27" x14ac:dyDescent="0.25">
      <c r="U433" s="37">
        <v>28743</v>
      </c>
      <c r="V433" s="10">
        <v>0</v>
      </c>
      <c r="W433" s="10">
        <v>0</v>
      </c>
      <c r="X433" s="10">
        <v>1</v>
      </c>
      <c r="Y433" s="11">
        <v>0</v>
      </c>
      <c r="Z433" s="11">
        <v>0</v>
      </c>
      <c r="AA433" s="11">
        <v>1</v>
      </c>
    </row>
    <row r="434" spans="21:27" x14ac:dyDescent="0.25">
      <c r="U434" s="37">
        <v>28750</v>
      </c>
      <c r="V434" s="10">
        <v>4</v>
      </c>
      <c r="W434" s="10">
        <v>12</v>
      </c>
      <c r="X434" s="10">
        <v>19</v>
      </c>
      <c r="Y434" s="11">
        <v>0.11428571428571428</v>
      </c>
      <c r="Z434" s="11">
        <v>0.34285714285714286</v>
      </c>
      <c r="AA434" s="11">
        <v>0.54285714285714282</v>
      </c>
    </row>
    <row r="435" spans="21:27" x14ac:dyDescent="0.25">
      <c r="U435" s="37">
        <v>28757</v>
      </c>
      <c r="V435" s="10">
        <v>3</v>
      </c>
      <c r="W435" s="10">
        <v>12</v>
      </c>
      <c r="X435" s="10">
        <v>8</v>
      </c>
      <c r="Y435" s="11">
        <v>0.13043478260869565</v>
      </c>
      <c r="Z435" s="11">
        <v>0.52173913043478259</v>
      </c>
      <c r="AA435" s="11">
        <v>0.34782608695652173</v>
      </c>
    </row>
    <row r="436" spans="21:27" x14ac:dyDescent="0.25">
      <c r="U436" s="37">
        <v>28764</v>
      </c>
      <c r="V436" s="10">
        <v>11</v>
      </c>
      <c r="W436" s="10">
        <v>9</v>
      </c>
      <c r="X436" s="10">
        <v>13</v>
      </c>
      <c r="Y436" s="11">
        <v>0.33333333333333331</v>
      </c>
      <c r="Z436" s="11">
        <v>0.27272727272727271</v>
      </c>
      <c r="AA436" s="11">
        <v>0.39393939393939392</v>
      </c>
    </row>
    <row r="437" spans="21:27" x14ac:dyDescent="0.25">
      <c r="U437" s="37">
        <v>28771</v>
      </c>
      <c r="V437" s="10">
        <v>8</v>
      </c>
      <c r="W437" s="10">
        <v>6</v>
      </c>
      <c r="X437" s="10">
        <v>3</v>
      </c>
      <c r="Y437" s="11">
        <v>0.47058823529411764</v>
      </c>
      <c r="Z437" s="11">
        <v>0.35294117647058826</v>
      </c>
      <c r="AA437" s="11">
        <v>0.17647058823529413</v>
      </c>
    </row>
    <row r="438" spans="21:27" x14ac:dyDescent="0.25">
      <c r="U438" s="37">
        <v>28778</v>
      </c>
      <c r="V438" s="10">
        <v>3</v>
      </c>
      <c r="W438" s="10">
        <v>2</v>
      </c>
      <c r="X438" s="10">
        <v>3</v>
      </c>
      <c r="Y438" s="11">
        <v>0.375</v>
      </c>
      <c r="Z438" s="11">
        <v>0.25</v>
      </c>
      <c r="AA438" s="11">
        <v>0.375</v>
      </c>
    </row>
    <row r="439" spans="21:27" x14ac:dyDescent="0.25">
      <c r="U439" s="37">
        <v>28785</v>
      </c>
      <c r="V439" s="10">
        <v>12</v>
      </c>
      <c r="W439" s="10">
        <v>10</v>
      </c>
      <c r="X439" s="10">
        <v>32</v>
      </c>
      <c r="Y439" s="11">
        <v>0.22222222222222221</v>
      </c>
      <c r="Z439" s="11">
        <v>0.18518518518518517</v>
      </c>
      <c r="AA439" s="11">
        <v>0.59259259259259256</v>
      </c>
    </row>
    <row r="440" spans="21:27" x14ac:dyDescent="0.25">
      <c r="U440" s="37">
        <v>28792</v>
      </c>
      <c r="V440" s="10">
        <v>17</v>
      </c>
      <c r="W440" s="10">
        <v>7</v>
      </c>
      <c r="X440" s="10">
        <v>13</v>
      </c>
      <c r="Y440" s="11">
        <v>0.45945945945945948</v>
      </c>
      <c r="Z440" s="11">
        <v>0.1891891891891892</v>
      </c>
      <c r="AA440" s="11">
        <v>0.35135135135135137</v>
      </c>
    </row>
    <row r="441" spans="21:27" x14ac:dyDescent="0.25">
      <c r="U441" s="37">
        <v>28799</v>
      </c>
      <c r="V441" s="10">
        <v>6</v>
      </c>
      <c r="W441" s="10">
        <v>3</v>
      </c>
      <c r="X441" s="10">
        <v>3</v>
      </c>
      <c r="Y441" s="11">
        <v>0.5</v>
      </c>
      <c r="Z441" s="11">
        <v>0.25</v>
      </c>
      <c r="AA441" s="11">
        <v>0.25</v>
      </c>
    </row>
    <row r="442" spans="21:27" x14ac:dyDescent="0.25">
      <c r="U442" s="37">
        <v>28806</v>
      </c>
      <c r="V442" s="10">
        <v>5</v>
      </c>
      <c r="W442" s="10">
        <v>3</v>
      </c>
      <c r="X442" s="10">
        <v>5</v>
      </c>
      <c r="Y442" s="11">
        <v>0.38461538461538464</v>
      </c>
      <c r="Z442" s="11">
        <v>0.23076923076923078</v>
      </c>
      <c r="AA442" s="11">
        <v>0.38461538461538464</v>
      </c>
    </row>
    <row r="443" spans="21:27" x14ac:dyDescent="0.25">
      <c r="U443" s="37">
        <v>28813</v>
      </c>
      <c r="V443" s="10">
        <v>3</v>
      </c>
      <c r="W443" s="10">
        <v>2</v>
      </c>
      <c r="X443" s="10">
        <v>3</v>
      </c>
      <c r="Y443" s="11">
        <v>0.375</v>
      </c>
      <c r="Z443" s="11">
        <v>0.25</v>
      </c>
      <c r="AA443" s="11">
        <v>0.375</v>
      </c>
    </row>
    <row r="444" spans="21:27" x14ac:dyDescent="0.25">
      <c r="U444" s="37">
        <v>28820</v>
      </c>
      <c r="V444" s="10">
        <v>13</v>
      </c>
      <c r="W444" s="10">
        <v>4</v>
      </c>
      <c r="X444" s="10">
        <v>5</v>
      </c>
      <c r="Y444" s="11">
        <v>0.59090909090909094</v>
      </c>
      <c r="Z444" s="11">
        <v>0.18181818181818182</v>
      </c>
      <c r="AA444" s="11">
        <v>0.22727272727272727</v>
      </c>
    </row>
    <row r="445" spans="21:27" x14ac:dyDescent="0.25">
      <c r="U445" s="37">
        <v>28827</v>
      </c>
      <c r="V445" s="10">
        <v>14</v>
      </c>
      <c r="W445" s="10">
        <v>7</v>
      </c>
      <c r="X445" s="10">
        <v>8</v>
      </c>
      <c r="Y445" s="11">
        <v>0.48275862068965519</v>
      </c>
      <c r="Z445" s="11">
        <v>0.2413793103448276</v>
      </c>
      <c r="AA445" s="11">
        <v>0.27586206896551724</v>
      </c>
    </row>
    <row r="446" spans="21:27" x14ac:dyDescent="0.25">
      <c r="U446" s="37">
        <v>28834</v>
      </c>
      <c r="V446" s="10">
        <v>3</v>
      </c>
      <c r="W446" s="10">
        <v>5</v>
      </c>
      <c r="X446" s="10">
        <v>4</v>
      </c>
      <c r="Y446" s="11">
        <v>0.25</v>
      </c>
      <c r="Z446" s="11">
        <v>0.41666666666666669</v>
      </c>
      <c r="AA446" s="11">
        <v>0.33333333333333331</v>
      </c>
    </row>
    <row r="447" spans="21:27" x14ac:dyDescent="0.25">
      <c r="U447" s="37">
        <v>28841</v>
      </c>
      <c r="V447" s="10">
        <v>7</v>
      </c>
      <c r="W447" s="10">
        <v>0</v>
      </c>
      <c r="X447" s="10">
        <v>8</v>
      </c>
      <c r="Y447" s="11">
        <v>0.46666666666666667</v>
      </c>
      <c r="Z447" s="11">
        <v>0</v>
      </c>
      <c r="AA447" s="11">
        <v>0.53333333333333333</v>
      </c>
    </row>
    <row r="448" spans="21:27" x14ac:dyDescent="0.25">
      <c r="U448" s="37">
        <v>28848</v>
      </c>
      <c r="V448" s="10">
        <v>1</v>
      </c>
      <c r="W448" s="10">
        <v>5</v>
      </c>
      <c r="X448" s="10">
        <v>9</v>
      </c>
      <c r="Y448" s="11">
        <v>6.6666666666666666E-2</v>
      </c>
      <c r="Z448" s="11">
        <v>0.33333333333333331</v>
      </c>
      <c r="AA448" s="11">
        <v>0.6</v>
      </c>
    </row>
    <row r="449" spans="21:27" x14ac:dyDescent="0.25">
      <c r="U449" s="37">
        <v>28849</v>
      </c>
      <c r="V449" s="10">
        <v>8</v>
      </c>
      <c r="W449" s="10">
        <v>7</v>
      </c>
      <c r="X449" s="10">
        <v>12</v>
      </c>
      <c r="Y449" s="11">
        <v>0.29629629629629628</v>
      </c>
      <c r="Z449" s="11">
        <v>0.25925925925925924</v>
      </c>
      <c r="AA449" s="11">
        <v>0.44444444444444442</v>
      </c>
    </row>
    <row r="450" spans="21:27" x14ac:dyDescent="0.25">
      <c r="U450" s="37">
        <v>28855</v>
      </c>
      <c r="V450" s="10">
        <v>2</v>
      </c>
      <c r="W450" s="10">
        <v>1</v>
      </c>
      <c r="X450" s="10">
        <v>14</v>
      </c>
      <c r="Y450" s="11">
        <v>0.11764705882352941</v>
      </c>
      <c r="Z450" s="11">
        <v>5.8823529411764705E-2</v>
      </c>
      <c r="AA450" s="11">
        <v>0.82352941176470584</v>
      </c>
    </row>
    <row r="451" spans="21:27" x14ac:dyDescent="0.25">
      <c r="U451" s="37">
        <v>28862</v>
      </c>
      <c r="V451" s="10">
        <v>8</v>
      </c>
      <c r="W451" s="10">
        <v>9</v>
      </c>
      <c r="X451" s="10">
        <v>32</v>
      </c>
      <c r="Y451" s="11">
        <v>0.16326530612244897</v>
      </c>
      <c r="Z451" s="11">
        <v>0.18367346938775511</v>
      </c>
      <c r="AA451" s="11">
        <v>0.65306122448979587</v>
      </c>
    </row>
    <row r="452" spans="21:27" x14ac:dyDescent="0.25">
      <c r="U452" s="37">
        <v>28869</v>
      </c>
      <c r="V452" s="10">
        <v>2</v>
      </c>
      <c r="W452" s="10">
        <v>7</v>
      </c>
      <c r="X452" s="10">
        <v>5</v>
      </c>
      <c r="Y452" s="11">
        <v>0.14285714285714285</v>
      </c>
      <c r="Z452" s="11">
        <v>0.5</v>
      </c>
      <c r="AA452" s="11">
        <v>0.35714285714285715</v>
      </c>
    </row>
    <row r="453" spans="21:27" x14ac:dyDescent="0.25">
      <c r="U453" s="37">
        <v>28876</v>
      </c>
      <c r="V453" s="10">
        <v>21</v>
      </c>
      <c r="W453" s="10">
        <v>7</v>
      </c>
      <c r="X453" s="10">
        <v>14</v>
      </c>
      <c r="Y453" s="11">
        <v>0.5</v>
      </c>
      <c r="Z453" s="11">
        <v>0.16666666666666666</v>
      </c>
      <c r="AA453" s="11">
        <v>0.33333333333333331</v>
      </c>
    </row>
    <row r="454" spans="21:27" x14ac:dyDescent="0.25">
      <c r="U454" s="37">
        <v>28890</v>
      </c>
      <c r="V454" s="10">
        <v>2</v>
      </c>
      <c r="W454" s="10">
        <v>4</v>
      </c>
      <c r="X454" s="10">
        <v>0</v>
      </c>
      <c r="Y454" s="11">
        <v>0.33333333333333331</v>
      </c>
      <c r="Z454" s="11">
        <v>0.66666666666666663</v>
      </c>
      <c r="AA454" s="11">
        <v>0</v>
      </c>
    </row>
    <row r="455" spans="21:27" x14ac:dyDescent="0.25">
      <c r="U455" s="37">
        <v>28918</v>
      </c>
      <c r="V455" s="10">
        <v>9</v>
      </c>
      <c r="W455" s="10">
        <v>3</v>
      </c>
      <c r="X455" s="10">
        <v>10</v>
      </c>
      <c r="Y455" s="11">
        <v>0.40909090909090912</v>
      </c>
      <c r="Z455" s="11">
        <v>0.13636363636363635</v>
      </c>
      <c r="AA455" s="11">
        <v>0.45454545454545453</v>
      </c>
    </row>
    <row r="456" spans="21:27" x14ac:dyDescent="0.25">
      <c r="U456" s="37">
        <v>28925</v>
      </c>
      <c r="V456" s="10">
        <v>9</v>
      </c>
      <c r="W456" s="10">
        <v>6</v>
      </c>
      <c r="X456" s="10">
        <v>19</v>
      </c>
      <c r="Y456" s="11">
        <v>0.26470588235294118</v>
      </c>
      <c r="Z456" s="11">
        <v>0.17647058823529413</v>
      </c>
      <c r="AA456" s="11">
        <v>0.55882352941176472</v>
      </c>
    </row>
    <row r="457" spans="21:27" x14ac:dyDescent="0.25">
      <c r="U457" s="37">
        <v>28932</v>
      </c>
      <c r="V457" s="10">
        <v>12</v>
      </c>
      <c r="W457" s="10">
        <v>14</v>
      </c>
      <c r="X457" s="10">
        <v>10</v>
      </c>
      <c r="Y457" s="11">
        <v>0.33333333333333331</v>
      </c>
      <c r="Z457" s="11">
        <v>0.3888888888888889</v>
      </c>
      <c r="AA457" s="11">
        <v>0.27777777777777779</v>
      </c>
    </row>
    <row r="458" spans="21:27" x14ac:dyDescent="0.25">
      <c r="U458" s="37">
        <v>28939</v>
      </c>
      <c r="V458" s="10">
        <v>7</v>
      </c>
      <c r="W458" s="10">
        <v>8</v>
      </c>
      <c r="X458" s="10">
        <v>9</v>
      </c>
      <c r="Y458" s="11">
        <v>0.29166666666666669</v>
      </c>
      <c r="Z458" s="11">
        <v>0.33333333333333331</v>
      </c>
      <c r="AA458" s="11">
        <v>0.375</v>
      </c>
    </row>
    <row r="459" spans="21:27" x14ac:dyDescent="0.25">
      <c r="U459" s="37">
        <v>28946</v>
      </c>
      <c r="V459" s="10">
        <v>2</v>
      </c>
      <c r="W459" s="10">
        <v>9</v>
      </c>
      <c r="X459" s="10">
        <v>17</v>
      </c>
      <c r="Y459" s="11">
        <v>7.1428571428571425E-2</v>
      </c>
      <c r="Z459" s="11">
        <v>0.32142857142857145</v>
      </c>
      <c r="AA459" s="11">
        <v>0.6071428571428571</v>
      </c>
    </row>
    <row r="460" spans="21:27" x14ac:dyDescent="0.25">
      <c r="U460" s="37">
        <v>28960</v>
      </c>
      <c r="V460" s="10">
        <v>8</v>
      </c>
      <c r="W460" s="10">
        <v>4</v>
      </c>
      <c r="X460" s="10">
        <v>5</v>
      </c>
      <c r="Y460" s="11">
        <v>0.47058823529411764</v>
      </c>
      <c r="Z460" s="11">
        <v>0.23529411764705882</v>
      </c>
      <c r="AA460" s="11">
        <v>0.29411764705882354</v>
      </c>
    </row>
    <row r="461" spans="21:27" x14ac:dyDescent="0.25">
      <c r="U461" s="37">
        <v>28967</v>
      </c>
      <c r="V461" s="10">
        <v>9</v>
      </c>
      <c r="W461" s="10">
        <v>7</v>
      </c>
      <c r="X461" s="10">
        <v>7</v>
      </c>
      <c r="Y461" s="11">
        <v>0.39130434782608697</v>
      </c>
      <c r="Z461" s="11">
        <v>0.30434782608695654</v>
      </c>
      <c r="AA461" s="11">
        <v>0.30434782608695654</v>
      </c>
    </row>
    <row r="462" spans="21:27" x14ac:dyDescent="0.25">
      <c r="U462" s="37">
        <v>28974</v>
      </c>
      <c r="V462" s="10">
        <v>3</v>
      </c>
      <c r="W462" s="10">
        <v>11</v>
      </c>
      <c r="X462" s="10">
        <v>17</v>
      </c>
      <c r="Y462" s="11">
        <v>9.6774193548387094E-2</v>
      </c>
      <c r="Z462" s="11">
        <v>0.35483870967741937</v>
      </c>
      <c r="AA462" s="11">
        <v>0.54838709677419351</v>
      </c>
    </row>
    <row r="463" spans="21:27" x14ac:dyDescent="0.25">
      <c r="U463" s="37">
        <v>28981</v>
      </c>
      <c r="V463" s="10">
        <v>1</v>
      </c>
      <c r="W463" s="10">
        <v>5</v>
      </c>
      <c r="X463" s="10">
        <v>4</v>
      </c>
      <c r="Y463" s="11">
        <v>0.1</v>
      </c>
      <c r="Z463" s="11">
        <v>0.5</v>
      </c>
      <c r="AA463" s="11">
        <v>0.4</v>
      </c>
    </row>
    <row r="464" spans="21:27" x14ac:dyDescent="0.25">
      <c r="U464" s="37">
        <v>28988</v>
      </c>
      <c r="V464" s="10">
        <v>10</v>
      </c>
      <c r="W464" s="10">
        <v>7</v>
      </c>
      <c r="X464" s="10">
        <v>6</v>
      </c>
      <c r="Y464" s="11">
        <v>0.43478260869565216</v>
      </c>
      <c r="Z464" s="11">
        <v>0.30434782608695654</v>
      </c>
      <c r="AA464" s="11">
        <v>0.2608695652173913</v>
      </c>
    </row>
    <row r="465" spans="21:27" x14ac:dyDescent="0.25">
      <c r="U465" s="37">
        <v>28995</v>
      </c>
      <c r="V465" s="10">
        <v>6</v>
      </c>
      <c r="W465" s="10">
        <v>8</v>
      </c>
      <c r="X465" s="10">
        <v>4</v>
      </c>
      <c r="Y465" s="11">
        <v>0.33333333333333331</v>
      </c>
      <c r="Z465" s="11">
        <v>0.44444444444444442</v>
      </c>
      <c r="AA465" s="11">
        <v>0.22222222222222221</v>
      </c>
    </row>
    <row r="466" spans="21:27" x14ac:dyDescent="0.25">
      <c r="U466" s="37">
        <v>29002</v>
      </c>
      <c r="V466" s="10">
        <v>7</v>
      </c>
      <c r="W466" s="10">
        <v>5</v>
      </c>
      <c r="X466" s="10">
        <v>14</v>
      </c>
      <c r="Y466" s="11">
        <v>0.26923076923076922</v>
      </c>
      <c r="Z466" s="11">
        <v>0.19230769230769232</v>
      </c>
      <c r="AA466" s="11">
        <v>0.53846153846153844</v>
      </c>
    </row>
    <row r="467" spans="21:27" x14ac:dyDescent="0.25">
      <c r="U467" s="37">
        <v>29009</v>
      </c>
      <c r="V467" s="10">
        <v>4</v>
      </c>
      <c r="W467" s="10">
        <v>3</v>
      </c>
      <c r="X467" s="10">
        <v>10</v>
      </c>
      <c r="Y467" s="11">
        <v>0.23529411764705882</v>
      </c>
      <c r="Z467" s="11">
        <v>0.17647058823529413</v>
      </c>
      <c r="AA467" s="11">
        <v>0.58823529411764708</v>
      </c>
    </row>
    <row r="468" spans="21:27" x14ac:dyDescent="0.25">
      <c r="U468" s="37">
        <v>29016</v>
      </c>
      <c r="V468" s="10">
        <v>10</v>
      </c>
      <c r="W468" s="10">
        <v>19</v>
      </c>
      <c r="X468" s="10">
        <v>21</v>
      </c>
      <c r="Y468" s="11">
        <v>0.2</v>
      </c>
      <c r="Z468" s="11">
        <v>0.38</v>
      </c>
      <c r="AA468" s="11">
        <v>0.42</v>
      </c>
    </row>
    <row r="469" spans="21:27" x14ac:dyDescent="0.25">
      <c r="U469" s="37">
        <v>29023</v>
      </c>
      <c r="V469" s="10">
        <v>8</v>
      </c>
      <c r="W469" s="10">
        <v>0</v>
      </c>
      <c r="X469" s="10">
        <v>14</v>
      </c>
      <c r="Y469" s="11">
        <v>0.36363636363636365</v>
      </c>
      <c r="Z469" s="11">
        <v>0</v>
      </c>
      <c r="AA469" s="11">
        <v>0.63636363636363635</v>
      </c>
    </row>
    <row r="470" spans="21:27" x14ac:dyDescent="0.25">
      <c r="U470" s="37">
        <v>29030</v>
      </c>
      <c r="V470" s="10">
        <v>0</v>
      </c>
      <c r="W470" s="10">
        <v>1</v>
      </c>
      <c r="X470" s="10">
        <v>19</v>
      </c>
      <c r="Y470" s="11">
        <v>0</v>
      </c>
      <c r="Z470" s="11">
        <v>0.05</v>
      </c>
      <c r="AA470" s="11">
        <v>0.95</v>
      </c>
    </row>
    <row r="471" spans="21:27" x14ac:dyDescent="0.25">
      <c r="U471" s="37">
        <v>29037</v>
      </c>
      <c r="V471" s="10">
        <v>11</v>
      </c>
      <c r="W471" s="10">
        <v>8</v>
      </c>
      <c r="X471" s="10">
        <v>10</v>
      </c>
      <c r="Y471" s="11">
        <v>0.37931034482758619</v>
      </c>
      <c r="Z471" s="11">
        <v>0.27586206896551724</v>
      </c>
      <c r="AA471" s="11">
        <v>0.34482758620689657</v>
      </c>
    </row>
    <row r="472" spans="21:27" x14ac:dyDescent="0.25">
      <c r="U472" s="37">
        <v>29044</v>
      </c>
      <c r="V472" s="10">
        <v>5</v>
      </c>
      <c r="W472" s="10">
        <v>9</v>
      </c>
      <c r="X472" s="10">
        <v>18</v>
      </c>
      <c r="Y472" s="11">
        <v>0.15625</v>
      </c>
      <c r="Z472" s="11">
        <v>0.28125</v>
      </c>
      <c r="AA472" s="11">
        <v>0.5625</v>
      </c>
    </row>
    <row r="473" spans="21:27" x14ac:dyDescent="0.25">
      <c r="U473" s="37">
        <v>29051</v>
      </c>
      <c r="V473" s="10">
        <v>7</v>
      </c>
      <c r="W473" s="10">
        <v>11</v>
      </c>
      <c r="X473" s="10">
        <v>12</v>
      </c>
      <c r="Y473" s="11">
        <v>0.23333333333333334</v>
      </c>
      <c r="Z473" s="11">
        <v>0.36666666666666664</v>
      </c>
      <c r="AA473" s="11">
        <v>0.4</v>
      </c>
    </row>
    <row r="474" spans="21:27" x14ac:dyDescent="0.25">
      <c r="U474" s="37">
        <v>29058</v>
      </c>
      <c r="V474" s="10">
        <v>14</v>
      </c>
      <c r="W474" s="10">
        <v>6</v>
      </c>
      <c r="X474" s="10">
        <v>9</v>
      </c>
      <c r="Y474" s="11">
        <v>0.48275862068965519</v>
      </c>
      <c r="Z474" s="11">
        <v>0.20689655172413793</v>
      </c>
      <c r="AA474" s="11">
        <v>0.31034482758620691</v>
      </c>
    </row>
    <row r="475" spans="21:27" x14ac:dyDescent="0.25">
      <c r="U475" s="37">
        <v>29065</v>
      </c>
      <c r="V475" s="10">
        <v>10</v>
      </c>
      <c r="W475" s="10">
        <v>2</v>
      </c>
      <c r="X475" s="10">
        <v>3</v>
      </c>
      <c r="Y475" s="11">
        <v>0.66666666666666663</v>
      </c>
      <c r="Z475" s="11">
        <v>0.13333333333333333</v>
      </c>
      <c r="AA475" s="11">
        <v>0.2</v>
      </c>
    </row>
    <row r="476" spans="21:27" x14ac:dyDescent="0.25">
      <c r="U476" s="37">
        <v>29079</v>
      </c>
      <c r="V476" s="10">
        <v>8</v>
      </c>
      <c r="W476" s="10">
        <v>3</v>
      </c>
      <c r="X476" s="10">
        <v>3</v>
      </c>
      <c r="Y476" s="11">
        <v>0.5714285714285714</v>
      </c>
      <c r="Z476" s="11">
        <v>0.21428571428571427</v>
      </c>
      <c r="AA476" s="11">
        <v>0.21428571428571427</v>
      </c>
    </row>
    <row r="477" spans="21:27" x14ac:dyDescent="0.25">
      <c r="U477" s="37">
        <v>29082</v>
      </c>
      <c r="V477" s="10">
        <v>5</v>
      </c>
      <c r="W477" s="10">
        <v>7</v>
      </c>
      <c r="X477" s="10">
        <v>12</v>
      </c>
      <c r="Y477" s="11">
        <v>0.20833333333333334</v>
      </c>
      <c r="Z477" s="11">
        <v>0.29166666666666669</v>
      </c>
      <c r="AA477" s="11">
        <v>0.5</v>
      </c>
    </row>
    <row r="478" spans="21:27" x14ac:dyDescent="0.25">
      <c r="U478" s="37">
        <v>29086</v>
      </c>
      <c r="V478" s="10">
        <v>9</v>
      </c>
      <c r="W478" s="10">
        <v>2</v>
      </c>
      <c r="X478" s="10">
        <v>4</v>
      </c>
      <c r="Y478" s="11">
        <v>0.6</v>
      </c>
      <c r="Z478" s="11">
        <v>0.13333333333333333</v>
      </c>
      <c r="AA478" s="11">
        <v>0.26666666666666666</v>
      </c>
    </row>
    <row r="479" spans="21:27" x14ac:dyDescent="0.25">
      <c r="U479" s="37">
        <v>29093</v>
      </c>
      <c r="V479" s="10">
        <v>5</v>
      </c>
      <c r="W479" s="10">
        <v>2</v>
      </c>
      <c r="X479" s="10">
        <v>15</v>
      </c>
      <c r="Y479" s="11">
        <v>0.22727272727272727</v>
      </c>
      <c r="Z479" s="11">
        <v>9.0909090909090912E-2</v>
      </c>
      <c r="AA479" s="11">
        <v>0.68181818181818177</v>
      </c>
    </row>
    <row r="480" spans="21:27" x14ac:dyDescent="0.25">
      <c r="U480" s="37">
        <v>29100</v>
      </c>
      <c r="V480" s="10">
        <v>4</v>
      </c>
      <c r="W480" s="10">
        <v>2</v>
      </c>
      <c r="X480" s="10">
        <v>7</v>
      </c>
      <c r="Y480" s="11">
        <v>0.30769230769230771</v>
      </c>
      <c r="Z480" s="11">
        <v>0.15384615384615385</v>
      </c>
      <c r="AA480" s="11">
        <v>0.53846153846153844</v>
      </c>
    </row>
    <row r="481" spans="21:27" x14ac:dyDescent="0.25">
      <c r="U481" s="37">
        <v>29107</v>
      </c>
      <c r="V481" s="10">
        <v>2</v>
      </c>
      <c r="W481" s="10">
        <v>1</v>
      </c>
      <c r="X481" s="10">
        <v>5</v>
      </c>
      <c r="Y481" s="11">
        <v>0.25</v>
      </c>
      <c r="Z481" s="11">
        <v>0.125</v>
      </c>
      <c r="AA481" s="11">
        <v>0.625</v>
      </c>
    </row>
    <row r="482" spans="21:27" x14ac:dyDescent="0.25">
      <c r="U482" s="37">
        <v>29114</v>
      </c>
      <c r="V482" s="10">
        <v>4</v>
      </c>
      <c r="W482" s="10">
        <v>8</v>
      </c>
      <c r="X482" s="10">
        <v>5</v>
      </c>
      <c r="Y482" s="11">
        <v>0.23529411764705882</v>
      </c>
      <c r="Z482" s="11">
        <v>0.47058823529411764</v>
      </c>
      <c r="AA482" s="11">
        <v>0.29411764705882354</v>
      </c>
    </row>
    <row r="483" spans="21:27" x14ac:dyDescent="0.25">
      <c r="U483" s="37">
        <v>29121</v>
      </c>
      <c r="V483" s="10">
        <v>4</v>
      </c>
      <c r="W483" s="10">
        <v>6</v>
      </c>
      <c r="X483" s="10">
        <v>11</v>
      </c>
      <c r="Y483" s="11">
        <v>0.19047619047619047</v>
      </c>
      <c r="Z483" s="11">
        <v>0.2857142857142857</v>
      </c>
      <c r="AA483" s="11">
        <v>0.52380952380952384</v>
      </c>
    </row>
    <row r="484" spans="21:27" x14ac:dyDescent="0.25">
      <c r="U484" s="37">
        <v>29128</v>
      </c>
      <c r="V484" s="10">
        <v>2</v>
      </c>
      <c r="W484" s="10">
        <v>5</v>
      </c>
      <c r="X484" s="10">
        <v>2</v>
      </c>
      <c r="Y484" s="11">
        <v>0.22222222222222221</v>
      </c>
      <c r="Z484" s="11">
        <v>0.55555555555555558</v>
      </c>
      <c r="AA484" s="11">
        <v>0.22222222222222221</v>
      </c>
    </row>
    <row r="485" spans="21:27" x14ac:dyDescent="0.25">
      <c r="U485" s="37">
        <v>29135</v>
      </c>
      <c r="V485" s="10">
        <v>7</v>
      </c>
      <c r="W485" s="10">
        <v>2</v>
      </c>
      <c r="X485" s="10">
        <v>22</v>
      </c>
      <c r="Y485" s="11">
        <v>0.22580645161290322</v>
      </c>
      <c r="Z485" s="11">
        <v>6.4516129032258063E-2</v>
      </c>
      <c r="AA485" s="11">
        <v>0.70967741935483875</v>
      </c>
    </row>
    <row r="486" spans="21:27" x14ac:dyDescent="0.25">
      <c r="U486" s="37">
        <v>29142</v>
      </c>
      <c r="V486" s="10">
        <v>14</v>
      </c>
      <c r="W486" s="10">
        <v>13</v>
      </c>
      <c r="X486" s="10">
        <v>3</v>
      </c>
      <c r="Y486" s="11">
        <v>0.46666666666666667</v>
      </c>
      <c r="Z486" s="11">
        <v>0.43333333333333335</v>
      </c>
      <c r="AA486" s="11">
        <v>0.1</v>
      </c>
    </row>
    <row r="487" spans="21:27" x14ac:dyDescent="0.25">
      <c r="U487" s="37">
        <v>29156</v>
      </c>
      <c r="V487" s="10">
        <v>1</v>
      </c>
      <c r="W487" s="10">
        <v>7</v>
      </c>
      <c r="X487" s="10">
        <v>11</v>
      </c>
      <c r="Y487" s="11">
        <v>5.2631578947368418E-2</v>
      </c>
      <c r="Z487" s="11">
        <v>0.36842105263157893</v>
      </c>
      <c r="AA487" s="11">
        <v>0.57894736842105265</v>
      </c>
    </row>
    <row r="488" spans="21:27" x14ac:dyDescent="0.25">
      <c r="U488" s="37">
        <v>29160</v>
      </c>
      <c r="V488" s="10">
        <v>5</v>
      </c>
      <c r="W488" s="10">
        <v>9</v>
      </c>
      <c r="X488" s="10">
        <v>3</v>
      </c>
      <c r="Y488" s="11">
        <v>0.29411764705882354</v>
      </c>
      <c r="Z488" s="11">
        <v>0.52941176470588236</v>
      </c>
      <c r="AA488" s="11">
        <v>0.17647058823529413</v>
      </c>
    </row>
    <row r="489" spans="21:27" x14ac:dyDescent="0.25">
      <c r="U489" s="37">
        <v>29163</v>
      </c>
      <c r="V489" s="10">
        <v>16</v>
      </c>
      <c r="W489" s="10">
        <v>22</v>
      </c>
      <c r="X489" s="10">
        <v>8</v>
      </c>
      <c r="Y489" s="11">
        <v>0.34782608695652173</v>
      </c>
      <c r="Z489" s="11">
        <v>0.47826086956521741</v>
      </c>
      <c r="AA489" s="11">
        <v>0.17391304347826086</v>
      </c>
    </row>
    <row r="490" spans="21:27" x14ac:dyDescent="0.25">
      <c r="U490" s="37">
        <v>29177</v>
      </c>
      <c r="V490" s="10">
        <v>6</v>
      </c>
      <c r="W490" s="10">
        <v>0</v>
      </c>
      <c r="X490" s="10">
        <v>12</v>
      </c>
      <c r="Y490" s="11">
        <v>0.33333333333333331</v>
      </c>
      <c r="Z490" s="11">
        <v>0</v>
      </c>
      <c r="AA490" s="11">
        <v>0.66666666666666663</v>
      </c>
    </row>
    <row r="491" spans="21:27" x14ac:dyDescent="0.25">
      <c r="U491" s="37">
        <v>29184</v>
      </c>
      <c r="V491" s="10">
        <v>2</v>
      </c>
      <c r="W491" s="10">
        <v>2</v>
      </c>
      <c r="X491" s="10">
        <v>6</v>
      </c>
      <c r="Y491" s="11">
        <v>0.2</v>
      </c>
      <c r="Z491" s="11">
        <v>0.2</v>
      </c>
      <c r="AA491" s="11">
        <v>0.6</v>
      </c>
    </row>
    <row r="492" spans="21:27" x14ac:dyDescent="0.25">
      <c r="U492" s="37">
        <v>29191</v>
      </c>
      <c r="V492" s="10">
        <v>29</v>
      </c>
      <c r="W492" s="10">
        <v>15</v>
      </c>
      <c r="X492" s="10">
        <v>12</v>
      </c>
      <c r="Y492" s="11">
        <v>0.5178571428571429</v>
      </c>
      <c r="Z492" s="11">
        <v>0.26785714285714285</v>
      </c>
      <c r="AA492" s="11">
        <v>0.21428571428571427</v>
      </c>
    </row>
    <row r="493" spans="21:27" x14ac:dyDescent="0.25">
      <c r="U493" s="37">
        <v>29198</v>
      </c>
      <c r="V493" s="10">
        <v>3</v>
      </c>
      <c r="W493" s="10">
        <v>12</v>
      </c>
      <c r="X493" s="10">
        <v>12</v>
      </c>
      <c r="Y493" s="11">
        <v>0.1111111111111111</v>
      </c>
      <c r="Z493" s="11">
        <v>0.44444444444444442</v>
      </c>
      <c r="AA493" s="11">
        <v>0.44444444444444442</v>
      </c>
    </row>
    <row r="494" spans="21:27" x14ac:dyDescent="0.25">
      <c r="U494" s="37">
        <v>29205</v>
      </c>
      <c r="V494" s="10">
        <v>0</v>
      </c>
      <c r="W494" s="10">
        <v>6</v>
      </c>
      <c r="X494" s="10">
        <v>10</v>
      </c>
      <c r="Y494" s="11">
        <v>0</v>
      </c>
      <c r="Z494" s="11">
        <v>0.375</v>
      </c>
      <c r="AA494" s="11">
        <v>0.625</v>
      </c>
    </row>
    <row r="495" spans="21:27" x14ac:dyDescent="0.25">
      <c r="U495" s="37">
        <v>29212</v>
      </c>
      <c r="V495" s="10">
        <v>5</v>
      </c>
      <c r="W495" s="10">
        <v>3</v>
      </c>
      <c r="X495" s="10">
        <v>6</v>
      </c>
      <c r="Y495" s="11">
        <v>0.35714285714285715</v>
      </c>
      <c r="Z495" s="11">
        <v>0.21428571428571427</v>
      </c>
      <c r="AA495" s="11">
        <v>0.42857142857142855</v>
      </c>
    </row>
    <row r="496" spans="21:27" x14ac:dyDescent="0.25">
      <c r="U496" s="37">
        <v>29213</v>
      </c>
      <c r="V496" s="10">
        <v>9</v>
      </c>
      <c r="W496" s="10">
        <v>1</v>
      </c>
      <c r="X496" s="10">
        <v>8</v>
      </c>
      <c r="Y496" s="11">
        <v>0.5</v>
      </c>
      <c r="Z496" s="11">
        <v>5.5555555555555552E-2</v>
      </c>
      <c r="AA496" s="11">
        <v>0.44444444444444442</v>
      </c>
    </row>
    <row r="497" spans="21:27" x14ac:dyDescent="0.25">
      <c r="U497" s="37">
        <v>29214</v>
      </c>
      <c r="V497" s="10">
        <v>13</v>
      </c>
      <c r="W497" s="10">
        <v>6</v>
      </c>
      <c r="X497" s="10">
        <v>25</v>
      </c>
      <c r="Y497" s="11">
        <v>0.29545454545454547</v>
      </c>
      <c r="Z497" s="11">
        <v>0.13636363636363635</v>
      </c>
      <c r="AA497" s="11">
        <v>0.56818181818181823</v>
      </c>
    </row>
    <row r="498" spans="21:27" x14ac:dyDescent="0.25">
      <c r="U498" s="37">
        <v>29219</v>
      </c>
      <c r="V498" s="10">
        <v>11</v>
      </c>
      <c r="W498" s="10">
        <v>5</v>
      </c>
      <c r="X498" s="10">
        <v>12</v>
      </c>
      <c r="Y498" s="11">
        <v>0.39285714285714285</v>
      </c>
      <c r="Z498" s="11">
        <v>0.17857142857142858</v>
      </c>
      <c r="AA498" s="11">
        <v>0.42857142857142855</v>
      </c>
    </row>
    <row r="499" spans="21:27" x14ac:dyDescent="0.25">
      <c r="U499" s="37">
        <v>29226</v>
      </c>
      <c r="V499" s="10">
        <v>4</v>
      </c>
      <c r="W499" s="10">
        <v>9</v>
      </c>
      <c r="X499" s="10">
        <v>15</v>
      </c>
      <c r="Y499" s="11">
        <v>0.14285714285714285</v>
      </c>
      <c r="Z499" s="11">
        <v>0.32142857142857145</v>
      </c>
      <c r="AA499" s="11">
        <v>0.5357142857142857</v>
      </c>
    </row>
    <row r="500" spans="21:27" x14ac:dyDescent="0.25">
      <c r="U500" s="37">
        <v>29233</v>
      </c>
      <c r="V500" s="10">
        <v>6</v>
      </c>
      <c r="W500" s="10">
        <v>13</v>
      </c>
      <c r="X500" s="10">
        <v>12</v>
      </c>
      <c r="Y500" s="11">
        <v>0.19354838709677419</v>
      </c>
      <c r="Z500" s="11">
        <v>0.41935483870967744</v>
      </c>
      <c r="AA500" s="11">
        <v>0.38709677419354838</v>
      </c>
    </row>
    <row r="501" spans="21:27" x14ac:dyDescent="0.25">
      <c r="U501" s="37">
        <v>29240</v>
      </c>
      <c r="V501" s="10">
        <v>7</v>
      </c>
      <c r="W501" s="10">
        <v>12</v>
      </c>
      <c r="X501" s="10">
        <v>18</v>
      </c>
      <c r="Y501" s="11">
        <v>0.1891891891891892</v>
      </c>
      <c r="Z501" s="11">
        <v>0.32432432432432434</v>
      </c>
      <c r="AA501" s="11">
        <v>0.48648648648648651</v>
      </c>
    </row>
    <row r="502" spans="21:27" x14ac:dyDescent="0.25">
      <c r="U502" s="37">
        <v>29254</v>
      </c>
      <c r="V502" s="10">
        <v>6</v>
      </c>
      <c r="W502" s="10">
        <v>6</v>
      </c>
      <c r="X502" s="10">
        <v>8</v>
      </c>
      <c r="Y502" s="11">
        <v>0.3</v>
      </c>
      <c r="Z502" s="11">
        <v>0.3</v>
      </c>
      <c r="AA502" s="11">
        <v>0.4</v>
      </c>
    </row>
    <row r="503" spans="21:27" x14ac:dyDescent="0.25">
      <c r="U503" s="37">
        <v>29261</v>
      </c>
      <c r="V503" s="10">
        <v>11</v>
      </c>
      <c r="W503" s="10">
        <v>10</v>
      </c>
      <c r="X503" s="10">
        <v>27</v>
      </c>
      <c r="Y503" s="11">
        <v>0.22916666666666666</v>
      </c>
      <c r="Z503" s="11">
        <v>0.20833333333333334</v>
      </c>
      <c r="AA503" s="11">
        <v>0.5625</v>
      </c>
    </row>
    <row r="504" spans="21:27" x14ac:dyDescent="0.25">
      <c r="U504" s="37">
        <v>29268</v>
      </c>
      <c r="V504" s="10">
        <v>6</v>
      </c>
      <c r="W504" s="10">
        <v>2</v>
      </c>
      <c r="X504" s="10">
        <v>2</v>
      </c>
      <c r="Y504" s="11">
        <v>0.6</v>
      </c>
      <c r="Z504" s="11">
        <v>0.2</v>
      </c>
      <c r="AA504" s="11">
        <v>0.2</v>
      </c>
    </row>
    <row r="505" spans="21:27" x14ac:dyDescent="0.25">
      <c r="U505" s="37">
        <v>29275</v>
      </c>
      <c r="V505" s="10">
        <v>13</v>
      </c>
      <c r="W505" s="10">
        <v>6</v>
      </c>
      <c r="X505" s="10">
        <v>5</v>
      </c>
      <c r="Y505" s="11">
        <v>0.54166666666666663</v>
      </c>
      <c r="Z505" s="11">
        <v>0.25</v>
      </c>
      <c r="AA505" s="11">
        <v>0.20833333333333334</v>
      </c>
    </row>
    <row r="506" spans="21:27" x14ac:dyDescent="0.25">
      <c r="U506" s="37">
        <v>29282</v>
      </c>
      <c r="V506" s="10">
        <v>4</v>
      </c>
      <c r="W506" s="10">
        <v>4</v>
      </c>
      <c r="X506" s="10">
        <v>10</v>
      </c>
      <c r="Y506" s="11">
        <v>0.22222222222222221</v>
      </c>
      <c r="Z506" s="11">
        <v>0.22222222222222221</v>
      </c>
      <c r="AA506" s="11">
        <v>0.55555555555555558</v>
      </c>
    </row>
    <row r="507" spans="21:27" x14ac:dyDescent="0.25">
      <c r="U507" s="37">
        <v>29289</v>
      </c>
      <c r="V507" s="10">
        <v>10</v>
      </c>
      <c r="W507" s="10">
        <v>1</v>
      </c>
      <c r="X507" s="10">
        <v>12</v>
      </c>
      <c r="Y507" s="11">
        <v>0.43478260869565216</v>
      </c>
      <c r="Z507" s="11">
        <v>4.3478260869565216E-2</v>
      </c>
      <c r="AA507" s="11">
        <v>0.52173913043478259</v>
      </c>
    </row>
    <row r="508" spans="21:27" x14ac:dyDescent="0.25">
      <c r="U508" s="37">
        <v>29296</v>
      </c>
      <c r="V508" s="10">
        <v>3</v>
      </c>
      <c r="W508" s="10">
        <v>3</v>
      </c>
      <c r="X508" s="10">
        <v>13</v>
      </c>
      <c r="Y508" s="11">
        <v>0.15789473684210525</v>
      </c>
      <c r="Z508" s="11">
        <v>0.15789473684210525</v>
      </c>
      <c r="AA508" s="11">
        <v>0.68421052631578949</v>
      </c>
    </row>
    <row r="509" spans="21:27" x14ac:dyDescent="0.25">
      <c r="U509" s="37">
        <v>29303</v>
      </c>
      <c r="V509" s="10">
        <v>3</v>
      </c>
      <c r="W509" s="10">
        <v>4</v>
      </c>
      <c r="X509" s="10">
        <v>9</v>
      </c>
      <c r="Y509" s="11">
        <v>0.1875</v>
      </c>
      <c r="Z509" s="11">
        <v>0.25</v>
      </c>
      <c r="AA509" s="11">
        <v>0.5625</v>
      </c>
    </row>
    <row r="510" spans="21:27" x14ac:dyDescent="0.25">
      <c r="U510" s="37">
        <v>29310</v>
      </c>
      <c r="V510" s="10">
        <v>8</v>
      </c>
      <c r="W510" s="10">
        <v>3</v>
      </c>
      <c r="X510" s="10">
        <v>10</v>
      </c>
      <c r="Y510" s="11">
        <v>0.38095238095238093</v>
      </c>
      <c r="Z510" s="11">
        <v>0.14285714285714285</v>
      </c>
      <c r="AA510" s="11">
        <v>0.47619047619047616</v>
      </c>
    </row>
    <row r="511" spans="21:27" x14ac:dyDescent="0.25">
      <c r="U511" s="37">
        <v>29317</v>
      </c>
      <c r="V511" s="10">
        <v>13</v>
      </c>
      <c r="W511" s="10">
        <v>8</v>
      </c>
      <c r="X511" s="10">
        <v>17</v>
      </c>
      <c r="Y511" s="11">
        <v>0.34210526315789475</v>
      </c>
      <c r="Z511" s="11">
        <v>0.21052631578947367</v>
      </c>
      <c r="AA511" s="11">
        <v>0.44736842105263158</v>
      </c>
    </row>
    <row r="512" spans="21:27" x14ac:dyDescent="0.25">
      <c r="U512" s="37">
        <v>29324</v>
      </c>
      <c r="V512" s="10">
        <v>13</v>
      </c>
      <c r="W512" s="10">
        <v>14</v>
      </c>
      <c r="X512" s="10">
        <v>16</v>
      </c>
      <c r="Y512" s="11">
        <v>0.30232558139534882</v>
      </c>
      <c r="Z512" s="11">
        <v>0.32558139534883723</v>
      </c>
      <c r="AA512" s="11">
        <v>0.37209302325581395</v>
      </c>
    </row>
    <row r="513" spans="21:27" x14ac:dyDescent="0.25">
      <c r="U513" s="37">
        <v>29331</v>
      </c>
      <c r="V513" s="10">
        <v>8</v>
      </c>
      <c r="W513" s="10">
        <v>7</v>
      </c>
      <c r="X513" s="10">
        <v>5</v>
      </c>
      <c r="Y513" s="11">
        <v>0.4</v>
      </c>
      <c r="Z513" s="11">
        <v>0.35</v>
      </c>
      <c r="AA513" s="11">
        <v>0.25</v>
      </c>
    </row>
    <row r="514" spans="21:27" x14ac:dyDescent="0.25">
      <c r="U514" s="37">
        <v>29338</v>
      </c>
      <c r="V514" s="10">
        <v>7</v>
      </c>
      <c r="W514" s="10">
        <v>3</v>
      </c>
      <c r="X514" s="10">
        <v>26</v>
      </c>
      <c r="Y514" s="11">
        <v>0.19444444444444445</v>
      </c>
      <c r="Z514" s="11">
        <v>8.3333333333333329E-2</v>
      </c>
      <c r="AA514" s="11">
        <v>0.72222222222222221</v>
      </c>
    </row>
    <row r="515" spans="21:27" x14ac:dyDescent="0.25">
      <c r="U515" s="37">
        <v>29345</v>
      </c>
      <c r="V515" s="10">
        <v>3</v>
      </c>
      <c r="W515" s="10">
        <v>1</v>
      </c>
      <c r="X515" s="10">
        <v>5</v>
      </c>
      <c r="Y515" s="11">
        <v>0.33333333333333331</v>
      </c>
      <c r="Z515" s="11">
        <v>0.1111111111111111</v>
      </c>
      <c r="AA515" s="11">
        <v>0.55555555555555558</v>
      </c>
    </row>
    <row r="516" spans="21:27" x14ac:dyDescent="0.25">
      <c r="U516" s="37">
        <v>29352</v>
      </c>
      <c r="V516" s="10">
        <v>10</v>
      </c>
      <c r="W516" s="10">
        <v>1</v>
      </c>
      <c r="X516" s="10">
        <v>8</v>
      </c>
      <c r="Y516" s="11">
        <v>0.52631578947368418</v>
      </c>
      <c r="Z516" s="11">
        <v>5.2631578947368418E-2</v>
      </c>
      <c r="AA516" s="11">
        <v>0.42105263157894735</v>
      </c>
    </row>
    <row r="517" spans="21:27" x14ac:dyDescent="0.25">
      <c r="U517" s="37">
        <v>29359</v>
      </c>
      <c r="V517" s="10">
        <v>9</v>
      </c>
      <c r="W517" s="10">
        <v>6</v>
      </c>
      <c r="X517" s="10">
        <v>4</v>
      </c>
      <c r="Y517" s="11">
        <v>0.47368421052631576</v>
      </c>
      <c r="Z517" s="11">
        <v>0.31578947368421051</v>
      </c>
      <c r="AA517" s="11">
        <v>0.21052631578947367</v>
      </c>
    </row>
    <row r="518" spans="21:27" x14ac:dyDescent="0.25">
      <c r="U518" s="37">
        <v>29366</v>
      </c>
      <c r="V518" s="10">
        <v>19</v>
      </c>
      <c r="W518" s="10">
        <v>10</v>
      </c>
      <c r="X518" s="10">
        <v>8</v>
      </c>
      <c r="Y518" s="11">
        <v>0.51351351351351349</v>
      </c>
      <c r="Z518" s="11">
        <v>0.27027027027027029</v>
      </c>
      <c r="AA518" s="11">
        <v>0.21621621621621623</v>
      </c>
    </row>
    <row r="519" spans="21:27" x14ac:dyDescent="0.25">
      <c r="U519" s="37">
        <v>29373</v>
      </c>
      <c r="V519" s="10">
        <v>16</v>
      </c>
      <c r="W519" s="10">
        <v>7</v>
      </c>
      <c r="X519" s="10">
        <v>15</v>
      </c>
      <c r="Y519" s="11">
        <v>0.42105263157894735</v>
      </c>
      <c r="Z519" s="11">
        <v>0.18421052631578946</v>
      </c>
      <c r="AA519" s="11">
        <v>0.39473684210526316</v>
      </c>
    </row>
    <row r="520" spans="21:27" x14ac:dyDescent="0.25">
      <c r="U520" s="37">
        <v>29380</v>
      </c>
      <c r="V520" s="10">
        <v>6</v>
      </c>
      <c r="W520" s="10">
        <v>3</v>
      </c>
      <c r="X520" s="10">
        <v>11</v>
      </c>
      <c r="Y520" s="11">
        <v>0.3</v>
      </c>
      <c r="Z520" s="11">
        <v>0.15</v>
      </c>
      <c r="AA520" s="11">
        <v>0.55000000000000004</v>
      </c>
    </row>
    <row r="521" spans="21:27" x14ac:dyDescent="0.25">
      <c r="U521" s="37">
        <v>29387</v>
      </c>
      <c r="V521" s="10">
        <v>11</v>
      </c>
      <c r="W521" s="10">
        <v>4</v>
      </c>
      <c r="X521" s="10">
        <v>9</v>
      </c>
      <c r="Y521" s="11">
        <v>0.45833333333333331</v>
      </c>
      <c r="Z521" s="11">
        <v>0.16666666666666666</v>
      </c>
      <c r="AA521" s="11">
        <v>0.375</v>
      </c>
    </row>
    <row r="522" spans="21:27" x14ac:dyDescent="0.25">
      <c r="U522" s="37">
        <v>29394</v>
      </c>
      <c r="V522" s="10">
        <v>5</v>
      </c>
      <c r="W522" s="10">
        <v>3</v>
      </c>
      <c r="X522" s="10">
        <v>15</v>
      </c>
      <c r="Y522" s="11">
        <v>0.21739130434782608</v>
      </c>
      <c r="Z522" s="11">
        <v>0.13043478260869565</v>
      </c>
      <c r="AA522" s="11">
        <v>0.65217391304347827</v>
      </c>
    </row>
    <row r="523" spans="21:27" x14ac:dyDescent="0.25">
      <c r="U523" s="37">
        <v>29401</v>
      </c>
      <c r="V523" s="10">
        <v>4</v>
      </c>
      <c r="W523" s="10">
        <v>4</v>
      </c>
      <c r="X523" s="10">
        <v>4</v>
      </c>
      <c r="Y523" s="11">
        <v>0.33333333333333331</v>
      </c>
      <c r="Z523" s="11">
        <v>0.33333333333333331</v>
      </c>
      <c r="AA523" s="11">
        <v>0.33333333333333331</v>
      </c>
    </row>
    <row r="524" spans="21:27" x14ac:dyDescent="0.25">
      <c r="U524" s="37">
        <v>29408</v>
      </c>
      <c r="V524" s="10">
        <v>8</v>
      </c>
      <c r="W524" s="10">
        <v>16</v>
      </c>
      <c r="X524" s="10">
        <v>15</v>
      </c>
      <c r="Y524" s="11">
        <v>0.20512820512820512</v>
      </c>
      <c r="Z524" s="11">
        <v>0.41025641025641024</v>
      </c>
      <c r="AA524" s="11">
        <v>0.38461538461538464</v>
      </c>
    </row>
    <row r="525" spans="21:27" x14ac:dyDescent="0.25">
      <c r="U525" s="37">
        <v>29415</v>
      </c>
      <c r="V525" s="10">
        <v>5</v>
      </c>
      <c r="W525" s="10">
        <v>5</v>
      </c>
      <c r="X525" s="10">
        <v>9</v>
      </c>
      <c r="Y525" s="11">
        <v>0.26315789473684209</v>
      </c>
      <c r="Z525" s="11">
        <v>0.26315789473684209</v>
      </c>
      <c r="AA525" s="11">
        <v>0.47368421052631576</v>
      </c>
    </row>
    <row r="526" spans="21:27" x14ac:dyDescent="0.25">
      <c r="U526" s="37">
        <v>29422</v>
      </c>
      <c r="V526" s="10">
        <v>11</v>
      </c>
      <c r="W526" s="10">
        <v>5</v>
      </c>
      <c r="X526" s="10">
        <v>6</v>
      </c>
      <c r="Y526" s="11">
        <v>0.5</v>
      </c>
      <c r="Z526" s="11">
        <v>0.22727272727272727</v>
      </c>
      <c r="AA526" s="11">
        <v>0.27272727272727271</v>
      </c>
    </row>
    <row r="527" spans="21:27" x14ac:dyDescent="0.25">
      <c r="U527" s="37">
        <v>29429</v>
      </c>
      <c r="V527" s="10">
        <v>13</v>
      </c>
      <c r="W527" s="10">
        <v>4</v>
      </c>
      <c r="X527" s="10">
        <v>15</v>
      </c>
      <c r="Y527" s="11">
        <v>0.40625</v>
      </c>
      <c r="Z527" s="11">
        <v>0.125</v>
      </c>
      <c r="AA527" s="11">
        <v>0.46875</v>
      </c>
    </row>
    <row r="528" spans="21:27" x14ac:dyDescent="0.25">
      <c r="U528" s="37">
        <v>29436</v>
      </c>
      <c r="V528" s="10">
        <v>2</v>
      </c>
      <c r="W528" s="10">
        <v>2</v>
      </c>
      <c r="X528" s="10">
        <v>4</v>
      </c>
      <c r="Y528" s="11">
        <v>0.25</v>
      </c>
      <c r="Z528" s="11">
        <v>0.25</v>
      </c>
      <c r="AA528" s="11">
        <v>0.5</v>
      </c>
    </row>
    <row r="529" spans="21:27" x14ac:dyDescent="0.25">
      <c r="U529" s="37">
        <v>29443</v>
      </c>
      <c r="V529" s="10">
        <v>5</v>
      </c>
      <c r="W529" s="10">
        <v>8</v>
      </c>
      <c r="X529" s="10">
        <v>8</v>
      </c>
      <c r="Y529" s="11">
        <v>0.23809523809523808</v>
      </c>
      <c r="Z529" s="11">
        <v>0.38095238095238093</v>
      </c>
      <c r="AA529" s="11">
        <v>0.38095238095238093</v>
      </c>
    </row>
    <row r="530" spans="21:27" x14ac:dyDescent="0.25">
      <c r="U530" s="37">
        <v>29448</v>
      </c>
      <c r="V530" s="10">
        <v>6</v>
      </c>
      <c r="W530" s="10">
        <v>3</v>
      </c>
      <c r="X530" s="10">
        <v>10</v>
      </c>
      <c r="Y530" s="11">
        <v>0.31578947368421051</v>
      </c>
      <c r="Z530" s="11">
        <v>0.15789473684210525</v>
      </c>
      <c r="AA530" s="11">
        <v>0.52631578947368418</v>
      </c>
    </row>
    <row r="531" spans="21:27" x14ac:dyDescent="0.25">
      <c r="U531" s="37">
        <v>29450</v>
      </c>
      <c r="V531" s="10">
        <v>7</v>
      </c>
      <c r="W531" s="10">
        <v>6</v>
      </c>
      <c r="X531" s="10">
        <v>10</v>
      </c>
      <c r="Y531" s="11">
        <v>0.30434782608695654</v>
      </c>
      <c r="Z531" s="11">
        <v>0.2608695652173913</v>
      </c>
      <c r="AA531" s="11">
        <v>0.43478260869565216</v>
      </c>
    </row>
    <row r="532" spans="21:27" x14ac:dyDescent="0.25">
      <c r="U532" s="37">
        <v>29457</v>
      </c>
      <c r="V532" s="10">
        <v>7</v>
      </c>
      <c r="W532" s="10">
        <v>7</v>
      </c>
      <c r="X532" s="10">
        <v>7</v>
      </c>
      <c r="Y532" s="11">
        <v>0.33333333333333331</v>
      </c>
      <c r="Z532" s="11">
        <v>0.33333333333333331</v>
      </c>
      <c r="AA532" s="11">
        <v>0.33333333333333331</v>
      </c>
    </row>
    <row r="533" spans="21:27" x14ac:dyDescent="0.25">
      <c r="U533" s="37">
        <v>29464</v>
      </c>
      <c r="V533" s="10">
        <v>11</v>
      </c>
      <c r="W533" s="10">
        <v>2</v>
      </c>
      <c r="X533" s="10">
        <v>10</v>
      </c>
      <c r="Y533" s="11">
        <v>0.47826086956521741</v>
      </c>
      <c r="Z533" s="11">
        <v>8.6956521739130432E-2</v>
      </c>
      <c r="AA533" s="11">
        <v>0.43478260869565216</v>
      </c>
    </row>
    <row r="534" spans="21:27" x14ac:dyDescent="0.25">
      <c r="U534" s="37">
        <v>29471</v>
      </c>
      <c r="V534" s="10">
        <v>1</v>
      </c>
      <c r="W534" s="10">
        <v>4</v>
      </c>
      <c r="X534" s="10">
        <v>6</v>
      </c>
      <c r="Y534" s="11">
        <v>9.0909090909090912E-2</v>
      </c>
      <c r="Z534" s="11">
        <v>0.36363636363636365</v>
      </c>
      <c r="AA534" s="11">
        <v>0.54545454545454541</v>
      </c>
    </row>
    <row r="535" spans="21:27" x14ac:dyDescent="0.25">
      <c r="U535" s="37">
        <v>29478</v>
      </c>
      <c r="V535" s="10">
        <v>11</v>
      </c>
      <c r="W535" s="10">
        <v>6</v>
      </c>
      <c r="X535" s="10">
        <v>4</v>
      </c>
      <c r="Y535" s="11">
        <v>0.52380952380952384</v>
      </c>
      <c r="Z535" s="11">
        <v>0.2857142857142857</v>
      </c>
      <c r="AA535" s="11">
        <v>0.19047619047619047</v>
      </c>
    </row>
    <row r="536" spans="21:27" x14ac:dyDescent="0.25">
      <c r="U536" s="37">
        <v>29485</v>
      </c>
      <c r="V536" s="10">
        <v>6</v>
      </c>
      <c r="W536" s="10">
        <v>1</v>
      </c>
      <c r="X536" s="10">
        <v>5</v>
      </c>
      <c r="Y536" s="11">
        <v>0.5</v>
      </c>
      <c r="Z536" s="11">
        <v>8.3333333333333329E-2</v>
      </c>
      <c r="AA536" s="11">
        <v>0.41666666666666669</v>
      </c>
    </row>
    <row r="537" spans="21:27" x14ac:dyDescent="0.25">
      <c r="U537" s="37">
        <v>29492</v>
      </c>
      <c r="V537" s="10">
        <v>1</v>
      </c>
      <c r="W537" s="10">
        <v>4</v>
      </c>
      <c r="X537" s="10">
        <v>6</v>
      </c>
      <c r="Y537" s="11">
        <v>9.0909090909090912E-2</v>
      </c>
      <c r="Z537" s="11">
        <v>0.36363636363636365</v>
      </c>
      <c r="AA537" s="11">
        <v>0.54545454545454541</v>
      </c>
    </row>
    <row r="538" spans="21:27" x14ac:dyDescent="0.25">
      <c r="U538" s="37">
        <v>29499</v>
      </c>
      <c r="V538" s="10">
        <v>3</v>
      </c>
      <c r="W538" s="10">
        <v>5</v>
      </c>
      <c r="X538" s="10">
        <v>2</v>
      </c>
      <c r="Y538" s="11">
        <v>0.3</v>
      </c>
      <c r="Z538" s="11">
        <v>0.5</v>
      </c>
      <c r="AA538" s="11">
        <v>0.2</v>
      </c>
    </row>
    <row r="539" spans="21:27" x14ac:dyDescent="0.25">
      <c r="U539" s="37">
        <v>29506</v>
      </c>
      <c r="V539" s="10">
        <v>5</v>
      </c>
      <c r="W539" s="10">
        <v>5</v>
      </c>
      <c r="X539" s="10">
        <v>11</v>
      </c>
      <c r="Y539" s="11">
        <v>0.23809523809523808</v>
      </c>
      <c r="Z539" s="11">
        <v>0.23809523809523808</v>
      </c>
      <c r="AA539" s="11">
        <v>0.52380952380952384</v>
      </c>
    </row>
    <row r="540" spans="21:27" x14ac:dyDescent="0.25">
      <c r="U540" s="37">
        <v>29513</v>
      </c>
      <c r="V540" s="10">
        <v>2</v>
      </c>
      <c r="W540" s="10">
        <v>1</v>
      </c>
      <c r="X540" s="10">
        <v>8</v>
      </c>
      <c r="Y540" s="11">
        <v>0.18181818181818182</v>
      </c>
      <c r="Z540" s="11">
        <v>9.0909090909090912E-2</v>
      </c>
      <c r="AA540" s="11">
        <v>0.72727272727272729</v>
      </c>
    </row>
    <row r="541" spans="21:27" x14ac:dyDescent="0.25">
      <c r="U541" s="37">
        <v>29520</v>
      </c>
      <c r="V541" s="10">
        <v>5</v>
      </c>
      <c r="W541" s="10">
        <v>6</v>
      </c>
      <c r="X541" s="10">
        <v>8</v>
      </c>
      <c r="Y541" s="11">
        <v>0.26315789473684209</v>
      </c>
      <c r="Z541" s="11">
        <v>0.31578947368421051</v>
      </c>
      <c r="AA541" s="11">
        <v>0.42105263157894735</v>
      </c>
    </row>
    <row r="542" spans="21:27" x14ac:dyDescent="0.25">
      <c r="U542" s="37">
        <v>29526</v>
      </c>
      <c r="V542" s="10">
        <v>8</v>
      </c>
      <c r="W542" s="10">
        <v>4</v>
      </c>
      <c r="X542" s="10">
        <v>8</v>
      </c>
      <c r="Y542" s="11">
        <v>0.4</v>
      </c>
      <c r="Z542" s="11">
        <v>0.2</v>
      </c>
      <c r="AA542" s="11">
        <v>0.4</v>
      </c>
    </row>
    <row r="543" spans="21:27" x14ac:dyDescent="0.25">
      <c r="U543" s="37">
        <v>29527</v>
      </c>
      <c r="V543" s="10">
        <v>5</v>
      </c>
      <c r="W543" s="10">
        <v>1</v>
      </c>
      <c r="X543" s="10">
        <v>4</v>
      </c>
      <c r="Y543" s="11">
        <v>0.5</v>
      </c>
      <c r="Z543" s="11">
        <v>0.1</v>
      </c>
      <c r="AA543" s="11">
        <v>0.4</v>
      </c>
    </row>
    <row r="544" spans="21:27" x14ac:dyDescent="0.25">
      <c r="U544" s="37">
        <v>29534</v>
      </c>
      <c r="V544" s="10">
        <v>2</v>
      </c>
      <c r="W544" s="10">
        <v>4</v>
      </c>
      <c r="X544" s="10">
        <v>24</v>
      </c>
      <c r="Y544" s="11">
        <v>6.6666666666666666E-2</v>
      </c>
      <c r="Z544" s="11">
        <v>0.13333333333333333</v>
      </c>
      <c r="AA544" s="11">
        <v>0.8</v>
      </c>
    </row>
    <row r="545" spans="21:27" x14ac:dyDescent="0.25">
      <c r="U545" s="37">
        <v>29541</v>
      </c>
      <c r="V545" s="10">
        <v>4</v>
      </c>
      <c r="W545" s="10">
        <v>5</v>
      </c>
      <c r="X545" s="10">
        <v>0</v>
      </c>
      <c r="Y545" s="11">
        <v>0.44444444444444442</v>
      </c>
      <c r="Z545" s="11">
        <v>0.55555555555555558</v>
      </c>
      <c r="AA545" s="11">
        <v>0</v>
      </c>
    </row>
    <row r="546" spans="21:27" x14ac:dyDescent="0.25">
      <c r="U546" s="37">
        <v>29548</v>
      </c>
      <c r="V546" s="10">
        <v>7</v>
      </c>
      <c r="W546" s="10">
        <v>8</v>
      </c>
      <c r="X546" s="10">
        <v>10</v>
      </c>
      <c r="Y546" s="11">
        <v>0.28000000000000003</v>
      </c>
      <c r="Z546" s="11">
        <v>0.32</v>
      </c>
      <c r="AA546" s="11">
        <v>0.4</v>
      </c>
    </row>
    <row r="547" spans="21:27" x14ac:dyDescent="0.25">
      <c r="U547" s="37">
        <v>29555</v>
      </c>
      <c r="V547" s="10">
        <v>6</v>
      </c>
      <c r="W547" s="10">
        <v>3</v>
      </c>
      <c r="X547" s="10">
        <v>4</v>
      </c>
      <c r="Y547" s="11">
        <v>0.46153846153846156</v>
      </c>
      <c r="Z547" s="11">
        <v>0.23076923076923078</v>
      </c>
      <c r="AA547" s="11">
        <v>0.30769230769230771</v>
      </c>
    </row>
    <row r="548" spans="21:27" x14ac:dyDescent="0.25">
      <c r="U548" s="37">
        <v>29562</v>
      </c>
      <c r="V548" s="10">
        <v>6</v>
      </c>
      <c r="W548" s="10">
        <v>4</v>
      </c>
      <c r="X548" s="10">
        <v>4</v>
      </c>
      <c r="Y548" s="11">
        <v>0.42857142857142855</v>
      </c>
      <c r="Z548" s="11">
        <v>0.2857142857142857</v>
      </c>
      <c r="AA548" s="11">
        <v>0.2857142857142857</v>
      </c>
    </row>
    <row r="549" spans="21:27" x14ac:dyDescent="0.25">
      <c r="U549" s="37">
        <v>29569</v>
      </c>
      <c r="V549" s="10">
        <v>2</v>
      </c>
      <c r="W549" s="10">
        <v>0</v>
      </c>
      <c r="X549" s="10">
        <v>0</v>
      </c>
      <c r="Y549" s="11">
        <v>1</v>
      </c>
      <c r="Z549" s="11">
        <v>0</v>
      </c>
      <c r="AA549" s="11">
        <v>0</v>
      </c>
    </row>
    <row r="550" spans="21:27" x14ac:dyDescent="0.25">
      <c r="U550" s="37">
        <v>29576</v>
      </c>
      <c r="V550" s="10">
        <v>10</v>
      </c>
      <c r="W550" s="10">
        <v>7</v>
      </c>
      <c r="X550" s="10">
        <v>15</v>
      </c>
      <c r="Y550" s="11">
        <v>0.3125</v>
      </c>
      <c r="Z550" s="11">
        <v>0.21875</v>
      </c>
      <c r="AA550" s="11">
        <v>0.46875</v>
      </c>
    </row>
    <row r="551" spans="21:27" x14ac:dyDescent="0.25">
      <c r="U551" s="37">
        <v>29579</v>
      </c>
      <c r="V551" s="10">
        <v>0</v>
      </c>
      <c r="W551" s="10">
        <v>1</v>
      </c>
      <c r="X551" s="10">
        <v>0</v>
      </c>
      <c r="Y551" s="11">
        <v>0</v>
      </c>
      <c r="Z551" s="11">
        <v>1</v>
      </c>
      <c r="AA551" s="11">
        <v>0</v>
      </c>
    </row>
    <row r="552" spans="21:27" x14ac:dyDescent="0.25">
      <c r="U552" s="37">
        <v>29580</v>
      </c>
      <c r="V552" s="10">
        <v>8</v>
      </c>
      <c r="W552" s="10">
        <v>7</v>
      </c>
      <c r="X552" s="10">
        <v>8</v>
      </c>
      <c r="Y552" s="11">
        <v>0.34782608695652173</v>
      </c>
      <c r="Z552" s="11">
        <v>0.30434782608695654</v>
      </c>
      <c r="AA552" s="11">
        <v>0.34782608695652173</v>
      </c>
    </row>
    <row r="553" spans="21:27" x14ac:dyDescent="0.25">
      <c r="U553" s="37">
        <v>29583</v>
      </c>
      <c r="V553" s="10">
        <v>6</v>
      </c>
      <c r="W553" s="10">
        <v>2</v>
      </c>
      <c r="X553" s="10">
        <v>8</v>
      </c>
      <c r="Y553" s="11">
        <v>0.375</v>
      </c>
      <c r="Z553" s="11">
        <v>0.125</v>
      </c>
      <c r="AA553" s="11">
        <v>0.5</v>
      </c>
    </row>
    <row r="554" spans="21:27" x14ac:dyDescent="0.25">
      <c r="U554" s="37">
        <v>29590</v>
      </c>
      <c r="V554" s="10">
        <v>14</v>
      </c>
      <c r="W554" s="10">
        <v>6</v>
      </c>
      <c r="X554" s="10">
        <v>21</v>
      </c>
      <c r="Y554" s="11">
        <v>0.34146341463414637</v>
      </c>
      <c r="Z554" s="11">
        <v>0.14634146341463414</v>
      </c>
      <c r="AA554" s="11">
        <v>0.51219512195121952</v>
      </c>
    </row>
    <row r="555" spans="21:27" x14ac:dyDescent="0.25">
      <c r="U555" s="37">
        <v>29597</v>
      </c>
      <c r="V555" s="10">
        <v>7</v>
      </c>
      <c r="W555" s="10">
        <v>9</v>
      </c>
      <c r="X555" s="10">
        <v>7</v>
      </c>
      <c r="Y555" s="11">
        <v>0.30434782608695654</v>
      </c>
      <c r="Z555" s="11">
        <v>0.39130434782608697</v>
      </c>
      <c r="AA555" s="11">
        <v>0.30434782608695654</v>
      </c>
    </row>
    <row r="556" spans="21:27" x14ac:dyDescent="0.25">
      <c r="U556" s="37">
        <v>29604</v>
      </c>
      <c r="V556" s="10">
        <v>13</v>
      </c>
      <c r="W556" s="10">
        <v>25</v>
      </c>
      <c r="X556" s="10">
        <v>19</v>
      </c>
      <c r="Y556" s="11">
        <v>0.22807017543859648</v>
      </c>
      <c r="Z556" s="11">
        <v>0.43859649122807015</v>
      </c>
      <c r="AA556" s="11">
        <v>0.33333333333333331</v>
      </c>
    </row>
    <row r="557" spans="21:27" x14ac:dyDescent="0.25">
      <c r="U557" s="37">
        <v>29611</v>
      </c>
      <c r="V557" s="10">
        <v>7</v>
      </c>
      <c r="W557" s="10">
        <v>10</v>
      </c>
      <c r="X557" s="10">
        <v>12</v>
      </c>
      <c r="Y557" s="11">
        <v>0.2413793103448276</v>
      </c>
      <c r="Z557" s="11">
        <v>0.34482758620689657</v>
      </c>
      <c r="AA557" s="11">
        <v>0.41379310344827586</v>
      </c>
    </row>
    <row r="558" spans="21:27" x14ac:dyDescent="0.25">
      <c r="U558" s="37">
        <v>29618</v>
      </c>
      <c r="V558" s="10">
        <v>0</v>
      </c>
      <c r="W558" s="10">
        <v>3</v>
      </c>
      <c r="X558" s="10">
        <v>2</v>
      </c>
      <c r="Y558" s="11">
        <v>0</v>
      </c>
      <c r="Z558" s="11">
        <v>0.6</v>
      </c>
      <c r="AA558" s="11">
        <v>0.4</v>
      </c>
    </row>
    <row r="559" spans="21:27" x14ac:dyDescent="0.25">
      <c r="U559" s="37">
        <v>29625</v>
      </c>
      <c r="V559" s="10">
        <v>13</v>
      </c>
      <c r="W559" s="10">
        <v>18</v>
      </c>
      <c r="X559" s="10">
        <v>11</v>
      </c>
      <c r="Y559" s="11">
        <v>0.30952380952380953</v>
      </c>
      <c r="Z559" s="11">
        <v>0.42857142857142855</v>
      </c>
      <c r="AA559" s="11">
        <v>0.26190476190476192</v>
      </c>
    </row>
    <row r="560" spans="21:27" x14ac:dyDescent="0.25">
      <c r="U560" s="37">
        <v>29632</v>
      </c>
      <c r="V560" s="10">
        <v>3</v>
      </c>
      <c r="W560" s="10">
        <v>2</v>
      </c>
      <c r="X560" s="10">
        <v>4</v>
      </c>
      <c r="Y560" s="11">
        <v>0.33333333333333331</v>
      </c>
      <c r="Z560" s="11">
        <v>0.22222222222222221</v>
      </c>
      <c r="AA560" s="11">
        <v>0.44444444444444442</v>
      </c>
    </row>
    <row r="561" spans="21:27" x14ac:dyDescent="0.25">
      <c r="U561" s="37">
        <v>29646</v>
      </c>
      <c r="V561" s="10">
        <v>8</v>
      </c>
      <c r="W561" s="10">
        <v>6</v>
      </c>
      <c r="X561" s="10">
        <v>5</v>
      </c>
      <c r="Y561" s="11">
        <v>0.42105263157894735</v>
      </c>
      <c r="Z561" s="11">
        <v>0.31578947368421051</v>
      </c>
      <c r="AA561" s="11">
        <v>0.26315789473684209</v>
      </c>
    </row>
    <row r="562" spans="21:27" x14ac:dyDescent="0.25">
      <c r="U562" s="37">
        <v>29653</v>
      </c>
      <c r="V562" s="10">
        <v>2</v>
      </c>
      <c r="W562" s="10">
        <v>2</v>
      </c>
      <c r="X562" s="10">
        <v>4</v>
      </c>
      <c r="Y562" s="11">
        <v>0.25</v>
      </c>
      <c r="Z562" s="11">
        <v>0.25</v>
      </c>
      <c r="AA562" s="11">
        <v>0.5</v>
      </c>
    </row>
    <row r="563" spans="21:27" x14ac:dyDescent="0.25">
      <c r="U563" s="37">
        <v>29660</v>
      </c>
      <c r="V563" s="10">
        <v>0</v>
      </c>
      <c r="W563" s="10">
        <v>1</v>
      </c>
      <c r="X563" s="10">
        <v>3</v>
      </c>
      <c r="Y563" s="11">
        <v>0</v>
      </c>
      <c r="Z563" s="11">
        <v>0.25</v>
      </c>
      <c r="AA563" s="11">
        <v>0.75</v>
      </c>
    </row>
    <row r="564" spans="21:27" x14ac:dyDescent="0.25">
      <c r="U564" s="37">
        <v>29667</v>
      </c>
      <c r="V564" s="10">
        <v>1</v>
      </c>
      <c r="W564" s="10">
        <v>4</v>
      </c>
      <c r="X564" s="10">
        <v>3</v>
      </c>
      <c r="Y564" s="11">
        <v>0.125</v>
      </c>
      <c r="Z564" s="11">
        <v>0.5</v>
      </c>
      <c r="AA564" s="11">
        <v>0.375</v>
      </c>
    </row>
    <row r="565" spans="21:27" x14ac:dyDescent="0.25">
      <c r="U565" s="37">
        <v>29674</v>
      </c>
      <c r="V565" s="10">
        <v>3</v>
      </c>
      <c r="W565" s="10">
        <v>3</v>
      </c>
      <c r="X565" s="10">
        <v>3</v>
      </c>
      <c r="Y565" s="11">
        <v>0.33333333333333331</v>
      </c>
      <c r="Z565" s="11">
        <v>0.33333333333333331</v>
      </c>
      <c r="AA565" s="11">
        <v>0.33333333333333331</v>
      </c>
    </row>
    <row r="566" spans="21:27" x14ac:dyDescent="0.25">
      <c r="U566" s="37">
        <v>29681</v>
      </c>
      <c r="V566" s="10">
        <v>8</v>
      </c>
      <c r="W566" s="10">
        <v>1</v>
      </c>
      <c r="X566" s="10">
        <v>2</v>
      </c>
      <c r="Y566" s="11">
        <v>0.72727272727272729</v>
      </c>
      <c r="Z566" s="11">
        <v>9.0909090909090912E-2</v>
      </c>
      <c r="AA566" s="11">
        <v>0.18181818181818182</v>
      </c>
    </row>
    <row r="567" spans="21:27" x14ac:dyDescent="0.25">
      <c r="U567" s="37">
        <v>29688</v>
      </c>
      <c r="V567" s="10">
        <v>0</v>
      </c>
      <c r="W567" s="10">
        <v>1</v>
      </c>
      <c r="X567" s="10">
        <v>1</v>
      </c>
      <c r="Y567" s="11">
        <v>0</v>
      </c>
      <c r="Z567" s="11">
        <v>0.5</v>
      </c>
      <c r="AA567" s="11">
        <v>0.5</v>
      </c>
    </row>
    <row r="568" spans="21:27" x14ac:dyDescent="0.25">
      <c r="U568" s="37">
        <v>29695</v>
      </c>
      <c r="V568" s="10">
        <v>13</v>
      </c>
      <c r="W568" s="10">
        <v>0</v>
      </c>
      <c r="X568" s="10">
        <v>3</v>
      </c>
      <c r="Y568" s="11">
        <v>0.8125</v>
      </c>
      <c r="Z568" s="11">
        <v>0</v>
      </c>
      <c r="AA568" s="11">
        <v>0.1875</v>
      </c>
    </row>
    <row r="569" spans="21:27" x14ac:dyDescent="0.25">
      <c r="U569" s="37">
        <v>29702</v>
      </c>
      <c r="V569" s="10">
        <v>10</v>
      </c>
      <c r="W569" s="10">
        <v>8</v>
      </c>
      <c r="X569" s="10">
        <v>8</v>
      </c>
      <c r="Y569" s="11">
        <v>0.38461538461538464</v>
      </c>
      <c r="Z569" s="11">
        <v>0.30769230769230771</v>
      </c>
      <c r="AA569" s="11">
        <v>0.30769230769230771</v>
      </c>
    </row>
    <row r="570" spans="21:27" x14ac:dyDescent="0.25">
      <c r="U570" s="37">
        <v>29709</v>
      </c>
      <c r="V570" s="10">
        <v>11</v>
      </c>
      <c r="W570" s="10">
        <v>2</v>
      </c>
      <c r="X570" s="10">
        <v>6</v>
      </c>
      <c r="Y570" s="11">
        <v>0.57894736842105265</v>
      </c>
      <c r="Z570" s="11">
        <v>0.10526315789473684</v>
      </c>
      <c r="AA570" s="11">
        <v>0.31578947368421051</v>
      </c>
    </row>
    <row r="571" spans="21:27" x14ac:dyDescent="0.25">
      <c r="U571" s="37">
        <v>29716</v>
      </c>
      <c r="V571" s="10">
        <v>8</v>
      </c>
      <c r="W571" s="10">
        <v>5</v>
      </c>
      <c r="X571" s="10">
        <v>5</v>
      </c>
      <c r="Y571" s="11">
        <v>0.44444444444444442</v>
      </c>
      <c r="Z571" s="11">
        <v>0.27777777777777779</v>
      </c>
      <c r="AA571" s="11">
        <v>0.27777777777777779</v>
      </c>
    </row>
    <row r="572" spans="21:27" x14ac:dyDescent="0.25">
      <c r="U572" s="37">
        <v>29723</v>
      </c>
      <c r="V572" s="10">
        <v>10</v>
      </c>
      <c r="W572" s="10">
        <v>14</v>
      </c>
      <c r="X572" s="10">
        <v>15</v>
      </c>
      <c r="Y572" s="11">
        <v>0.25641025641025639</v>
      </c>
      <c r="Z572" s="11">
        <v>0.35897435897435898</v>
      </c>
      <c r="AA572" s="11">
        <v>0.38461538461538464</v>
      </c>
    </row>
    <row r="573" spans="21:27" x14ac:dyDescent="0.25">
      <c r="U573" s="37">
        <v>29730</v>
      </c>
      <c r="V573" s="10">
        <v>7</v>
      </c>
      <c r="W573" s="10">
        <v>2</v>
      </c>
      <c r="X573" s="10">
        <v>5</v>
      </c>
      <c r="Y573" s="11">
        <v>0.5</v>
      </c>
      <c r="Z573" s="11">
        <v>0.14285714285714285</v>
      </c>
      <c r="AA573" s="11">
        <v>0.35714285714285715</v>
      </c>
    </row>
    <row r="574" spans="21:27" x14ac:dyDescent="0.25">
      <c r="U574" s="37">
        <v>29737</v>
      </c>
      <c r="V574" s="10">
        <v>10</v>
      </c>
      <c r="W574" s="10">
        <v>13</v>
      </c>
      <c r="X574" s="10">
        <v>5</v>
      </c>
      <c r="Y574" s="11">
        <v>0.35714285714285715</v>
      </c>
      <c r="Z574" s="11">
        <v>0.4642857142857143</v>
      </c>
      <c r="AA574" s="11">
        <v>0.17857142857142858</v>
      </c>
    </row>
    <row r="575" spans="21:27" x14ac:dyDescent="0.25">
      <c r="U575" s="37">
        <v>29744</v>
      </c>
      <c r="V575" s="10">
        <v>6</v>
      </c>
      <c r="W575" s="10">
        <v>1</v>
      </c>
      <c r="X575" s="10">
        <v>7</v>
      </c>
      <c r="Y575" s="11">
        <v>0.42857142857142855</v>
      </c>
      <c r="Z575" s="11">
        <v>7.1428571428571425E-2</v>
      </c>
      <c r="AA575" s="11">
        <v>0.5</v>
      </c>
    </row>
    <row r="576" spans="21:27" x14ac:dyDescent="0.25">
      <c r="U576" s="37">
        <v>29751</v>
      </c>
      <c r="V576" s="10">
        <v>5</v>
      </c>
      <c r="W576" s="10">
        <v>8</v>
      </c>
      <c r="X576" s="10">
        <v>7</v>
      </c>
      <c r="Y576" s="11">
        <v>0.25</v>
      </c>
      <c r="Z576" s="11">
        <v>0.4</v>
      </c>
      <c r="AA576" s="11">
        <v>0.35</v>
      </c>
    </row>
    <row r="577" spans="21:27" x14ac:dyDescent="0.25">
      <c r="U577" s="37">
        <v>29758</v>
      </c>
      <c r="V577" s="10">
        <v>3</v>
      </c>
      <c r="W577" s="10">
        <v>4</v>
      </c>
      <c r="X577" s="10">
        <v>6</v>
      </c>
      <c r="Y577" s="11">
        <v>0.23076923076923078</v>
      </c>
      <c r="Z577" s="11">
        <v>0.30769230769230771</v>
      </c>
      <c r="AA577" s="11">
        <v>0.46153846153846156</v>
      </c>
    </row>
    <row r="578" spans="21:27" x14ac:dyDescent="0.25">
      <c r="U578" s="37">
        <v>29765</v>
      </c>
      <c r="V578" s="10">
        <v>15</v>
      </c>
      <c r="W578" s="10">
        <v>14</v>
      </c>
      <c r="X578" s="10">
        <v>13</v>
      </c>
      <c r="Y578" s="11">
        <v>0.35714285714285715</v>
      </c>
      <c r="Z578" s="11">
        <v>0.33333333333333331</v>
      </c>
      <c r="AA578" s="11">
        <v>0.30952380952380953</v>
      </c>
    </row>
    <row r="579" spans="21:27" x14ac:dyDescent="0.25">
      <c r="U579" s="37">
        <v>29772</v>
      </c>
      <c r="V579" s="10">
        <v>14</v>
      </c>
      <c r="W579" s="10">
        <v>13</v>
      </c>
      <c r="X579" s="10">
        <v>13</v>
      </c>
      <c r="Y579" s="11">
        <v>0.35</v>
      </c>
      <c r="Z579" s="11">
        <v>0.32500000000000001</v>
      </c>
      <c r="AA579" s="11">
        <v>0.32500000000000001</v>
      </c>
    </row>
    <row r="580" spans="21:27" x14ac:dyDescent="0.25">
      <c r="U580" s="37">
        <v>29779</v>
      </c>
      <c r="V580" s="10">
        <v>4</v>
      </c>
      <c r="W580" s="10">
        <v>7</v>
      </c>
      <c r="X580" s="10">
        <v>7</v>
      </c>
      <c r="Y580" s="11">
        <v>0.22222222222222221</v>
      </c>
      <c r="Z580" s="11">
        <v>0.3888888888888889</v>
      </c>
      <c r="AA580" s="11">
        <v>0.3888888888888889</v>
      </c>
    </row>
    <row r="581" spans="21:27" x14ac:dyDescent="0.25">
      <c r="U581" s="37">
        <v>29786</v>
      </c>
      <c r="V581" s="10">
        <v>16</v>
      </c>
      <c r="W581" s="10">
        <v>13</v>
      </c>
      <c r="X581" s="10">
        <v>30</v>
      </c>
      <c r="Y581" s="11">
        <v>0.2711864406779661</v>
      </c>
      <c r="Z581" s="11">
        <v>0.22033898305084745</v>
      </c>
      <c r="AA581" s="11">
        <v>0.50847457627118642</v>
      </c>
    </row>
    <row r="582" spans="21:27" x14ac:dyDescent="0.25">
      <c r="U582" s="37">
        <v>29793</v>
      </c>
      <c r="V582" s="10">
        <v>4</v>
      </c>
      <c r="W582" s="10">
        <v>4</v>
      </c>
      <c r="X582" s="10">
        <v>8</v>
      </c>
      <c r="Y582" s="11">
        <v>0.25</v>
      </c>
      <c r="Z582" s="11">
        <v>0.25</v>
      </c>
      <c r="AA582" s="11">
        <v>0.5</v>
      </c>
    </row>
    <row r="583" spans="21:27" x14ac:dyDescent="0.25">
      <c r="U583" s="37">
        <v>29800</v>
      </c>
      <c r="V583" s="10">
        <v>11</v>
      </c>
      <c r="W583" s="10">
        <v>3</v>
      </c>
      <c r="X583" s="10">
        <v>15</v>
      </c>
      <c r="Y583" s="11">
        <v>0.37931034482758619</v>
      </c>
      <c r="Z583" s="11">
        <v>0.10344827586206896</v>
      </c>
      <c r="AA583" s="11">
        <v>0.51724137931034486</v>
      </c>
    </row>
    <row r="584" spans="21:27" x14ac:dyDescent="0.25">
      <c r="U584" s="37">
        <v>29807</v>
      </c>
      <c r="V584" s="10">
        <v>20</v>
      </c>
      <c r="W584" s="10">
        <v>8</v>
      </c>
      <c r="X584" s="10">
        <v>25</v>
      </c>
      <c r="Y584" s="11">
        <v>0.37735849056603776</v>
      </c>
      <c r="Z584" s="11">
        <v>0.15094339622641509</v>
      </c>
      <c r="AA584" s="11">
        <v>0.47169811320754718</v>
      </c>
    </row>
    <row r="585" spans="21:27" x14ac:dyDescent="0.25">
      <c r="U585" s="37">
        <v>29813</v>
      </c>
      <c r="V585" s="10">
        <v>6</v>
      </c>
      <c r="W585" s="10">
        <v>2</v>
      </c>
      <c r="X585" s="10">
        <v>4</v>
      </c>
      <c r="Y585" s="11">
        <v>0.5</v>
      </c>
      <c r="Z585" s="11">
        <v>0.16666666666666666</v>
      </c>
      <c r="AA585" s="11">
        <v>0.33333333333333331</v>
      </c>
    </row>
    <row r="586" spans="21:27" x14ac:dyDescent="0.25">
      <c r="U586" s="37">
        <v>29814</v>
      </c>
      <c r="V586" s="10">
        <v>7</v>
      </c>
      <c r="W586" s="10">
        <v>1</v>
      </c>
      <c r="X586" s="10">
        <v>1</v>
      </c>
      <c r="Y586" s="11">
        <v>0.77777777777777779</v>
      </c>
      <c r="Z586" s="11">
        <v>0.1111111111111111</v>
      </c>
      <c r="AA586" s="11">
        <v>0.1111111111111111</v>
      </c>
    </row>
    <row r="587" spans="21:27" x14ac:dyDescent="0.25">
      <c r="U587" s="37">
        <v>29821</v>
      </c>
      <c r="V587" s="10">
        <v>13</v>
      </c>
      <c r="W587" s="10">
        <v>7</v>
      </c>
      <c r="X587" s="10">
        <v>15</v>
      </c>
      <c r="Y587" s="11">
        <v>0.37142857142857144</v>
      </c>
      <c r="Z587" s="11">
        <v>0.2</v>
      </c>
      <c r="AA587" s="11">
        <v>0.42857142857142855</v>
      </c>
    </row>
    <row r="588" spans="21:27" x14ac:dyDescent="0.25">
      <c r="U588" s="37">
        <v>29828</v>
      </c>
      <c r="V588" s="10">
        <v>14</v>
      </c>
      <c r="W588" s="10">
        <v>5</v>
      </c>
      <c r="X588" s="10">
        <v>12</v>
      </c>
      <c r="Y588" s="11">
        <v>0.45161290322580644</v>
      </c>
      <c r="Z588" s="11">
        <v>0.16129032258064516</v>
      </c>
      <c r="AA588" s="11">
        <v>0.38709677419354838</v>
      </c>
    </row>
    <row r="589" spans="21:27" x14ac:dyDescent="0.25">
      <c r="U589" s="37">
        <v>29835</v>
      </c>
      <c r="V589" s="10">
        <v>7</v>
      </c>
      <c r="W589" s="10">
        <v>3</v>
      </c>
      <c r="X589" s="10">
        <v>14</v>
      </c>
      <c r="Y589" s="11">
        <v>0.29166666666666669</v>
      </c>
      <c r="Z589" s="11">
        <v>0.125</v>
      </c>
      <c r="AA589" s="11">
        <v>0.58333333333333337</v>
      </c>
    </row>
    <row r="590" spans="21:27" x14ac:dyDescent="0.25">
      <c r="U590" s="37">
        <v>29842</v>
      </c>
      <c r="V590" s="10">
        <v>4</v>
      </c>
      <c r="W590" s="10">
        <v>4</v>
      </c>
      <c r="X590" s="10">
        <v>7</v>
      </c>
      <c r="Y590" s="11">
        <v>0.26666666666666666</v>
      </c>
      <c r="Z590" s="11">
        <v>0.26666666666666666</v>
      </c>
      <c r="AA590" s="11">
        <v>0.46666666666666667</v>
      </c>
    </row>
    <row r="591" spans="21:27" x14ac:dyDescent="0.25">
      <c r="U591" s="37">
        <v>29849</v>
      </c>
      <c r="V591" s="10">
        <v>2</v>
      </c>
      <c r="W591" s="10">
        <v>1</v>
      </c>
      <c r="X591" s="10">
        <v>6</v>
      </c>
      <c r="Y591" s="11">
        <v>0.22222222222222221</v>
      </c>
      <c r="Z591" s="11">
        <v>0.1111111111111111</v>
      </c>
      <c r="AA591" s="11">
        <v>0.66666666666666663</v>
      </c>
    </row>
    <row r="592" spans="21:27" x14ac:dyDescent="0.25">
      <c r="U592" s="37">
        <v>29856</v>
      </c>
      <c r="V592" s="10">
        <v>13</v>
      </c>
      <c r="W592" s="10">
        <v>4</v>
      </c>
      <c r="X592" s="10">
        <v>15</v>
      </c>
      <c r="Y592" s="11">
        <v>0.40625</v>
      </c>
      <c r="Z592" s="11">
        <v>0.125</v>
      </c>
      <c r="AA592" s="11">
        <v>0.46875</v>
      </c>
    </row>
    <row r="593" spans="21:27" x14ac:dyDescent="0.25">
      <c r="U593" s="37">
        <v>29863</v>
      </c>
      <c r="V593" s="10">
        <v>1</v>
      </c>
      <c r="W593" s="10">
        <v>2</v>
      </c>
      <c r="X593" s="10">
        <v>7</v>
      </c>
      <c r="Y593" s="11">
        <v>0.1</v>
      </c>
      <c r="Z593" s="11">
        <v>0.2</v>
      </c>
      <c r="AA593" s="11">
        <v>0.7</v>
      </c>
    </row>
    <row r="594" spans="21:27" x14ac:dyDescent="0.25">
      <c r="U594" s="37">
        <v>29870</v>
      </c>
      <c r="V594" s="10">
        <v>13</v>
      </c>
      <c r="W594" s="10">
        <v>28</v>
      </c>
      <c r="X594" s="10">
        <v>27</v>
      </c>
      <c r="Y594" s="11">
        <v>0.19117647058823528</v>
      </c>
      <c r="Z594" s="11">
        <v>0.41176470588235292</v>
      </c>
      <c r="AA594" s="11">
        <v>0.39705882352941174</v>
      </c>
    </row>
    <row r="595" spans="21:27" x14ac:dyDescent="0.25">
      <c r="U595" s="37">
        <v>29877</v>
      </c>
      <c r="V595" s="10">
        <v>12</v>
      </c>
      <c r="W595" s="10">
        <v>3</v>
      </c>
      <c r="X595" s="10">
        <v>1</v>
      </c>
      <c r="Y595" s="11">
        <v>0.75</v>
      </c>
      <c r="Z595" s="11">
        <v>0.1875</v>
      </c>
      <c r="AA595" s="11">
        <v>6.25E-2</v>
      </c>
    </row>
    <row r="596" spans="21:27" x14ac:dyDescent="0.25">
      <c r="U596" s="37">
        <v>29884</v>
      </c>
      <c r="V596" s="10">
        <v>12</v>
      </c>
      <c r="W596" s="10">
        <v>10</v>
      </c>
      <c r="X596" s="10">
        <v>14</v>
      </c>
      <c r="Y596" s="11">
        <v>0.33333333333333331</v>
      </c>
      <c r="Z596" s="11">
        <v>0.27777777777777779</v>
      </c>
      <c r="AA596" s="11">
        <v>0.3888888888888889</v>
      </c>
    </row>
    <row r="597" spans="21:27" x14ac:dyDescent="0.25">
      <c r="U597" s="37">
        <v>29891</v>
      </c>
      <c r="V597" s="10">
        <v>2</v>
      </c>
      <c r="W597" s="10">
        <v>0</v>
      </c>
      <c r="X597" s="10">
        <v>5</v>
      </c>
      <c r="Y597" s="11">
        <v>0.2857142857142857</v>
      </c>
      <c r="Z597" s="11">
        <v>0</v>
      </c>
      <c r="AA597" s="11">
        <v>0.7142857142857143</v>
      </c>
    </row>
    <row r="598" spans="21:27" x14ac:dyDescent="0.25">
      <c r="U598" s="37">
        <v>29898</v>
      </c>
      <c r="V598" s="10">
        <v>6</v>
      </c>
      <c r="W598" s="10">
        <v>2</v>
      </c>
      <c r="X598" s="10">
        <v>5</v>
      </c>
      <c r="Y598" s="11">
        <v>0.46153846153846156</v>
      </c>
      <c r="Z598" s="11">
        <v>0.15384615384615385</v>
      </c>
      <c r="AA598" s="11">
        <v>0.38461538461538464</v>
      </c>
    </row>
    <row r="599" spans="21:27" x14ac:dyDescent="0.25">
      <c r="U599" s="37">
        <v>29905</v>
      </c>
      <c r="V599" s="10">
        <v>10</v>
      </c>
      <c r="W599" s="10">
        <v>4</v>
      </c>
      <c r="X599" s="10">
        <v>6</v>
      </c>
      <c r="Y599" s="11">
        <v>0.5</v>
      </c>
      <c r="Z599" s="11">
        <v>0.2</v>
      </c>
      <c r="AA599" s="11">
        <v>0.3</v>
      </c>
    </row>
    <row r="600" spans="21:27" x14ac:dyDescent="0.25">
      <c r="U600" s="37">
        <v>29912</v>
      </c>
      <c r="V600" s="10">
        <v>7</v>
      </c>
      <c r="W600" s="10">
        <v>4</v>
      </c>
      <c r="X600" s="10">
        <v>7</v>
      </c>
      <c r="Y600" s="11">
        <v>0.3888888888888889</v>
      </c>
      <c r="Z600" s="11">
        <v>0.22222222222222221</v>
      </c>
      <c r="AA600" s="11">
        <v>0.3888888888888889</v>
      </c>
    </row>
    <row r="601" spans="21:27" x14ac:dyDescent="0.25">
      <c r="U601" s="37">
        <v>29919</v>
      </c>
      <c r="V601" s="10">
        <v>7</v>
      </c>
      <c r="W601" s="10">
        <v>3</v>
      </c>
      <c r="X601" s="10">
        <v>12</v>
      </c>
      <c r="Y601" s="11">
        <v>0.31818181818181818</v>
      </c>
      <c r="Z601" s="11">
        <v>0.13636363636363635</v>
      </c>
      <c r="AA601" s="11">
        <v>0.54545454545454541</v>
      </c>
    </row>
    <row r="602" spans="21:27" x14ac:dyDescent="0.25">
      <c r="U602" s="37">
        <v>29926</v>
      </c>
      <c r="V602" s="10">
        <v>10</v>
      </c>
      <c r="W602" s="10">
        <v>5</v>
      </c>
      <c r="X602" s="10">
        <v>3</v>
      </c>
      <c r="Y602" s="11">
        <v>0.55555555555555558</v>
      </c>
      <c r="Z602" s="11">
        <v>0.27777777777777779</v>
      </c>
      <c r="AA602" s="11">
        <v>0.16666666666666666</v>
      </c>
    </row>
    <row r="603" spans="21:27" x14ac:dyDescent="0.25">
      <c r="U603" s="37">
        <v>29933</v>
      </c>
      <c r="V603" s="10">
        <v>4</v>
      </c>
      <c r="W603" s="10">
        <v>4</v>
      </c>
      <c r="X603" s="10">
        <v>11</v>
      </c>
      <c r="Y603" s="11">
        <v>0.21052631578947367</v>
      </c>
      <c r="Z603" s="11">
        <v>0.21052631578947367</v>
      </c>
      <c r="AA603" s="11">
        <v>0.57894736842105265</v>
      </c>
    </row>
    <row r="604" spans="21:27" x14ac:dyDescent="0.25">
      <c r="U604" s="37">
        <v>29940</v>
      </c>
      <c r="V604" s="10">
        <v>2</v>
      </c>
      <c r="W604" s="10">
        <v>2</v>
      </c>
      <c r="X604" s="10">
        <v>13</v>
      </c>
      <c r="Y604" s="11">
        <v>0.11764705882352941</v>
      </c>
      <c r="Z604" s="11">
        <v>0.11764705882352941</v>
      </c>
      <c r="AA604" s="11">
        <v>0.76470588235294112</v>
      </c>
    </row>
    <row r="605" spans="21:27" x14ac:dyDescent="0.25">
      <c r="U605" s="37">
        <v>29944</v>
      </c>
      <c r="V605" s="10">
        <v>0</v>
      </c>
      <c r="W605" s="10">
        <v>2</v>
      </c>
      <c r="X605" s="10">
        <v>7</v>
      </c>
      <c r="Y605" s="11">
        <v>0</v>
      </c>
      <c r="Z605" s="11">
        <v>0.22222222222222221</v>
      </c>
      <c r="AA605" s="11">
        <v>0.77777777777777779</v>
      </c>
    </row>
    <row r="606" spans="21:27" x14ac:dyDescent="0.25">
      <c r="U606" s="37">
        <v>29945</v>
      </c>
      <c r="V606" s="10">
        <v>2</v>
      </c>
      <c r="W606" s="10">
        <v>2</v>
      </c>
      <c r="X606" s="10">
        <v>3</v>
      </c>
      <c r="Y606" s="11">
        <v>0.2857142857142857</v>
      </c>
      <c r="Z606" s="11">
        <v>0.2857142857142857</v>
      </c>
      <c r="AA606" s="11">
        <v>0.42857142857142855</v>
      </c>
    </row>
    <row r="607" spans="21:27" x14ac:dyDescent="0.25">
      <c r="U607" s="37">
        <v>29947</v>
      </c>
      <c r="V607" s="10">
        <v>4</v>
      </c>
      <c r="W607" s="10">
        <v>2</v>
      </c>
      <c r="X607" s="10">
        <v>1</v>
      </c>
      <c r="Y607" s="11">
        <v>0.5714285714285714</v>
      </c>
      <c r="Z607" s="11">
        <v>0.2857142857142857</v>
      </c>
      <c r="AA607" s="11">
        <v>0.14285714285714285</v>
      </c>
    </row>
    <row r="608" spans="21:27" x14ac:dyDescent="0.25">
      <c r="U608" s="37">
        <v>29954</v>
      </c>
      <c r="V608" s="10">
        <v>6</v>
      </c>
      <c r="W608" s="10">
        <v>4</v>
      </c>
      <c r="X608" s="10">
        <v>17</v>
      </c>
      <c r="Y608" s="11">
        <v>0.22222222222222221</v>
      </c>
      <c r="Z608" s="11">
        <v>0.14814814814814814</v>
      </c>
      <c r="AA608" s="11">
        <v>0.62962962962962965</v>
      </c>
    </row>
    <row r="609" spans="21:27" x14ac:dyDescent="0.25">
      <c r="U609" s="37">
        <v>29961</v>
      </c>
      <c r="V609" s="10">
        <v>4</v>
      </c>
      <c r="W609" s="10">
        <v>2</v>
      </c>
      <c r="X609" s="10">
        <v>8</v>
      </c>
      <c r="Y609" s="11">
        <v>0.2857142857142857</v>
      </c>
      <c r="Z609" s="11">
        <v>0.14285714285714285</v>
      </c>
      <c r="AA609" s="11">
        <v>0.5714285714285714</v>
      </c>
    </row>
    <row r="610" spans="21:27" x14ac:dyDescent="0.25">
      <c r="U610" s="37">
        <v>29968</v>
      </c>
      <c r="V610" s="10">
        <v>20</v>
      </c>
      <c r="W610" s="10">
        <v>1</v>
      </c>
      <c r="X610" s="10">
        <v>9</v>
      </c>
      <c r="Y610" s="11">
        <v>0.66666666666666663</v>
      </c>
      <c r="Z610" s="11">
        <v>3.3333333333333333E-2</v>
      </c>
      <c r="AA610" s="11">
        <v>0.3</v>
      </c>
    </row>
    <row r="611" spans="21:27" x14ac:dyDescent="0.25">
      <c r="U611" s="37">
        <v>29975</v>
      </c>
      <c r="V611" s="10">
        <v>12</v>
      </c>
      <c r="W611" s="10">
        <v>5</v>
      </c>
      <c r="X611" s="10">
        <v>14</v>
      </c>
      <c r="Y611" s="11">
        <v>0.38709677419354838</v>
      </c>
      <c r="Z611" s="11">
        <v>0.16129032258064516</v>
      </c>
      <c r="AA611" s="11">
        <v>0.45161290322580644</v>
      </c>
    </row>
    <row r="612" spans="21:27" x14ac:dyDescent="0.25">
      <c r="U612" s="37">
        <v>29982</v>
      </c>
      <c r="V612" s="10">
        <v>13</v>
      </c>
      <c r="W612" s="10">
        <v>6</v>
      </c>
      <c r="X612" s="10">
        <v>5</v>
      </c>
      <c r="Y612" s="11">
        <v>0.54166666666666663</v>
      </c>
      <c r="Z612" s="11">
        <v>0.25</v>
      </c>
      <c r="AA612" s="11">
        <v>0.20833333333333334</v>
      </c>
    </row>
    <row r="613" spans="21:27" x14ac:dyDescent="0.25">
      <c r="U613" s="37">
        <v>29989</v>
      </c>
      <c r="V613" s="10">
        <v>2</v>
      </c>
      <c r="W613" s="10">
        <v>0</v>
      </c>
      <c r="X613" s="10">
        <v>3</v>
      </c>
      <c r="Y613" s="11">
        <v>0.4</v>
      </c>
      <c r="Z613" s="11">
        <v>0</v>
      </c>
      <c r="AA613" s="11">
        <v>0.6</v>
      </c>
    </row>
    <row r="614" spans="21:27" x14ac:dyDescent="0.25">
      <c r="U614" s="37">
        <v>29996</v>
      </c>
      <c r="V614" s="10">
        <v>1</v>
      </c>
      <c r="W614" s="10">
        <v>0</v>
      </c>
      <c r="X614" s="10">
        <v>2</v>
      </c>
      <c r="Y614" s="11">
        <v>0.33333333333333331</v>
      </c>
      <c r="Z614" s="11">
        <v>0</v>
      </c>
      <c r="AA614" s="11">
        <v>0.66666666666666663</v>
      </c>
    </row>
    <row r="615" spans="21:27" x14ac:dyDescent="0.25">
      <c r="U615" s="37">
        <v>30003</v>
      </c>
      <c r="V615" s="10">
        <v>8</v>
      </c>
      <c r="W615" s="10">
        <v>1</v>
      </c>
      <c r="X615" s="10">
        <v>2</v>
      </c>
      <c r="Y615" s="11">
        <v>0.72727272727272729</v>
      </c>
      <c r="Z615" s="11">
        <v>9.0909090909090912E-2</v>
      </c>
      <c r="AA615" s="11">
        <v>0.18181818181818182</v>
      </c>
    </row>
    <row r="616" spans="21:27" x14ac:dyDescent="0.25">
      <c r="U616" s="37">
        <v>30010</v>
      </c>
      <c r="V616" s="10">
        <v>16</v>
      </c>
      <c r="W616" s="10">
        <v>3</v>
      </c>
      <c r="X616" s="10">
        <v>9</v>
      </c>
      <c r="Y616" s="11">
        <v>0.5714285714285714</v>
      </c>
      <c r="Z616" s="11">
        <v>0.10714285714285714</v>
      </c>
      <c r="AA616" s="11">
        <v>0.32142857142857145</v>
      </c>
    </row>
    <row r="617" spans="21:27" x14ac:dyDescent="0.25">
      <c r="U617" s="37">
        <v>30017</v>
      </c>
      <c r="V617" s="10">
        <v>17</v>
      </c>
      <c r="W617" s="10">
        <v>9</v>
      </c>
      <c r="X617" s="10">
        <v>11</v>
      </c>
      <c r="Y617" s="11">
        <v>0.45945945945945948</v>
      </c>
      <c r="Z617" s="11">
        <v>0.24324324324324326</v>
      </c>
      <c r="AA617" s="11">
        <v>0.29729729729729731</v>
      </c>
    </row>
    <row r="618" spans="21:27" x14ac:dyDescent="0.25">
      <c r="U618" s="37">
        <v>30024</v>
      </c>
      <c r="V618" s="10">
        <v>5</v>
      </c>
      <c r="W618" s="10">
        <v>10</v>
      </c>
      <c r="X618" s="10">
        <v>23</v>
      </c>
      <c r="Y618" s="11">
        <v>0.13157894736842105</v>
      </c>
      <c r="Z618" s="11">
        <v>0.26315789473684209</v>
      </c>
      <c r="AA618" s="11">
        <v>0.60526315789473684</v>
      </c>
    </row>
    <row r="619" spans="21:27" x14ac:dyDescent="0.25">
      <c r="U619" s="37">
        <v>30031</v>
      </c>
      <c r="V619" s="10">
        <v>13</v>
      </c>
      <c r="W619" s="10">
        <v>6</v>
      </c>
      <c r="X619" s="10">
        <v>7</v>
      </c>
      <c r="Y619" s="11">
        <v>0.5</v>
      </c>
      <c r="Z619" s="11">
        <v>0.23076923076923078</v>
      </c>
      <c r="AA619" s="11">
        <v>0.26923076923076922</v>
      </c>
    </row>
    <row r="620" spans="21:27" x14ac:dyDescent="0.25">
      <c r="U620" s="37">
        <v>30038</v>
      </c>
      <c r="V620" s="10">
        <v>15</v>
      </c>
      <c r="W620" s="10">
        <v>13</v>
      </c>
      <c r="X620" s="10">
        <v>33</v>
      </c>
      <c r="Y620" s="11">
        <v>0.24590163934426229</v>
      </c>
      <c r="Z620" s="11">
        <v>0.21311475409836064</v>
      </c>
      <c r="AA620" s="11">
        <v>0.54098360655737709</v>
      </c>
    </row>
    <row r="621" spans="21:27" x14ac:dyDescent="0.25">
      <c r="U621" s="37">
        <v>30045</v>
      </c>
      <c r="V621" s="10">
        <v>14</v>
      </c>
      <c r="W621" s="10">
        <v>3</v>
      </c>
      <c r="X621" s="10">
        <v>6</v>
      </c>
      <c r="Y621" s="11">
        <v>0.60869565217391308</v>
      </c>
      <c r="Z621" s="11">
        <v>0.13043478260869565</v>
      </c>
      <c r="AA621" s="11">
        <v>0.2608695652173913</v>
      </c>
    </row>
    <row r="622" spans="21:27" x14ac:dyDescent="0.25">
      <c r="U622" s="37">
        <v>30052</v>
      </c>
      <c r="V622" s="10">
        <v>17</v>
      </c>
      <c r="W622" s="10">
        <v>10</v>
      </c>
      <c r="X622" s="10">
        <v>14</v>
      </c>
      <c r="Y622" s="11">
        <v>0.41463414634146339</v>
      </c>
      <c r="Z622" s="11">
        <v>0.24390243902439024</v>
      </c>
      <c r="AA622" s="11">
        <v>0.34146341463414637</v>
      </c>
    </row>
    <row r="623" spans="21:27" x14ac:dyDescent="0.25">
      <c r="U623" s="37">
        <v>30059</v>
      </c>
      <c r="V623" s="10">
        <v>11</v>
      </c>
      <c r="W623" s="10">
        <v>7</v>
      </c>
      <c r="X623" s="10">
        <v>16</v>
      </c>
      <c r="Y623" s="11">
        <v>0.3235294117647059</v>
      </c>
      <c r="Z623" s="11">
        <v>0.20588235294117646</v>
      </c>
      <c r="AA623" s="11">
        <v>0.47058823529411764</v>
      </c>
    </row>
    <row r="624" spans="21:27" x14ac:dyDescent="0.25">
      <c r="U624" s="37">
        <v>30066</v>
      </c>
      <c r="V624" s="10">
        <v>5</v>
      </c>
      <c r="W624" s="10">
        <v>6</v>
      </c>
      <c r="X624" s="10">
        <v>15</v>
      </c>
      <c r="Y624" s="11">
        <v>0.19230769230769232</v>
      </c>
      <c r="Z624" s="11">
        <v>0.23076923076923078</v>
      </c>
      <c r="AA624" s="11">
        <v>0.57692307692307687</v>
      </c>
    </row>
    <row r="625" spans="21:27" x14ac:dyDescent="0.25">
      <c r="U625" s="37">
        <v>30073</v>
      </c>
      <c r="V625" s="10">
        <v>14</v>
      </c>
      <c r="W625" s="10">
        <v>3</v>
      </c>
      <c r="X625" s="10">
        <v>9</v>
      </c>
      <c r="Y625" s="11">
        <v>0.53846153846153844</v>
      </c>
      <c r="Z625" s="11">
        <v>0.11538461538461539</v>
      </c>
      <c r="AA625" s="11">
        <v>0.34615384615384615</v>
      </c>
    </row>
    <row r="626" spans="21:27" x14ac:dyDescent="0.25">
      <c r="U626" s="37">
        <v>30080</v>
      </c>
      <c r="V626" s="10">
        <v>1</v>
      </c>
      <c r="W626" s="10">
        <v>4</v>
      </c>
      <c r="X626" s="10">
        <v>5</v>
      </c>
      <c r="Y626" s="11">
        <v>0.1</v>
      </c>
      <c r="Z626" s="11">
        <v>0.4</v>
      </c>
      <c r="AA626" s="11">
        <v>0.5</v>
      </c>
    </row>
    <row r="627" spans="21:27" x14ac:dyDescent="0.25">
      <c r="U627" s="37">
        <v>30087</v>
      </c>
      <c r="V627" s="10">
        <v>11</v>
      </c>
      <c r="W627" s="10">
        <v>14</v>
      </c>
      <c r="X627" s="10">
        <v>8</v>
      </c>
      <c r="Y627" s="11">
        <v>0.33333333333333331</v>
      </c>
      <c r="Z627" s="11">
        <v>0.42424242424242425</v>
      </c>
      <c r="AA627" s="11">
        <v>0.24242424242424243</v>
      </c>
    </row>
    <row r="628" spans="21:27" x14ac:dyDescent="0.25">
      <c r="U628" s="37">
        <v>30094</v>
      </c>
      <c r="V628" s="10">
        <v>9</v>
      </c>
      <c r="W628" s="10">
        <v>5</v>
      </c>
      <c r="X628" s="10">
        <v>5</v>
      </c>
      <c r="Y628" s="11">
        <v>0.47368421052631576</v>
      </c>
      <c r="Z628" s="11">
        <v>0.26315789473684209</v>
      </c>
      <c r="AA628" s="11">
        <v>0.26315789473684209</v>
      </c>
    </row>
    <row r="629" spans="21:27" x14ac:dyDescent="0.25">
      <c r="U629" s="37">
        <v>30101</v>
      </c>
      <c r="V629" s="10">
        <v>7</v>
      </c>
      <c r="W629" s="10">
        <v>5</v>
      </c>
      <c r="X629" s="10">
        <v>13</v>
      </c>
      <c r="Y629" s="11">
        <v>0.28000000000000003</v>
      </c>
      <c r="Z629" s="11">
        <v>0.2</v>
      </c>
      <c r="AA629" s="11">
        <v>0.52</v>
      </c>
    </row>
    <row r="630" spans="21:27" x14ac:dyDescent="0.25">
      <c r="U630" s="37">
        <v>30108</v>
      </c>
      <c r="V630" s="10">
        <v>12</v>
      </c>
      <c r="W630" s="10">
        <v>7</v>
      </c>
      <c r="X630" s="10">
        <v>13</v>
      </c>
      <c r="Y630" s="11">
        <v>0.375</v>
      </c>
      <c r="Z630" s="11">
        <v>0.21875</v>
      </c>
      <c r="AA630" s="11">
        <v>0.40625</v>
      </c>
    </row>
    <row r="631" spans="21:27" x14ac:dyDescent="0.25">
      <c r="U631" s="37">
        <v>30115</v>
      </c>
      <c r="V631" s="10">
        <v>17</v>
      </c>
      <c r="W631" s="10">
        <v>13</v>
      </c>
      <c r="X631" s="10">
        <v>13</v>
      </c>
      <c r="Y631" s="11">
        <v>0.39534883720930231</v>
      </c>
      <c r="Z631" s="11">
        <v>0.30232558139534882</v>
      </c>
      <c r="AA631" s="11">
        <v>0.30232558139534882</v>
      </c>
    </row>
    <row r="632" spans="21:27" x14ac:dyDescent="0.25">
      <c r="U632" s="37">
        <v>30122</v>
      </c>
      <c r="V632" s="10">
        <v>9</v>
      </c>
      <c r="W632" s="10">
        <v>4</v>
      </c>
      <c r="X632" s="10">
        <v>4</v>
      </c>
      <c r="Y632" s="11">
        <v>0.52941176470588236</v>
      </c>
      <c r="Z632" s="11">
        <v>0.23529411764705882</v>
      </c>
      <c r="AA632" s="11">
        <v>0.23529411764705882</v>
      </c>
    </row>
    <row r="633" spans="21:27" x14ac:dyDescent="0.25">
      <c r="U633" s="37">
        <v>30129</v>
      </c>
      <c r="V633" s="10">
        <v>8</v>
      </c>
      <c r="W633" s="10">
        <v>4</v>
      </c>
      <c r="X633" s="10">
        <v>9</v>
      </c>
      <c r="Y633" s="11">
        <v>0.38095238095238093</v>
      </c>
      <c r="Z633" s="11">
        <v>0.19047619047619047</v>
      </c>
      <c r="AA633" s="11">
        <v>0.42857142857142855</v>
      </c>
    </row>
    <row r="634" spans="21:27" x14ac:dyDescent="0.25">
      <c r="U634" s="37">
        <v>30136</v>
      </c>
      <c r="V634" s="10">
        <v>2</v>
      </c>
      <c r="W634" s="10">
        <v>3</v>
      </c>
      <c r="X634" s="10">
        <v>4</v>
      </c>
      <c r="Y634" s="11">
        <v>0.22222222222222221</v>
      </c>
      <c r="Z634" s="11">
        <v>0.33333333333333331</v>
      </c>
      <c r="AA634" s="11">
        <v>0.44444444444444442</v>
      </c>
    </row>
    <row r="635" spans="21:27" x14ac:dyDescent="0.25">
      <c r="U635" s="37">
        <v>30143</v>
      </c>
      <c r="V635" s="10">
        <v>9</v>
      </c>
      <c r="W635" s="10">
        <v>5</v>
      </c>
      <c r="X635" s="10">
        <v>12</v>
      </c>
      <c r="Y635" s="11">
        <v>0.34615384615384615</v>
      </c>
      <c r="Z635" s="11">
        <v>0.19230769230769232</v>
      </c>
      <c r="AA635" s="11">
        <v>0.46153846153846156</v>
      </c>
    </row>
    <row r="636" spans="21:27" x14ac:dyDescent="0.25">
      <c r="U636" s="37">
        <v>30150</v>
      </c>
      <c r="V636" s="10">
        <v>7</v>
      </c>
      <c r="W636" s="10">
        <v>3</v>
      </c>
      <c r="X636" s="10">
        <v>4</v>
      </c>
      <c r="Y636" s="11">
        <v>0.5</v>
      </c>
      <c r="Z636" s="11">
        <v>0.21428571428571427</v>
      </c>
      <c r="AA636" s="11">
        <v>0.2857142857142857</v>
      </c>
    </row>
    <row r="637" spans="21:27" x14ac:dyDescent="0.25">
      <c r="U637" s="37">
        <v>30157</v>
      </c>
      <c r="V637" s="10">
        <v>3</v>
      </c>
      <c r="W637" s="10">
        <v>4</v>
      </c>
      <c r="X637" s="10">
        <v>18</v>
      </c>
      <c r="Y637" s="11">
        <v>0.12</v>
      </c>
      <c r="Z637" s="11">
        <v>0.16</v>
      </c>
      <c r="AA637" s="11">
        <v>0.72</v>
      </c>
    </row>
    <row r="638" spans="21:27" x14ac:dyDescent="0.25">
      <c r="U638" s="37">
        <v>30164</v>
      </c>
      <c r="V638" s="10">
        <v>19</v>
      </c>
      <c r="W638" s="10">
        <v>8</v>
      </c>
      <c r="X638" s="10">
        <v>5</v>
      </c>
      <c r="Y638" s="11">
        <v>0.59375</v>
      </c>
      <c r="Z638" s="11">
        <v>0.25</v>
      </c>
      <c r="AA638" s="11">
        <v>0.15625</v>
      </c>
    </row>
    <row r="639" spans="21:27" x14ac:dyDescent="0.25">
      <c r="U639" s="37">
        <v>30171</v>
      </c>
      <c r="V639" s="10">
        <v>9</v>
      </c>
      <c r="W639" s="10">
        <v>3</v>
      </c>
      <c r="X639" s="10">
        <v>9</v>
      </c>
      <c r="Y639" s="11">
        <v>0.42857142857142855</v>
      </c>
      <c r="Z639" s="11">
        <v>0.14285714285714285</v>
      </c>
      <c r="AA639" s="11">
        <v>0.42857142857142855</v>
      </c>
    </row>
    <row r="640" spans="21:27" x14ac:dyDescent="0.25">
      <c r="U640" s="37">
        <v>30178</v>
      </c>
      <c r="V640" s="10">
        <v>4</v>
      </c>
      <c r="W640" s="10">
        <v>2</v>
      </c>
      <c r="X640" s="10">
        <v>6</v>
      </c>
      <c r="Y640" s="11">
        <v>0.33333333333333331</v>
      </c>
      <c r="Z640" s="11">
        <v>0.16666666666666666</v>
      </c>
      <c r="AA640" s="11">
        <v>0.5</v>
      </c>
    </row>
    <row r="641" spans="21:27" x14ac:dyDescent="0.25">
      <c r="U641" s="37">
        <v>30185</v>
      </c>
      <c r="V641" s="10">
        <v>5</v>
      </c>
      <c r="W641" s="10">
        <v>1</v>
      </c>
      <c r="X641" s="10">
        <v>2</v>
      </c>
      <c r="Y641" s="11">
        <v>0.625</v>
      </c>
      <c r="Z641" s="11">
        <v>0.125</v>
      </c>
      <c r="AA641" s="11">
        <v>0.25</v>
      </c>
    </row>
    <row r="642" spans="21:27" x14ac:dyDescent="0.25">
      <c r="U642" s="37">
        <v>30192</v>
      </c>
      <c r="V642" s="10">
        <v>4</v>
      </c>
      <c r="W642" s="10">
        <v>3</v>
      </c>
      <c r="X642" s="10">
        <v>5</v>
      </c>
      <c r="Y642" s="11">
        <v>0.33333333333333331</v>
      </c>
      <c r="Z642" s="11">
        <v>0.25</v>
      </c>
      <c r="AA642" s="11">
        <v>0.41666666666666669</v>
      </c>
    </row>
    <row r="643" spans="21:27" x14ac:dyDescent="0.25">
      <c r="U643" s="37">
        <v>30199</v>
      </c>
      <c r="V643" s="10">
        <v>6</v>
      </c>
      <c r="W643" s="10">
        <v>0</v>
      </c>
      <c r="X643" s="10">
        <v>1</v>
      </c>
      <c r="Y643" s="11">
        <v>0.8571428571428571</v>
      </c>
      <c r="Z643" s="11">
        <v>0</v>
      </c>
      <c r="AA643" s="11">
        <v>0.14285714285714285</v>
      </c>
    </row>
    <row r="644" spans="21:27" x14ac:dyDescent="0.25">
      <c r="U644" s="37">
        <v>30206</v>
      </c>
      <c r="V644" s="10">
        <v>10</v>
      </c>
      <c r="W644" s="10">
        <v>9</v>
      </c>
      <c r="X644" s="10">
        <v>11</v>
      </c>
      <c r="Y644" s="11">
        <v>0.33333333333333331</v>
      </c>
      <c r="Z644" s="11">
        <v>0.3</v>
      </c>
      <c r="AA644" s="11">
        <v>0.36666666666666664</v>
      </c>
    </row>
    <row r="645" spans="21:27" x14ac:dyDescent="0.25">
      <c r="U645" s="37">
        <v>30213</v>
      </c>
      <c r="V645" s="10">
        <v>8</v>
      </c>
      <c r="W645" s="10">
        <v>5</v>
      </c>
      <c r="X645" s="10">
        <v>8</v>
      </c>
      <c r="Y645" s="11">
        <v>0.38095238095238093</v>
      </c>
      <c r="Z645" s="11">
        <v>0.23809523809523808</v>
      </c>
      <c r="AA645" s="11">
        <v>0.38095238095238093</v>
      </c>
    </row>
    <row r="646" spans="21:27" x14ac:dyDescent="0.25">
      <c r="U646" s="37">
        <v>30220</v>
      </c>
      <c r="V646" s="10">
        <v>9</v>
      </c>
      <c r="W646" s="10">
        <v>13</v>
      </c>
      <c r="X646" s="10">
        <v>8</v>
      </c>
      <c r="Y646" s="11">
        <v>0.3</v>
      </c>
      <c r="Z646" s="11">
        <v>0.43333333333333335</v>
      </c>
      <c r="AA646" s="11">
        <v>0.26666666666666666</v>
      </c>
    </row>
    <row r="647" spans="21:27" x14ac:dyDescent="0.25">
      <c r="U647" s="37">
        <v>30227</v>
      </c>
      <c r="V647" s="10">
        <v>5</v>
      </c>
      <c r="W647" s="10">
        <v>7</v>
      </c>
      <c r="X647" s="10">
        <v>14</v>
      </c>
      <c r="Y647" s="11">
        <v>0.19230769230769232</v>
      </c>
      <c r="Z647" s="11">
        <v>0.26923076923076922</v>
      </c>
      <c r="AA647" s="11">
        <v>0.53846153846153844</v>
      </c>
    </row>
    <row r="648" spans="21:27" x14ac:dyDescent="0.25">
      <c r="U648" s="37">
        <v>30234</v>
      </c>
      <c r="V648" s="10">
        <v>14</v>
      </c>
      <c r="W648" s="10">
        <v>7</v>
      </c>
      <c r="X648" s="10">
        <v>9</v>
      </c>
      <c r="Y648" s="11">
        <v>0.46666666666666667</v>
      </c>
      <c r="Z648" s="11">
        <v>0.23333333333333334</v>
      </c>
      <c r="AA648" s="11">
        <v>0.3</v>
      </c>
    </row>
    <row r="649" spans="21:27" x14ac:dyDescent="0.25">
      <c r="U649" s="37">
        <v>30241</v>
      </c>
      <c r="V649" s="10">
        <v>8</v>
      </c>
      <c r="W649" s="10">
        <v>1</v>
      </c>
      <c r="X649" s="10">
        <v>4</v>
      </c>
      <c r="Y649" s="11">
        <v>0.61538461538461542</v>
      </c>
      <c r="Z649" s="11">
        <v>7.6923076923076927E-2</v>
      </c>
      <c r="AA649" s="11">
        <v>0.30769230769230771</v>
      </c>
    </row>
    <row r="650" spans="21:27" x14ac:dyDescent="0.25">
      <c r="U650" s="37">
        <v>30248</v>
      </c>
      <c r="V650" s="10">
        <v>13</v>
      </c>
      <c r="W650" s="10">
        <v>13</v>
      </c>
      <c r="X650" s="10">
        <v>12</v>
      </c>
      <c r="Y650" s="11">
        <v>0.34210526315789475</v>
      </c>
      <c r="Z650" s="11">
        <v>0.34210526315789475</v>
      </c>
      <c r="AA650" s="11">
        <v>0.31578947368421051</v>
      </c>
    </row>
    <row r="651" spans="21:27" x14ac:dyDescent="0.25">
      <c r="U651" s="37">
        <v>30255</v>
      </c>
      <c r="V651" s="10">
        <v>1</v>
      </c>
      <c r="W651" s="10">
        <v>0</v>
      </c>
      <c r="X651" s="10">
        <v>2</v>
      </c>
      <c r="Y651" s="11">
        <v>0.33333333333333331</v>
      </c>
      <c r="Z651" s="11">
        <v>0</v>
      </c>
      <c r="AA651" s="11">
        <v>0.66666666666666663</v>
      </c>
    </row>
    <row r="652" spans="21:27" x14ac:dyDescent="0.25">
      <c r="U652" s="37">
        <v>30256</v>
      </c>
      <c r="V652" s="10">
        <v>8</v>
      </c>
      <c r="W652" s="10">
        <v>1</v>
      </c>
      <c r="X652" s="10">
        <v>1</v>
      </c>
      <c r="Y652" s="11">
        <v>0.8</v>
      </c>
      <c r="Z652" s="11">
        <v>0.1</v>
      </c>
      <c r="AA652" s="11">
        <v>0.1</v>
      </c>
    </row>
    <row r="653" spans="21:27" x14ac:dyDescent="0.25">
      <c r="U653" s="37">
        <v>30262</v>
      </c>
      <c r="V653" s="10">
        <v>9</v>
      </c>
      <c r="W653" s="10">
        <v>11</v>
      </c>
      <c r="X653" s="10">
        <v>8</v>
      </c>
      <c r="Y653" s="11">
        <v>0.32142857142857145</v>
      </c>
      <c r="Z653" s="11">
        <v>0.39285714285714285</v>
      </c>
      <c r="AA653" s="11">
        <v>0.2857142857142857</v>
      </c>
    </row>
    <row r="654" spans="21:27" x14ac:dyDescent="0.25">
      <c r="U654" s="37">
        <v>30269</v>
      </c>
      <c r="V654" s="10">
        <v>11</v>
      </c>
      <c r="W654" s="10">
        <v>6</v>
      </c>
      <c r="X654" s="10">
        <v>4</v>
      </c>
      <c r="Y654" s="11">
        <v>0.52380952380952384</v>
      </c>
      <c r="Z654" s="11">
        <v>0.2857142857142857</v>
      </c>
      <c r="AA654" s="11">
        <v>0.19047619047619047</v>
      </c>
    </row>
    <row r="655" spans="21:27" x14ac:dyDescent="0.25">
      <c r="U655" s="37">
        <v>30276</v>
      </c>
      <c r="V655" s="10">
        <v>9</v>
      </c>
      <c r="W655" s="10">
        <v>6</v>
      </c>
      <c r="X655" s="10">
        <v>11</v>
      </c>
      <c r="Y655" s="11">
        <v>0.34615384615384615</v>
      </c>
      <c r="Z655" s="11">
        <v>0.23076923076923078</v>
      </c>
      <c r="AA655" s="11">
        <v>0.42307692307692307</v>
      </c>
    </row>
    <row r="656" spans="21:27" x14ac:dyDescent="0.25">
      <c r="U656" s="37">
        <v>30283</v>
      </c>
      <c r="V656" s="10">
        <v>5</v>
      </c>
      <c r="W656" s="10">
        <v>6</v>
      </c>
      <c r="X656" s="10">
        <v>10</v>
      </c>
      <c r="Y656" s="11">
        <v>0.23809523809523808</v>
      </c>
      <c r="Z656" s="11">
        <v>0.2857142857142857</v>
      </c>
      <c r="AA656" s="11">
        <v>0.47619047619047616</v>
      </c>
    </row>
    <row r="657" spans="21:27" x14ac:dyDescent="0.25">
      <c r="U657" s="37">
        <v>30290</v>
      </c>
      <c r="V657" s="10">
        <v>4</v>
      </c>
      <c r="W657" s="10">
        <v>3</v>
      </c>
      <c r="X657" s="10">
        <v>5</v>
      </c>
      <c r="Y657" s="11">
        <v>0.33333333333333331</v>
      </c>
      <c r="Z657" s="11">
        <v>0.25</v>
      </c>
      <c r="AA657" s="11">
        <v>0.41666666666666669</v>
      </c>
    </row>
    <row r="658" spans="21:27" x14ac:dyDescent="0.25">
      <c r="U658" s="37">
        <v>30297</v>
      </c>
      <c r="V658" s="10">
        <v>1</v>
      </c>
      <c r="W658" s="10">
        <v>3</v>
      </c>
      <c r="X658" s="10">
        <v>10</v>
      </c>
      <c r="Y658" s="11">
        <v>7.1428571428571425E-2</v>
      </c>
      <c r="Z658" s="11">
        <v>0.21428571428571427</v>
      </c>
      <c r="AA658" s="11">
        <v>0.7142857142857143</v>
      </c>
    </row>
    <row r="659" spans="21:27" x14ac:dyDescent="0.25">
      <c r="U659" s="37">
        <v>30304</v>
      </c>
      <c r="V659" s="10">
        <v>8</v>
      </c>
      <c r="W659" s="10">
        <v>5</v>
      </c>
      <c r="X659" s="10">
        <v>5</v>
      </c>
      <c r="Y659" s="11">
        <v>0.44444444444444442</v>
      </c>
      <c r="Z659" s="11">
        <v>0.27777777777777779</v>
      </c>
      <c r="AA659" s="11">
        <v>0.27777777777777779</v>
      </c>
    </row>
    <row r="660" spans="21:27" x14ac:dyDescent="0.25">
      <c r="U660" s="37">
        <v>30309</v>
      </c>
      <c r="V660" s="10">
        <v>6</v>
      </c>
      <c r="W660" s="10">
        <v>1</v>
      </c>
      <c r="X660" s="10">
        <v>10</v>
      </c>
      <c r="Y660" s="11">
        <v>0.35294117647058826</v>
      </c>
      <c r="Z660" s="11">
        <v>5.8823529411764705E-2</v>
      </c>
      <c r="AA660" s="11">
        <v>0.58823529411764708</v>
      </c>
    </row>
    <row r="661" spans="21:27" x14ac:dyDescent="0.25">
      <c r="U661" s="37">
        <v>30311</v>
      </c>
      <c r="V661" s="10">
        <v>1</v>
      </c>
      <c r="W661" s="10">
        <v>4</v>
      </c>
      <c r="X661" s="10">
        <v>8</v>
      </c>
      <c r="Y661" s="11">
        <v>7.6923076923076927E-2</v>
      </c>
      <c r="Z661" s="11">
        <v>0.30769230769230771</v>
      </c>
      <c r="AA661" s="11">
        <v>0.61538461538461542</v>
      </c>
    </row>
    <row r="662" spans="21:27" x14ac:dyDescent="0.25">
      <c r="U662" s="37">
        <v>30318</v>
      </c>
      <c r="V662" s="10">
        <v>5</v>
      </c>
      <c r="W662" s="10">
        <v>6</v>
      </c>
      <c r="X662" s="10">
        <v>6</v>
      </c>
      <c r="Y662" s="11">
        <v>0.29411764705882354</v>
      </c>
      <c r="Z662" s="11">
        <v>0.35294117647058826</v>
      </c>
      <c r="AA662" s="11">
        <v>0.35294117647058826</v>
      </c>
    </row>
    <row r="663" spans="21:27" x14ac:dyDescent="0.25">
      <c r="U663" s="37">
        <v>30325</v>
      </c>
      <c r="V663" s="10">
        <v>7</v>
      </c>
      <c r="W663" s="10">
        <v>4</v>
      </c>
      <c r="X663" s="10">
        <v>11</v>
      </c>
      <c r="Y663" s="11">
        <v>0.31818181818181818</v>
      </c>
      <c r="Z663" s="11">
        <v>0.18181818181818182</v>
      </c>
      <c r="AA663" s="11">
        <v>0.5</v>
      </c>
    </row>
    <row r="664" spans="21:27" x14ac:dyDescent="0.25">
      <c r="U664" s="37">
        <v>30332</v>
      </c>
      <c r="V664" s="10">
        <v>9</v>
      </c>
      <c r="W664" s="10">
        <v>8</v>
      </c>
      <c r="X664" s="10">
        <v>3</v>
      </c>
      <c r="Y664" s="11">
        <v>0.45</v>
      </c>
      <c r="Z664" s="11">
        <v>0.4</v>
      </c>
      <c r="AA664" s="11">
        <v>0.15</v>
      </c>
    </row>
    <row r="665" spans="21:27" x14ac:dyDescent="0.25">
      <c r="U665" s="37">
        <v>30339</v>
      </c>
      <c r="V665" s="10">
        <v>2</v>
      </c>
      <c r="W665" s="10">
        <v>1</v>
      </c>
      <c r="X665" s="10">
        <v>10</v>
      </c>
      <c r="Y665" s="11">
        <v>0.15384615384615385</v>
      </c>
      <c r="Z665" s="11">
        <v>7.6923076923076927E-2</v>
      </c>
      <c r="AA665" s="11">
        <v>0.76923076923076927</v>
      </c>
    </row>
    <row r="666" spans="21:27" x14ac:dyDescent="0.25">
      <c r="U666" s="37">
        <v>30346</v>
      </c>
      <c r="V666" s="10">
        <v>5</v>
      </c>
      <c r="W666" s="10">
        <v>4</v>
      </c>
      <c r="X666" s="10">
        <v>16</v>
      </c>
      <c r="Y666" s="11">
        <v>0.2</v>
      </c>
      <c r="Z666" s="11">
        <v>0.16</v>
      </c>
      <c r="AA666" s="11">
        <v>0.64</v>
      </c>
    </row>
    <row r="667" spans="21:27" x14ac:dyDescent="0.25">
      <c r="U667" s="37">
        <v>30353</v>
      </c>
      <c r="V667" s="10">
        <v>3</v>
      </c>
      <c r="W667" s="10">
        <v>3</v>
      </c>
      <c r="X667" s="10">
        <v>8</v>
      </c>
      <c r="Y667" s="11">
        <v>0.21428571428571427</v>
      </c>
      <c r="Z667" s="11">
        <v>0.21428571428571427</v>
      </c>
      <c r="AA667" s="11">
        <v>0.5714285714285714</v>
      </c>
    </row>
    <row r="668" spans="21:27" x14ac:dyDescent="0.25">
      <c r="U668" s="37">
        <v>30360</v>
      </c>
      <c r="V668" s="10">
        <v>10</v>
      </c>
      <c r="W668" s="10">
        <v>2</v>
      </c>
      <c r="X668" s="10">
        <v>20</v>
      </c>
      <c r="Y668" s="11">
        <v>0.3125</v>
      </c>
      <c r="Z668" s="11">
        <v>6.25E-2</v>
      </c>
      <c r="AA668" s="11">
        <v>0.625</v>
      </c>
    </row>
    <row r="669" spans="21:27" x14ac:dyDescent="0.25">
      <c r="U669" s="37">
        <v>30367</v>
      </c>
      <c r="V669" s="10">
        <v>2</v>
      </c>
      <c r="W669" s="10">
        <v>1</v>
      </c>
      <c r="X669" s="10">
        <v>5</v>
      </c>
      <c r="Y669" s="11">
        <v>0.25</v>
      </c>
      <c r="Z669" s="11">
        <v>0.125</v>
      </c>
      <c r="AA669" s="11">
        <v>0.625</v>
      </c>
    </row>
    <row r="670" spans="21:27" x14ac:dyDescent="0.25">
      <c r="U670" s="37">
        <v>30374</v>
      </c>
      <c r="V670" s="10">
        <v>0</v>
      </c>
      <c r="W670" s="10">
        <v>1</v>
      </c>
      <c r="X670" s="10">
        <v>0</v>
      </c>
      <c r="Y670" s="11">
        <v>0</v>
      </c>
      <c r="Z670" s="11">
        <v>1</v>
      </c>
      <c r="AA670" s="11">
        <v>0</v>
      </c>
    </row>
    <row r="671" spans="21:27" x14ac:dyDescent="0.25">
      <c r="U671" s="37">
        <v>30381</v>
      </c>
      <c r="V671" s="10">
        <v>2</v>
      </c>
      <c r="W671" s="10">
        <v>3</v>
      </c>
      <c r="X671" s="10">
        <v>5</v>
      </c>
      <c r="Y671" s="11">
        <v>0.2</v>
      </c>
      <c r="Z671" s="11">
        <v>0.3</v>
      </c>
      <c r="AA671" s="11">
        <v>0.5</v>
      </c>
    </row>
    <row r="672" spans="21:27" x14ac:dyDescent="0.25">
      <c r="U672" s="37">
        <v>30388</v>
      </c>
      <c r="V672" s="10">
        <v>0</v>
      </c>
      <c r="W672" s="10">
        <v>2</v>
      </c>
      <c r="X672" s="10">
        <v>5</v>
      </c>
      <c r="Y672" s="11">
        <v>0</v>
      </c>
      <c r="Z672" s="11">
        <v>0.2857142857142857</v>
      </c>
      <c r="AA672" s="11">
        <v>0.7142857142857143</v>
      </c>
    </row>
    <row r="673" spans="21:27" x14ac:dyDescent="0.25">
      <c r="U673" s="37">
        <v>30395</v>
      </c>
      <c r="V673" s="10">
        <v>5</v>
      </c>
      <c r="W673" s="10">
        <v>8</v>
      </c>
      <c r="X673" s="10">
        <v>9</v>
      </c>
      <c r="Y673" s="11">
        <v>0.22727272727272727</v>
      </c>
      <c r="Z673" s="11">
        <v>0.36363636363636365</v>
      </c>
      <c r="AA673" s="11">
        <v>0.40909090909090912</v>
      </c>
    </row>
    <row r="674" spans="21:27" x14ac:dyDescent="0.25">
      <c r="U674" s="37">
        <v>30402</v>
      </c>
      <c r="V674" s="10">
        <v>3</v>
      </c>
      <c r="W674" s="10">
        <v>1</v>
      </c>
      <c r="X674" s="10">
        <v>6</v>
      </c>
      <c r="Y674" s="11">
        <v>0.3</v>
      </c>
      <c r="Z674" s="11">
        <v>0.1</v>
      </c>
      <c r="AA674" s="11">
        <v>0.6</v>
      </c>
    </row>
    <row r="675" spans="21:27" x14ac:dyDescent="0.25">
      <c r="U675" s="37">
        <v>30409</v>
      </c>
      <c r="V675" s="10">
        <v>10</v>
      </c>
      <c r="W675" s="10">
        <v>11</v>
      </c>
      <c r="X675" s="10">
        <v>12</v>
      </c>
      <c r="Y675" s="11">
        <v>0.30303030303030304</v>
      </c>
      <c r="Z675" s="11">
        <v>0.33333333333333331</v>
      </c>
      <c r="AA675" s="11">
        <v>0.36363636363636365</v>
      </c>
    </row>
    <row r="676" spans="21:27" x14ac:dyDescent="0.25">
      <c r="U676" s="37">
        <v>30416</v>
      </c>
      <c r="V676" s="10">
        <v>18</v>
      </c>
      <c r="W676" s="10">
        <v>6</v>
      </c>
      <c r="X676" s="10">
        <v>18</v>
      </c>
      <c r="Y676" s="11">
        <v>0.42857142857142855</v>
      </c>
      <c r="Z676" s="11">
        <v>0.14285714285714285</v>
      </c>
      <c r="AA676" s="11">
        <v>0.42857142857142855</v>
      </c>
    </row>
    <row r="677" spans="21:27" x14ac:dyDescent="0.25">
      <c r="U677" s="37">
        <v>30423</v>
      </c>
      <c r="V677" s="10">
        <v>4</v>
      </c>
      <c r="W677" s="10">
        <v>4</v>
      </c>
      <c r="X677" s="10">
        <v>1</v>
      </c>
      <c r="Y677" s="11">
        <v>0.44444444444444442</v>
      </c>
      <c r="Z677" s="11">
        <v>0.44444444444444442</v>
      </c>
      <c r="AA677" s="11">
        <v>0.1111111111111111</v>
      </c>
    </row>
    <row r="678" spans="21:27" x14ac:dyDescent="0.25">
      <c r="U678" s="37">
        <v>30430</v>
      </c>
      <c r="V678" s="10">
        <v>8</v>
      </c>
      <c r="W678" s="10">
        <v>6</v>
      </c>
      <c r="X678" s="10">
        <v>5</v>
      </c>
      <c r="Y678" s="11">
        <v>0.42105263157894735</v>
      </c>
      <c r="Z678" s="11">
        <v>0.31578947368421051</v>
      </c>
      <c r="AA678" s="11">
        <v>0.26315789473684209</v>
      </c>
    </row>
    <row r="679" spans="21:27" x14ac:dyDescent="0.25">
      <c r="U679" s="37">
        <v>30444</v>
      </c>
      <c r="V679" s="10">
        <v>14</v>
      </c>
      <c r="W679" s="10">
        <v>14</v>
      </c>
      <c r="X679" s="10">
        <v>36</v>
      </c>
      <c r="Y679" s="11">
        <v>0.21875</v>
      </c>
      <c r="Z679" s="11">
        <v>0.21875</v>
      </c>
      <c r="AA679" s="11">
        <v>0.5625</v>
      </c>
    </row>
    <row r="680" spans="21:27" x14ac:dyDescent="0.25">
      <c r="U680" s="37">
        <v>30451</v>
      </c>
      <c r="V680" s="10">
        <v>7</v>
      </c>
      <c r="W680" s="10">
        <v>10</v>
      </c>
      <c r="X680" s="10">
        <v>23</v>
      </c>
      <c r="Y680" s="11">
        <v>0.17499999999999999</v>
      </c>
      <c r="Z680" s="11">
        <v>0.25</v>
      </c>
      <c r="AA680" s="11">
        <v>0.57499999999999996</v>
      </c>
    </row>
    <row r="681" spans="21:27" x14ac:dyDescent="0.25">
      <c r="U681" s="37">
        <v>30458</v>
      </c>
      <c r="V681" s="10">
        <v>9</v>
      </c>
      <c r="W681" s="10">
        <v>5</v>
      </c>
      <c r="X681" s="10">
        <v>27</v>
      </c>
      <c r="Y681" s="11">
        <v>0.21951219512195122</v>
      </c>
      <c r="Z681" s="11">
        <v>0.12195121951219512</v>
      </c>
      <c r="AA681" s="11">
        <v>0.65853658536585369</v>
      </c>
    </row>
    <row r="682" spans="21:27" x14ac:dyDescent="0.25">
      <c r="U682" s="37">
        <v>30465</v>
      </c>
      <c r="V682" s="10">
        <v>18</v>
      </c>
      <c r="W682" s="10">
        <v>21</v>
      </c>
      <c r="X682" s="10">
        <v>14</v>
      </c>
      <c r="Y682" s="11">
        <v>0.33962264150943394</v>
      </c>
      <c r="Z682" s="11">
        <v>0.39622641509433965</v>
      </c>
      <c r="AA682" s="11">
        <v>0.26415094339622641</v>
      </c>
    </row>
    <row r="683" spans="21:27" x14ac:dyDescent="0.25">
      <c r="U683" s="37">
        <v>30472</v>
      </c>
      <c r="V683" s="10">
        <v>7</v>
      </c>
      <c r="W683" s="10">
        <v>4</v>
      </c>
      <c r="X683" s="10">
        <v>16</v>
      </c>
      <c r="Y683" s="11">
        <v>0.25925925925925924</v>
      </c>
      <c r="Z683" s="11">
        <v>0.14814814814814814</v>
      </c>
      <c r="AA683" s="11">
        <v>0.59259259259259256</v>
      </c>
    </row>
    <row r="684" spans="21:27" x14ac:dyDescent="0.25">
      <c r="U684" s="37">
        <v>30479</v>
      </c>
      <c r="V684" s="10">
        <v>4</v>
      </c>
      <c r="W684" s="10">
        <v>9</v>
      </c>
      <c r="X684" s="10">
        <v>5</v>
      </c>
      <c r="Y684" s="11">
        <v>0.22222222222222221</v>
      </c>
      <c r="Z684" s="11">
        <v>0.5</v>
      </c>
      <c r="AA684" s="11">
        <v>0.27777777777777779</v>
      </c>
    </row>
    <row r="685" spans="21:27" x14ac:dyDescent="0.25">
      <c r="U685" s="37">
        <v>30486</v>
      </c>
      <c r="V685" s="10">
        <v>6</v>
      </c>
      <c r="W685" s="10">
        <v>6</v>
      </c>
      <c r="X685" s="10">
        <v>3</v>
      </c>
      <c r="Y685" s="11">
        <v>0.4</v>
      </c>
      <c r="Z685" s="11">
        <v>0.4</v>
      </c>
      <c r="AA685" s="11">
        <v>0.2</v>
      </c>
    </row>
    <row r="686" spans="21:27" x14ac:dyDescent="0.25">
      <c r="U686" s="37">
        <v>30493</v>
      </c>
      <c r="V686" s="10">
        <v>11</v>
      </c>
      <c r="W686" s="10">
        <v>2</v>
      </c>
      <c r="X686" s="10">
        <v>13</v>
      </c>
      <c r="Y686" s="11">
        <v>0.42307692307692307</v>
      </c>
      <c r="Z686" s="11">
        <v>7.6923076923076927E-2</v>
      </c>
      <c r="AA686" s="11">
        <v>0.5</v>
      </c>
    </row>
    <row r="687" spans="21:27" x14ac:dyDescent="0.25">
      <c r="U687" s="37">
        <v>30500</v>
      </c>
      <c r="V687" s="10">
        <v>4</v>
      </c>
      <c r="W687" s="10">
        <v>5</v>
      </c>
      <c r="X687" s="10">
        <v>7</v>
      </c>
      <c r="Y687" s="11">
        <v>0.25</v>
      </c>
      <c r="Z687" s="11">
        <v>0.3125</v>
      </c>
      <c r="AA687" s="11">
        <v>0.4375</v>
      </c>
    </row>
    <row r="688" spans="21:27" x14ac:dyDescent="0.25">
      <c r="U688" s="37">
        <v>30507</v>
      </c>
      <c r="V688" s="10">
        <v>6</v>
      </c>
      <c r="W688" s="10">
        <v>1</v>
      </c>
      <c r="X688" s="10">
        <v>6</v>
      </c>
      <c r="Y688" s="11">
        <v>0.46153846153846156</v>
      </c>
      <c r="Z688" s="11">
        <v>7.6923076923076927E-2</v>
      </c>
      <c r="AA688" s="11">
        <v>0.46153846153846156</v>
      </c>
    </row>
    <row r="689" spans="21:27" x14ac:dyDescent="0.25">
      <c r="U689" s="37">
        <v>30514</v>
      </c>
      <c r="V689" s="10">
        <v>2</v>
      </c>
      <c r="W689" s="10">
        <v>1</v>
      </c>
      <c r="X689" s="10">
        <v>6</v>
      </c>
      <c r="Y689" s="11">
        <v>0.22222222222222221</v>
      </c>
      <c r="Z689" s="11">
        <v>0.1111111111111111</v>
      </c>
      <c r="AA689" s="11">
        <v>0.66666666666666663</v>
      </c>
    </row>
    <row r="690" spans="21:27" x14ac:dyDescent="0.25">
      <c r="U690" s="37">
        <v>30521</v>
      </c>
      <c r="V690" s="10">
        <v>7</v>
      </c>
      <c r="W690" s="10">
        <v>10</v>
      </c>
      <c r="X690" s="10">
        <v>5</v>
      </c>
      <c r="Y690" s="11">
        <v>0.31818181818181818</v>
      </c>
      <c r="Z690" s="11">
        <v>0.45454545454545453</v>
      </c>
      <c r="AA690" s="11">
        <v>0.22727272727272727</v>
      </c>
    </row>
    <row r="691" spans="21:27" x14ac:dyDescent="0.25">
      <c r="U691" s="37">
        <v>30528</v>
      </c>
      <c r="V691" s="10">
        <v>13</v>
      </c>
      <c r="W691" s="10">
        <v>3</v>
      </c>
      <c r="X691" s="10">
        <v>11</v>
      </c>
      <c r="Y691" s="11">
        <v>0.48148148148148145</v>
      </c>
      <c r="Z691" s="11">
        <v>0.1111111111111111</v>
      </c>
      <c r="AA691" s="11">
        <v>0.40740740740740738</v>
      </c>
    </row>
    <row r="692" spans="21:27" x14ac:dyDescent="0.25">
      <c r="U692" s="37">
        <v>30535</v>
      </c>
      <c r="V692" s="10">
        <v>10</v>
      </c>
      <c r="W692" s="10">
        <v>2</v>
      </c>
      <c r="X692" s="10">
        <v>3</v>
      </c>
      <c r="Y692" s="11">
        <v>0.66666666666666663</v>
      </c>
      <c r="Z692" s="11">
        <v>0.13333333333333333</v>
      </c>
      <c r="AA692" s="11">
        <v>0.2</v>
      </c>
    </row>
    <row r="693" spans="21:27" x14ac:dyDescent="0.25">
      <c r="U693" s="37">
        <v>30542</v>
      </c>
      <c r="V693" s="10">
        <v>5</v>
      </c>
      <c r="W693" s="10">
        <v>6</v>
      </c>
      <c r="X693" s="10">
        <v>11</v>
      </c>
      <c r="Y693" s="11">
        <v>0.22727272727272727</v>
      </c>
      <c r="Z693" s="11">
        <v>0.27272727272727271</v>
      </c>
      <c r="AA693" s="11">
        <v>0.5</v>
      </c>
    </row>
    <row r="694" spans="21:27" x14ac:dyDescent="0.25">
      <c r="U694" s="37">
        <v>30543</v>
      </c>
      <c r="V694" s="10">
        <v>14</v>
      </c>
      <c r="W694" s="10">
        <v>11</v>
      </c>
      <c r="X694" s="10">
        <v>22</v>
      </c>
      <c r="Y694" s="11">
        <v>0.2978723404255319</v>
      </c>
      <c r="Z694" s="11">
        <v>0.23404255319148937</v>
      </c>
      <c r="AA694" s="11">
        <v>0.46808510638297873</v>
      </c>
    </row>
    <row r="695" spans="21:27" x14ac:dyDescent="0.25">
      <c r="U695" s="37">
        <v>30549</v>
      </c>
      <c r="V695" s="10">
        <v>4</v>
      </c>
      <c r="W695" s="10">
        <v>2</v>
      </c>
      <c r="X695" s="10">
        <v>21</v>
      </c>
      <c r="Y695" s="11">
        <v>0.14814814814814814</v>
      </c>
      <c r="Z695" s="11">
        <v>7.407407407407407E-2</v>
      </c>
      <c r="AA695" s="11">
        <v>0.77777777777777779</v>
      </c>
    </row>
    <row r="696" spans="21:27" x14ac:dyDescent="0.25">
      <c r="U696" s="37">
        <v>30556</v>
      </c>
      <c r="V696" s="10">
        <v>13</v>
      </c>
      <c r="W696" s="10">
        <v>4</v>
      </c>
      <c r="X696" s="10">
        <v>2</v>
      </c>
      <c r="Y696" s="11">
        <v>0.68421052631578949</v>
      </c>
      <c r="Z696" s="11">
        <v>0.21052631578947367</v>
      </c>
      <c r="AA696" s="11">
        <v>0.10526315789473684</v>
      </c>
    </row>
    <row r="697" spans="21:27" x14ac:dyDescent="0.25">
      <c r="U697" s="37">
        <v>30563</v>
      </c>
      <c r="V697" s="10">
        <v>6</v>
      </c>
      <c r="W697" s="10">
        <v>8</v>
      </c>
      <c r="X697" s="10">
        <v>14</v>
      </c>
      <c r="Y697" s="11">
        <v>0.21428571428571427</v>
      </c>
      <c r="Z697" s="11">
        <v>0.2857142857142857</v>
      </c>
      <c r="AA697" s="11">
        <v>0.5</v>
      </c>
    </row>
    <row r="698" spans="21:27" x14ac:dyDescent="0.25">
      <c r="U698" s="37">
        <v>30570</v>
      </c>
      <c r="V698" s="10">
        <v>12</v>
      </c>
      <c r="W698" s="10">
        <v>7</v>
      </c>
      <c r="X698" s="10">
        <v>5</v>
      </c>
      <c r="Y698" s="11">
        <v>0.5</v>
      </c>
      <c r="Z698" s="11">
        <v>0.29166666666666669</v>
      </c>
      <c r="AA698" s="11">
        <v>0.20833333333333334</v>
      </c>
    </row>
    <row r="699" spans="21:27" x14ac:dyDescent="0.25">
      <c r="U699" s="37">
        <v>30577</v>
      </c>
      <c r="V699" s="10">
        <v>4</v>
      </c>
      <c r="W699" s="10">
        <v>7</v>
      </c>
      <c r="X699" s="10">
        <v>5</v>
      </c>
      <c r="Y699" s="11">
        <v>0.25</v>
      </c>
      <c r="Z699" s="11">
        <v>0.4375</v>
      </c>
      <c r="AA699" s="11">
        <v>0.3125</v>
      </c>
    </row>
    <row r="700" spans="21:27" x14ac:dyDescent="0.25">
      <c r="U700" s="37">
        <v>30584</v>
      </c>
      <c r="V700" s="10">
        <v>5</v>
      </c>
      <c r="W700" s="10">
        <v>3</v>
      </c>
      <c r="X700" s="10">
        <v>2</v>
      </c>
      <c r="Y700" s="11">
        <v>0.5</v>
      </c>
      <c r="Z700" s="11">
        <v>0.3</v>
      </c>
      <c r="AA700" s="11">
        <v>0.2</v>
      </c>
    </row>
    <row r="701" spans="21:27" x14ac:dyDescent="0.25">
      <c r="U701" s="37">
        <v>30591</v>
      </c>
      <c r="V701" s="10">
        <v>13</v>
      </c>
      <c r="W701" s="10">
        <v>3</v>
      </c>
      <c r="X701" s="10">
        <v>24</v>
      </c>
      <c r="Y701" s="11">
        <v>0.32500000000000001</v>
      </c>
      <c r="Z701" s="11">
        <v>7.4999999999999997E-2</v>
      </c>
      <c r="AA701" s="11">
        <v>0.6</v>
      </c>
    </row>
    <row r="702" spans="21:27" x14ac:dyDescent="0.25">
      <c r="U702" s="37">
        <v>30598</v>
      </c>
      <c r="V702" s="10">
        <v>9</v>
      </c>
      <c r="W702" s="10">
        <v>4</v>
      </c>
      <c r="X702" s="10">
        <v>13</v>
      </c>
      <c r="Y702" s="11">
        <v>0.34615384615384615</v>
      </c>
      <c r="Z702" s="11">
        <v>0.15384615384615385</v>
      </c>
      <c r="AA702" s="11">
        <v>0.5</v>
      </c>
    </row>
    <row r="703" spans="21:27" x14ac:dyDescent="0.25">
      <c r="U703" s="37">
        <v>30605</v>
      </c>
      <c r="V703" s="10">
        <v>14</v>
      </c>
      <c r="W703" s="10">
        <v>6</v>
      </c>
      <c r="X703" s="10">
        <v>13</v>
      </c>
      <c r="Y703" s="11">
        <v>0.42424242424242425</v>
      </c>
      <c r="Z703" s="11">
        <v>0.18181818181818182</v>
      </c>
      <c r="AA703" s="11">
        <v>0.39393939393939392</v>
      </c>
    </row>
    <row r="704" spans="21:27" x14ac:dyDescent="0.25">
      <c r="U704" s="37">
        <v>30612</v>
      </c>
      <c r="V704" s="10">
        <v>9</v>
      </c>
      <c r="W704" s="10">
        <v>4</v>
      </c>
      <c r="X704" s="10">
        <v>5</v>
      </c>
      <c r="Y704" s="11">
        <v>0.5</v>
      </c>
      <c r="Z704" s="11">
        <v>0.22222222222222221</v>
      </c>
      <c r="AA704" s="11">
        <v>0.27777777777777779</v>
      </c>
    </row>
    <row r="705" spans="21:27" x14ac:dyDescent="0.25">
      <c r="U705" s="37">
        <v>30619</v>
      </c>
      <c r="V705" s="10">
        <v>9</v>
      </c>
      <c r="W705" s="10">
        <v>6</v>
      </c>
      <c r="X705" s="10">
        <v>5</v>
      </c>
      <c r="Y705" s="11">
        <v>0.45</v>
      </c>
      <c r="Z705" s="11">
        <v>0.3</v>
      </c>
      <c r="AA705" s="11">
        <v>0.25</v>
      </c>
    </row>
    <row r="706" spans="21:27" x14ac:dyDescent="0.25">
      <c r="U706" s="37">
        <v>30621</v>
      </c>
      <c r="V706" s="10">
        <v>1</v>
      </c>
      <c r="W706" s="10">
        <v>2</v>
      </c>
      <c r="X706" s="10">
        <v>8</v>
      </c>
      <c r="Y706" s="11">
        <v>9.0909090909090912E-2</v>
      </c>
      <c r="Z706" s="11">
        <v>0.18181818181818182</v>
      </c>
      <c r="AA706" s="11">
        <v>0.72727272727272729</v>
      </c>
    </row>
    <row r="707" spans="21:27" x14ac:dyDescent="0.25">
      <c r="U707" s="37">
        <v>30626</v>
      </c>
      <c r="V707" s="10">
        <v>2</v>
      </c>
      <c r="W707" s="10">
        <v>4</v>
      </c>
      <c r="X707" s="10">
        <v>8</v>
      </c>
      <c r="Y707" s="11">
        <v>0.14285714285714285</v>
      </c>
      <c r="Z707" s="11">
        <v>0.2857142857142857</v>
      </c>
      <c r="AA707" s="11">
        <v>0.5714285714285714</v>
      </c>
    </row>
    <row r="708" spans="21:27" x14ac:dyDescent="0.25">
      <c r="U708" s="37">
        <v>30633</v>
      </c>
      <c r="V708" s="10">
        <v>7</v>
      </c>
      <c r="W708" s="10">
        <v>7</v>
      </c>
      <c r="X708" s="10">
        <v>15</v>
      </c>
      <c r="Y708" s="11">
        <v>0.2413793103448276</v>
      </c>
      <c r="Z708" s="11">
        <v>0.2413793103448276</v>
      </c>
      <c r="AA708" s="11">
        <v>0.51724137931034486</v>
      </c>
    </row>
    <row r="709" spans="21:27" x14ac:dyDescent="0.25">
      <c r="U709" s="37">
        <v>30640</v>
      </c>
      <c r="V709" s="10">
        <v>5</v>
      </c>
      <c r="W709" s="10">
        <v>14</v>
      </c>
      <c r="X709" s="10">
        <v>14</v>
      </c>
      <c r="Y709" s="11">
        <v>0.15151515151515152</v>
      </c>
      <c r="Z709" s="11">
        <v>0.42424242424242425</v>
      </c>
      <c r="AA709" s="11">
        <v>0.42424242424242425</v>
      </c>
    </row>
    <row r="710" spans="21:27" x14ac:dyDescent="0.25">
      <c r="U710" s="37">
        <v>30647</v>
      </c>
      <c r="V710" s="10">
        <v>1</v>
      </c>
      <c r="W710" s="10">
        <v>0</v>
      </c>
      <c r="X710" s="10">
        <v>5</v>
      </c>
      <c r="Y710" s="11">
        <v>0.16666666666666666</v>
      </c>
      <c r="Z710" s="11">
        <v>0</v>
      </c>
      <c r="AA710" s="11">
        <v>0.83333333333333337</v>
      </c>
    </row>
    <row r="711" spans="21:27" x14ac:dyDescent="0.25">
      <c r="U711" s="37">
        <v>30654</v>
      </c>
      <c r="V711" s="10">
        <v>6</v>
      </c>
      <c r="W711" s="10">
        <v>2</v>
      </c>
      <c r="X711" s="10">
        <v>3</v>
      </c>
      <c r="Y711" s="11">
        <v>0.54545454545454541</v>
      </c>
      <c r="Z711" s="11">
        <v>0.18181818181818182</v>
      </c>
      <c r="AA711" s="11">
        <v>0.27272727272727271</v>
      </c>
    </row>
    <row r="712" spans="21:27" x14ac:dyDescent="0.25">
      <c r="U712" s="37">
        <v>30661</v>
      </c>
      <c r="V712" s="10">
        <v>10</v>
      </c>
      <c r="W712" s="10">
        <v>1</v>
      </c>
      <c r="X712" s="10">
        <v>7</v>
      </c>
      <c r="Y712" s="11">
        <v>0.55555555555555558</v>
      </c>
      <c r="Z712" s="11">
        <v>5.5555555555555552E-2</v>
      </c>
      <c r="AA712" s="11">
        <v>0.3888888888888889</v>
      </c>
    </row>
    <row r="713" spans="21:27" x14ac:dyDescent="0.25">
      <c r="U713" s="37">
        <v>30668</v>
      </c>
      <c r="V713" s="10">
        <v>9</v>
      </c>
      <c r="W713" s="10">
        <v>3</v>
      </c>
      <c r="X713" s="10">
        <v>12</v>
      </c>
      <c r="Y713" s="11">
        <v>0.375</v>
      </c>
      <c r="Z713" s="11">
        <v>0.125</v>
      </c>
      <c r="AA713" s="11">
        <v>0.5</v>
      </c>
    </row>
    <row r="714" spans="21:27" x14ac:dyDescent="0.25">
      <c r="U714" s="37">
        <v>30675</v>
      </c>
      <c r="V714" s="10">
        <v>8</v>
      </c>
      <c r="W714" s="10">
        <v>3</v>
      </c>
      <c r="X714" s="10">
        <v>12</v>
      </c>
      <c r="Y714" s="11">
        <v>0.34782608695652173</v>
      </c>
      <c r="Z714" s="11">
        <v>0.13043478260869565</v>
      </c>
      <c r="AA714" s="11">
        <v>0.52173913043478259</v>
      </c>
    </row>
    <row r="715" spans="21:27" x14ac:dyDescent="0.25">
      <c r="U715" s="37">
        <v>30682</v>
      </c>
      <c r="V715" s="10">
        <v>4</v>
      </c>
      <c r="W715" s="10">
        <v>4</v>
      </c>
      <c r="X715" s="10">
        <v>4</v>
      </c>
      <c r="Y715" s="11">
        <v>0.33333333333333331</v>
      </c>
      <c r="Z715" s="11">
        <v>0.33333333333333331</v>
      </c>
      <c r="AA715" s="11">
        <v>0.33333333333333331</v>
      </c>
    </row>
    <row r="716" spans="21:27" x14ac:dyDescent="0.25">
      <c r="U716" s="37">
        <v>30689</v>
      </c>
      <c r="V716" s="10">
        <v>9</v>
      </c>
      <c r="W716" s="10">
        <v>4</v>
      </c>
      <c r="X716" s="10">
        <v>10</v>
      </c>
      <c r="Y716" s="11">
        <v>0.39130434782608697</v>
      </c>
      <c r="Z716" s="11">
        <v>0.17391304347826086</v>
      </c>
      <c r="AA716" s="11">
        <v>0.43478260869565216</v>
      </c>
    </row>
    <row r="717" spans="21:27" x14ac:dyDescent="0.25">
      <c r="U717" s="37">
        <v>30696</v>
      </c>
      <c r="V717" s="10">
        <v>9</v>
      </c>
      <c r="W717" s="10">
        <v>11</v>
      </c>
      <c r="X717" s="10">
        <v>21</v>
      </c>
      <c r="Y717" s="11">
        <v>0.21951219512195122</v>
      </c>
      <c r="Z717" s="11">
        <v>0.26829268292682928</v>
      </c>
      <c r="AA717" s="11">
        <v>0.51219512195121952</v>
      </c>
    </row>
    <row r="718" spans="21:27" x14ac:dyDescent="0.25">
      <c r="U718" s="37">
        <v>30703</v>
      </c>
      <c r="V718" s="10">
        <v>6</v>
      </c>
      <c r="W718" s="10">
        <v>4</v>
      </c>
      <c r="X718" s="10">
        <v>8</v>
      </c>
      <c r="Y718" s="11">
        <v>0.33333333333333331</v>
      </c>
      <c r="Z718" s="11">
        <v>0.22222222222222221</v>
      </c>
      <c r="AA718" s="11">
        <v>0.44444444444444442</v>
      </c>
    </row>
    <row r="719" spans="21:27" x14ac:dyDescent="0.25">
      <c r="U719" s="37">
        <v>30710</v>
      </c>
      <c r="V719" s="10">
        <v>6</v>
      </c>
      <c r="W719" s="10">
        <v>4</v>
      </c>
      <c r="X719" s="10">
        <v>15</v>
      </c>
      <c r="Y719" s="11">
        <v>0.24</v>
      </c>
      <c r="Z719" s="11">
        <v>0.16</v>
      </c>
      <c r="AA719" s="11">
        <v>0.6</v>
      </c>
    </row>
    <row r="720" spans="21:27" x14ac:dyDescent="0.25">
      <c r="U720" s="37">
        <v>30717</v>
      </c>
      <c r="V720" s="10">
        <v>4</v>
      </c>
      <c r="W720" s="10">
        <v>3</v>
      </c>
      <c r="X720" s="10">
        <v>1</v>
      </c>
      <c r="Y720" s="11">
        <v>0.5</v>
      </c>
      <c r="Z720" s="11">
        <v>0.375</v>
      </c>
      <c r="AA720" s="11">
        <v>0.125</v>
      </c>
    </row>
    <row r="721" spans="21:27" x14ac:dyDescent="0.25">
      <c r="U721" s="37">
        <v>30724</v>
      </c>
      <c r="V721" s="10">
        <v>10</v>
      </c>
      <c r="W721" s="10">
        <v>9</v>
      </c>
      <c r="X721" s="10">
        <v>6</v>
      </c>
      <c r="Y721" s="11">
        <v>0.4</v>
      </c>
      <c r="Z721" s="11">
        <v>0.36</v>
      </c>
      <c r="AA721" s="11">
        <v>0.24</v>
      </c>
    </row>
    <row r="722" spans="21:27" x14ac:dyDescent="0.25">
      <c r="U722" s="37">
        <v>30731</v>
      </c>
      <c r="V722" s="10">
        <v>15</v>
      </c>
      <c r="W722" s="10">
        <v>7</v>
      </c>
      <c r="X722" s="10">
        <v>6</v>
      </c>
      <c r="Y722" s="11">
        <v>0.5357142857142857</v>
      </c>
      <c r="Z722" s="11">
        <v>0.25</v>
      </c>
      <c r="AA722" s="11">
        <v>0.21428571428571427</v>
      </c>
    </row>
    <row r="723" spans="21:27" x14ac:dyDescent="0.25">
      <c r="U723" s="37">
        <v>30738</v>
      </c>
      <c r="V723" s="10">
        <v>9</v>
      </c>
      <c r="W723" s="10">
        <v>5</v>
      </c>
      <c r="X723" s="10">
        <v>13</v>
      </c>
      <c r="Y723" s="11">
        <v>0.33333333333333331</v>
      </c>
      <c r="Z723" s="11">
        <v>0.18518518518518517</v>
      </c>
      <c r="AA723" s="11">
        <v>0.48148148148148145</v>
      </c>
    </row>
    <row r="724" spans="21:27" x14ac:dyDescent="0.25">
      <c r="U724" s="37">
        <v>30745</v>
      </c>
      <c r="V724" s="10">
        <v>3</v>
      </c>
      <c r="W724" s="10">
        <v>3</v>
      </c>
      <c r="X724" s="10">
        <v>1</v>
      </c>
      <c r="Y724" s="11">
        <v>0.42857142857142855</v>
      </c>
      <c r="Z724" s="11">
        <v>0.42857142857142855</v>
      </c>
      <c r="AA724" s="11">
        <v>0.14285714285714285</v>
      </c>
    </row>
    <row r="725" spans="21:27" x14ac:dyDescent="0.25">
      <c r="U725" s="37">
        <v>30752</v>
      </c>
      <c r="V725" s="10">
        <v>7</v>
      </c>
      <c r="W725" s="10">
        <v>5</v>
      </c>
      <c r="X725" s="10">
        <v>8</v>
      </c>
      <c r="Y725" s="11">
        <v>0.35</v>
      </c>
      <c r="Z725" s="11">
        <v>0.25</v>
      </c>
      <c r="AA725" s="11">
        <v>0.4</v>
      </c>
    </row>
    <row r="726" spans="21:27" x14ac:dyDescent="0.25">
      <c r="U726" s="37">
        <v>30759</v>
      </c>
      <c r="V726" s="10">
        <v>4</v>
      </c>
      <c r="W726" s="10">
        <v>3</v>
      </c>
      <c r="X726" s="10">
        <v>15</v>
      </c>
      <c r="Y726" s="11">
        <v>0.18181818181818182</v>
      </c>
      <c r="Z726" s="11">
        <v>0.13636363636363635</v>
      </c>
      <c r="AA726" s="11">
        <v>0.68181818181818177</v>
      </c>
    </row>
    <row r="727" spans="21:27" x14ac:dyDescent="0.25">
      <c r="U727" s="37">
        <v>30766</v>
      </c>
      <c r="V727" s="10">
        <v>4</v>
      </c>
      <c r="W727" s="10">
        <v>4</v>
      </c>
      <c r="X727" s="10">
        <v>6</v>
      </c>
      <c r="Y727" s="11">
        <v>0.2857142857142857</v>
      </c>
      <c r="Z727" s="11">
        <v>0.2857142857142857</v>
      </c>
      <c r="AA727" s="11">
        <v>0.42857142857142855</v>
      </c>
    </row>
    <row r="728" spans="21:27" x14ac:dyDescent="0.25">
      <c r="U728" s="37">
        <v>30773</v>
      </c>
      <c r="V728" s="10">
        <v>3</v>
      </c>
      <c r="W728" s="10">
        <v>4</v>
      </c>
      <c r="X728" s="10">
        <v>5</v>
      </c>
      <c r="Y728" s="11">
        <v>0.25</v>
      </c>
      <c r="Z728" s="11">
        <v>0.33333333333333331</v>
      </c>
      <c r="AA728" s="11">
        <v>0.41666666666666669</v>
      </c>
    </row>
    <row r="729" spans="21:27" x14ac:dyDescent="0.25">
      <c r="U729" s="37">
        <v>30780</v>
      </c>
      <c r="V729" s="10">
        <v>5</v>
      </c>
      <c r="W729" s="10">
        <v>3</v>
      </c>
      <c r="X729" s="10">
        <v>11</v>
      </c>
      <c r="Y729" s="11">
        <v>0.26315789473684209</v>
      </c>
      <c r="Z729" s="11">
        <v>0.15789473684210525</v>
      </c>
      <c r="AA729" s="11">
        <v>0.57894736842105265</v>
      </c>
    </row>
    <row r="730" spans="21:27" x14ac:dyDescent="0.25">
      <c r="U730" s="37">
        <v>30787</v>
      </c>
      <c r="V730" s="10">
        <v>2</v>
      </c>
      <c r="W730" s="10">
        <v>4</v>
      </c>
      <c r="X730" s="10">
        <v>9</v>
      </c>
      <c r="Y730" s="11">
        <v>0.13333333333333333</v>
      </c>
      <c r="Z730" s="11">
        <v>0.26666666666666666</v>
      </c>
      <c r="AA730" s="11">
        <v>0.6</v>
      </c>
    </row>
    <row r="731" spans="21:27" x14ac:dyDescent="0.25">
      <c r="U731" s="37">
        <v>30794</v>
      </c>
      <c r="V731" s="10">
        <v>4</v>
      </c>
      <c r="W731" s="10">
        <v>5</v>
      </c>
      <c r="X731" s="10">
        <v>12</v>
      </c>
      <c r="Y731" s="11">
        <v>0.19047619047619047</v>
      </c>
      <c r="Z731" s="11">
        <v>0.23809523809523808</v>
      </c>
      <c r="AA731" s="11">
        <v>0.5714285714285714</v>
      </c>
    </row>
    <row r="732" spans="21:27" x14ac:dyDescent="0.25">
      <c r="U732" s="37">
        <v>30801</v>
      </c>
      <c r="V732" s="10">
        <v>13</v>
      </c>
      <c r="W732" s="10">
        <v>5</v>
      </c>
      <c r="X732" s="10">
        <v>1</v>
      </c>
      <c r="Y732" s="11">
        <v>0.68421052631578949</v>
      </c>
      <c r="Z732" s="11">
        <v>0.26315789473684209</v>
      </c>
      <c r="AA732" s="11">
        <v>5.2631578947368418E-2</v>
      </c>
    </row>
    <row r="733" spans="21:27" x14ac:dyDescent="0.25">
      <c r="U733" s="37">
        <v>30808</v>
      </c>
      <c r="V733" s="10">
        <v>14</v>
      </c>
      <c r="W733" s="10">
        <v>9</v>
      </c>
      <c r="X733" s="10">
        <v>5</v>
      </c>
      <c r="Y733" s="11">
        <v>0.5</v>
      </c>
      <c r="Z733" s="11">
        <v>0.32142857142857145</v>
      </c>
      <c r="AA733" s="11">
        <v>0.17857142857142858</v>
      </c>
    </row>
    <row r="734" spans="21:27" x14ac:dyDescent="0.25">
      <c r="U734" s="37">
        <v>30815</v>
      </c>
      <c r="V734" s="10">
        <v>23</v>
      </c>
      <c r="W734" s="10">
        <v>7</v>
      </c>
      <c r="X734" s="10">
        <v>13</v>
      </c>
      <c r="Y734" s="11">
        <v>0.53488372093023251</v>
      </c>
      <c r="Z734" s="11">
        <v>0.16279069767441862</v>
      </c>
      <c r="AA734" s="11">
        <v>0.30232558139534882</v>
      </c>
    </row>
    <row r="735" spans="21:27" x14ac:dyDescent="0.25">
      <c r="U735" s="37">
        <v>30822</v>
      </c>
      <c r="V735" s="10">
        <v>18</v>
      </c>
      <c r="W735" s="10">
        <v>10</v>
      </c>
      <c r="X735" s="10">
        <v>34</v>
      </c>
      <c r="Y735" s="11">
        <v>0.29032258064516131</v>
      </c>
      <c r="Z735" s="11">
        <v>0.16129032258064516</v>
      </c>
      <c r="AA735" s="11">
        <v>0.54838709677419351</v>
      </c>
    </row>
    <row r="736" spans="21:27" x14ac:dyDescent="0.25">
      <c r="U736" s="37">
        <v>30829</v>
      </c>
      <c r="V736" s="10">
        <v>12</v>
      </c>
      <c r="W736" s="10">
        <v>12</v>
      </c>
      <c r="X736" s="10">
        <v>9</v>
      </c>
      <c r="Y736" s="11">
        <v>0.36363636363636365</v>
      </c>
      <c r="Z736" s="11">
        <v>0.36363636363636365</v>
      </c>
      <c r="AA736" s="11">
        <v>0.27272727272727271</v>
      </c>
    </row>
    <row r="737" spans="21:27" x14ac:dyDescent="0.25">
      <c r="U737" s="37">
        <v>30836</v>
      </c>
      <c r="V737" s="10">
        <v>18</v>
      </c>
      <c r="W737" s="10">
        <v>14</v>
      </c>
      <c r="X737" s="10">
        <v>24</v>
      </c>
      <c r="Y737" s="11">
        <v>0.32142857142857145</v>
      </c>
      <c r="Z737" s="11">
        <v>0.25</v>
      </c>
      <c r="AA737" s="11">
        <v>0.42857142857142855</v>
      </c>
    </row>
    <row r="738" spans="21:27" x14ac:dyDescent="0.25">
      <c r="U738" s="37">
        <v>30843</v>
      </c>
      <c r="V738" s="10">
        <v>10</v>
      </c>
      <c r="W738" s="10">
        <v>12</v>
      </c>
      <c r="X738" s="10">
        <v>15</v>
      </c>
      <c r="Y738" s="11">
        <v>0.27027027027027029</v>
      </c>
      <c r="Z738" s="11">
        <v>0.32432432432432434</v>
      </c>
      <c r="AA738" s="11">
        <v>0.40540540540540543</v>
      </c>
    </row>
    <row r="739" spans="21:27" x14ac:dyDescent="0.25">
      <c r="U739" s="37">
        <v>30850</v>
      </c>
      <c r="V739" s="10">
        <v>17</v>
      </c>
      <c r="W739" s="10">
        <v>6</v>
      </c>
      <c r="X739" s="10">
        <v>18</v>
      </c>
      <c r="Y739" s="11">
        <v>0.41463414634146339</v>
      </c>
      <c r="Z739" s="11">
        <v>0.14634146341463414</v>
      </c>
      <c r="AA739" s="11">
        <v>0.43902439024390244</v>
      </c>
    </row>
    <row r="740" spans="21:27" x14ac:dyDescent="0.25">
      <c r="U740" s="37">
        <v>30857</v>
      </c>
      <c r="V740" s="10">
        <v>11</v>
      </c>
      <c r="W740" s="10">
        <v>3</v>
      </c>
      <c r="X740" s="10">
        <v>21</v>
      </c>
      <c r="Y740" s="11">
        <v>0.31428571428571428</v>
      </c>
      <c r="Z740" s="11">
        <v>8.5714285714285715E-2</v>
      </c>
      <c r="AA740" s="11">
        <v>0.6</v>
      </c>
    </row>
    <row r="741" spans="21:27" x14ac:dyDescent="0.25">
      <c r="U741" s="37">
        <v>30864</v>
      </c>
      <c r="V741" s="10">
        <v>4</v>
      </c>
      <c r="W741" s="10">
        <v>1</v>
      </c>
      <c r="X741" s="10">
        <v>5</v>
      </c>
      <c r="Y741" s="11">
        <v>0.4</v>
      </c>
      <c r="Z741" s="11">
        <v>0.1</v>
      </c>
      <c r="AA741" s="11">
        <v>0.5</v>
      </c>
    </row>
    <row r="742" spans="21:27" x14ac:dyDescent="0.25">
      <c r="U742" s="37">
        <v>30871</v>
      </c>
      <c r="V742" s="10">
        <v>3</v>
      </c>
      <c r="W742" s="10">
        <v>3</v>
      </c>
      <c r="X742" s="10">
        <v>9</v>
      </c>
      <c r="Y742" s="11">
        <v>0.2</v>
      </c>
      <c r="Z742" s="11">
        <v>0.2</v>
      </c>
      <c r="AA742" s="11">
        <v>0.6</v>
      </c>
    </row>
    <row r="743" spans="21:27" x14ac:dyDescent="0.25">
      <c r="U743" s="37">
        <v>30878</v>
      </c>
      <c r="V743" s="10">
        <v>8</v>
      </c>
      <c r="W743" s="10">
        <v>4</v>
      </c>
      <c r="X743" s="10">
        <v>11</v>
      </c>
      <c r="Y743" s="11">
        <v>0.34782608695652173</v>
      </c>
      <c r="Z743" s="11">
        <v>0.17391304347826086</v>
      </c>
      <c r="AA743" s="11">
        <v>0.47826086956521741</v>
      </c>
    </row>
    <row r="744" spans="21:27" x14ac:dyDescent="0.25">
      <c r="U744" s="37">
        <v>30885</v>
      </c>
      <c r="V744" s="10">
        <v>6</v>
      </c>
      <c r="W744" s="10">
        <v>6</v>
      </c>
      <c r="X744" s="10">
        <v>13</v>
      </c>
      <c r="Y744" s="11">
        <v>0.24</v>
      </c>
      <c r="Z744" s="11">
        <v>0.24</v>
      </c>
      <c r="AA744" s="11">
        <v>0.52</v>
      </c>
    </row>
    <row r="745" spans="21:27" x14ac:dyDescent="0.25">
      <c r="U745" s="37">
        <v>30892</v>
      </c>
      <c r="V745" s="10">
        <v>3</v>
      </c>
      <c r="W745" s="10">
        <v>4</v>
      </c>
      <c r="X745" s="10">
        <v>8</v>
      </c>
      <c r="Y745" s="11">
        <v>0.2</v>
      </c>
      <c r="Z745" s="11">
        <v>0.26666666666666666</v>
      </c>
      <c r="AA745" s="11">
        <v>0.53333333333333333</v>
      </c>
    </row>
    <row r="746" spans="21:27" x14ac:dyDescent="0.25">
      <c r="U746" s="37">
        <v>30899</v>
      </c>
      <c r="V746" s="10">
        <v>4</v>
      </c>
      <c r="W746" s="10">
        <v>5</v>
      </c>
      <c r="X746" s="10">
        <v>16</v>
      </c>
      <c r="Y746" s="11">
        <v>0.16</v>
      </c>
      <c r="Z746" s="11">
        <v>0.2</v>
      </c>
      <c r="AA746" s="11">
        <v>0.64</v>
      </c>
    </row>
    <row r="747" spans="21:27" x14ac:dyDescent="0.25">
      <c r="U747" s="37">
        <v>30906</v>
      </c>
      <c r="V747" s="10">
        <v>6</v>
      </c>
      <c r="W747" s="10">
        <v>2</v>
      </c>
      <c r="X747" s="10">
        <v>9</v>
      </c>
      <c r="Y747" s="11">
        <v>0.35294117647058826</v>
      </c>
      <c r="Z747" s="11">
        <v>0.11764705882352941</v>
      </c>
      <c r="AA747" s="11">
        <v>0.52941176470588236</v>
      </c>
    </row>
    <row r="748" spans="21:27" x14ac:dyDescent="0.25">
      <c r="U748" s="37">
        <v>30909</v>
      </c>
      <c r="V748" s="10">
        <v>2</v>
      </c>
      <c r="W748" s="10">
        <v>3</v>
      </c>
      <c r="X748" s="10">
        <v>8</v>
      </c>
      <c r="Y748" s="11">
        <v>0.15384615384615385</v>
      </c>
      <c r="Z748" s="11">
        <v>0.23076923076923078</v>
      </c>
      <c r="AA748" s="11">
        <v>0.61538461538461542</v>
      </c>
    </row>
    <row r="749" spans="21:27" x14ac:dyDescent="0.25">
      <c r="U749" s="37">
        <v>30913</v>
      </c>
      <c r="V749" s="10">
        <v>10</v>
      </c>
      <c r="W749" s="10">
        <v>7</v>
      </c>
      <c r="X749" s="10">
        <v>11</v>
      </c>
      <c r="Y749" s="11">
        <v>0.35714285714285715</v>
      </c>
      <c r="Z749" s="11">
        <v>0.25</v>
      </c>
      <c r="AA749" s="11">
        <v>0.39285714285714285</v>
      </c>
    </row>
    <row r="750" spans="21:27" x14ac:dyDescent="0.25">
      <c r="U750" s="37">
        <v>30920</v>
      </c>
      <c r="V750" s="10">
        <v>11</v>
      </c>
      <c r="W750" s="10">
        <v>0</v>
      </c>
      <c r="X750" s="10">
        <v>9</v>
      </c>
      <c r="Y750" s="11">
        <v>0.55000000000000004</v>
      </c>
      <c r="Z750" s="11">
        <v>0</v>
      </c>
      <c r="AA750" s="11">
        <v>0.45</v>
      </c>
    </row>
    <row r="751" spans="21:27" x14ac:dyDescent="0.25">
      <c r="U751" s="37">
        <v>30927</v>
      </c>
      <c r="V751" s="10">
        <v>8</v>
      </c>
      <c r="W751" s="10">
        <v>10</v>
      </c>
      <c r="X751" s="10">
        <v>3</v>
      </c>
      <c r="Y751" s="11">
        <v>0.38095238095238093</v>
      </c>
      <c r="Z751" s="11">
        <v>0.47619047619047616</v>
      </c>
      <c r="AA751" s="11">
        <v>0.14285714285714285</v>
      </c>
    </row>
    <row r="752" spans="21:27" x14ac:dyDescent="0.25">
      <c r="U752" s="37">
        <v>30934</v>
      </c>
      <c r="V752" s="10">
        <v>5</v>
      </c>
      <c r="W752" s="10">
        <v>2</v>
      </c>
      <c r="X752" s="10">
        <v>11</v>
      </c>
      <c r="Y752" s="11">
        <v>0.27777777777777779</v>
      </c>
      <c r="Z752" s="11">
        <v>0.1111111111111111</v>
      </c>
      <c r="AA752" s="11">
        <v>0.61111111111111116</v>
      </c>
    </row>
    <row r="753" spans="21:27" x14ac:dyDescent="0.25">
      <c r="U753" s="37">
        <v>30941</v>
      </c>
      <c r="V753" s="10">
        <v>3</v>
      </c>
      <c r="W753" s="10">
        <v>1</v>
      </c>
      <c r="X753" s="10">
        <v>3</v>
      </c>
      <c r="Y753" s="11">
        <v>0.42857142857142855</v>
      </c>
      <c r="Z753" s="11">
        <v>0.14285714285714285</v>
      </c>
      <c r="AA753" s="11">
        <v>0.42857142857142855</v>
      </c>
    </row>
    <row r="754" spans="21:27" x14ac:dyDescent="0.25">
      <c r="U754" s="37">
        <v>30948</v>
      </c>
      <c r="V754" s="10">
        <v>5</v>
      </c>
      <c r="W754" s="10">
        <v>3</v>
      </c>
      <c r="X754" s="10">
        <v>10</v>
      </c>
      <c r="Y754" s="11">
        <v>0.27777777777777779</v>
      </c>
      <c r="Z754" s="11">
        <v>0.16666666666666666</v>
      </c>
      <c r="AA754" s="11">
        <v>0.55555555555555558</v>
      </c>
    </row>
    <row r="755" spans="21:27" x14ac:dyDescent="0.25">
      <c r="U755" s="37">
        <v>30955</v>
      </c>
      <c r="V755" s="10">
        <v>3</v>
      </c>
      <c r="W755" s="10">
        <v>9</v>
      </c>
      <c r="X755" s="10">
        <v>11</v>
      </c>
      <c r="Y755" s="11">
        <v>0.13043478260869565</v>
      </c>
      <c r="Z755" s="11">
        <v>0.39130434782608697</v>
      </c>
      <c r="AA755" s="11">
        <v>0.47826086956521741</v>
      </c>
    </row>
    <row r="756" spans="21:27" x14ac:dyDescent="0.25">
      <c r="U756" s="37">
        <v>30962</v>
      </c>
      <c r="V756" s="10">
        <v>8</v>
      </c>
      <c r="W756" s="10">
        <v>3</v>
      </c>
      <c r="X756" s="10">
        <v>20</v>
      </c>
      <c r="Y756" s="11">
        <v>0.25806451612903225</v>
      </c>
      <c r="Z756" s="11">
        <v>9.6774193548387094E-2</v>
      </c>
      <c r="AA756" s="11">
        <v>0.64516129032258063</v>
      </c>
    </row>
    <row r="757" spans="21:27" x14ac:dyDescent="0.25">
      <c r="U757" s="37">
        <v>30969</v>
      </c>
      <c r="V757" s="10">
        <v>8</v>
      </c>
      <c r="W757" s="10">
        <v>5</v>
      </c>
      <c r="X757" s="10">
        <v>23</v>
      </c>
      <c r="Y757" s="11">
        <v>0.22222222222222221</v>
      </c>
      <c r="Z757" s="11">
        <v>0.1388888888888889</v>
      </c>
      <c r="AA757" s="11">
        <v>0.63888888888888884</v>
      </c>
    </row>
    <row r="758" spans="21:27" x14ac:dyDescent="0.25">
      <c r="U758" s="37">
        <v>30976</v>
      </c>
      <c r="V758" s="10">
        <v>7</v>
      </c>
      <c r="W758" s="10">
        <v>16</v>
      </c>
      <c r="X758" s="10">
        <v>10</v>
      </c>
      <c r="Y758" s="11">
        <v>0.21212121212121213</v>
      </c>
      <c r="Z758" s="11">
        <v>0.48484848484848486</v>
      </c>
      <c r="AA758" s="11">
        <v>0.30303030303030304</v>
      </c>
    </row>
    <row r="759" spans="21:27" x14ac:dyDescent="0.25">
      <c r="U759" s="37">
        <v>30983</v>
      </c>
      <c r="V759" s="10">
        <v>10</v>
      </c>
      <c r="W759" s="10">
        <v>8</v>
      </c>
      <c r="X759" s="10">
        <v>15</v>
      </c>
      <c r="Y759" s="11">
        <v>0.30303030303030304</v>
      </c>
      <c r="Z759" s="11">
        <v>0.24242424242424243</v>
      </c>
      <c r="AA759" s="11">
        <v>0.45454545454545453</v>
      </c>
    </row>
    <row r="760" spans="21:27" x14ac:dyDescent="0.25">
      <c r="U760" s="37">
        <v>30987</v>
      </c>
      <c r="V760" s="10">
        <v>1</v>
      </c>
      <c r="W760" s="10">
        <v>0</v>
      </c>
      <c r="X760" s="10">
        <v>3</v>
      </c>
      <c r="Y760" s="11">
        <v>0.25</v>
      </c>
      <c r="Z760" s="11">
        <v>0</v>
      </c>
      <c r="AA760" s="11">
        <v>0.75</v>
      </c>
    </row>
    <row r="761" spans="21:27" x14ac:dyDescent="0.25">
      <c r="U761" s="37">
        <v>30990</v>
      </c>
      <c r="V761" s="10">
        <v>4</v>
      </c>
      <c r="W761" s="10">
        <v>2</v>
      </c>
      <c r="X761" s="10">
        <v>8</v>
      </c>
      <c r="Y761" s="11">
        <v>0.2857142857142857</v>
      </c>
      <c r="Z761" s="11">
        <v>0.14285714285714285</v>
      </c>
      <c r="AA761" s="11">
        <v>0.5714285714285714</v>
      </c>
    </row>
    <row r="762" spans="21:27" x14ac:dyDescent="0.25">
      <c r="U762" s="37">
        <v>30997</v>
      </c>
      <c r="V762" s="10">
        <v>9</v>
      </c>
      <c r="W762" s="10">
        <v>8</v>
      </c>
      <c r="X762" s="10">
        <v>8</v>
      </c>
      <c r="Y762" s="11">
        <v>0.36</v>
      </c>
      <c r="Z762" s="11">
        <v>0.32</v>
      </c>
      <c r="AA762" s="11">
        <v>0.32</v>
      </c>
    </row>
    <row r="763" spans="21:27" x14ac:dyDescent="0.25">
      <c r="U763" s="37">
        <v>31004</v>
      </c>
      <c r="V763" s="10">
        <v>17</v>
      </c>
      <c r="W763" s="10">
        <v>3</v>
      </c>
      <c r="X763" s="10">
        <v>14</v>
      </c>
      <c r="Y763" s="11">
        <v>0.5</v>
      </c>
      <c r="Z763" s="11">
        <v>8.8235294117647065E-2</v>
      </c>
      <c r="AA763" s="11">
        <v>0.41176470588235292</v>
      </c>
    </row>
    <row r="764" spans="21:27" x14ac:dyDescent="0.25">
      <c r="U764" s="37">
        <v>31011</v>
      </c>
      <c r="V764" s="10">
        <v>13</v>
      </c>
      <c r="W764" s="10">
        <v>9</v>
      </c>
      <c r="X764" s="10">
        <v>6</v>
      </c>
      <c r="Y764" s="11">
        <v>0.4642857142857143</v>
      </c>
      <c r="Z764" s="11">
        <v>0.32142857142857145</v>
      </c>
      <c r="AA764" s="11">
        <v>0.21428571428571427</v>
      </c>
    </row>
    <row r="765" spans="21:27" x14ac:dyDescent="0.25">
      <c r="U765" s="37">
        <v>31018</v>
      </c>
      <c r="V765" s="10">
        <v>12</v>
      </c>
      <c r="W765" s="10">
        <v>2</v>
      </c>
      <c r="X765" s="10">
        <v>2</v>
      </c>
      <c r="Y765" s="11">
        <v>0.75</v>
      </c>
      <c r="Z765" s="11">
        <v>0.125</v>
      </c>
      <c r="AA765" s="11">
        <v>0.125</v>
      </c>
    </row>
    <row r="766" spans="21:27" x14ac:dyDescent="0.25">
      <c r="U766" s="37">
        <v>31025</v>
      </c>
      <c r="V766" s="10">
        <v>8</v>
      </c>
      <c r="W766" s="10">
        <v>2</v>
      </c>
      <c r="X766" s="10">
        <v>4</v>
      </c>
      <c r="Y766" s="11">
        <v>0.5714285714285714</v>
      </c>
      <c r="Z766" s="11">
        <v>0.14285714285714285</v>
      </c>
      <c r="AA766" s="11">
        <v>0.2857142857142857</v>
      </c>
    </row>
    <row r="767" spans="21:27" x14ac:dyDescent="0.25">
      <c r="U767" s="37">
        <v>31032</v>
      </c>
      <c r="V767" s="10">
        <v>3</v>
      </c>
      <c r="W767" s="10">
        <v>2</v>
      </c>
      <c r="X767" s="10">
        <v>4</v>
      </c>
      <c r="Y767" s="11">
        <v>0.33333333333333331</v>
      </c>
      <c r="Z767" s="11">
        <v>0.22222222222222221</v>
      </c>
      <c r="AA767" s="11">
        <v>0.44444444444444442</v>
      </c>
    </row>
    <row r="768" spans="21:27" x14ac:dyDescent="0.25">
      <c r="U768" s="37">
        <v>31039</v>
      </c>
      <c r="V768" s="10">
        <v>6</v>
      </c>
      <c r="W768" s="10">
        <v>4</v>
      </c>
      <c r="X768" s="10">
        <v>4</v>
      </c>
      <c r="Y768" s="11">
        <v>0.42857142857142855</v>
      </c>
      <c r="Z768" s="11">
        <v>0.2857142857142857</v>
      </c>
      <c r="AA768" s="11">
        <v>0.2857142857142857</v>
      </c>
    </row>
    <row r="769" spans="21:27" x14ac:dyDescent="0.25">
      <c r="U769" s="37">
        <v>31040</v>
      </c>
      <c r="V769" s="10">
        <v>4</v>
      </c>
      <c r="W769" s="10">
        <v>2</v>
      </c>
      <c r="X769" s="10">
        <v>4</v>
      </c>
      <c r="Y769" s="11">
        <v>0.4</v>
      </c>
      <c r="Z769" s="11">
        <v>0.2</v>
      </c>
      <c r="AA769" s="11">
        <v>0.4</v>
      </c>
    </row>
    <row r="770" spans="21:27" x14ac:dyDescent="0.25">
      <c r="U770" s="37">
        <v>31041</v>
      </c>
      <c r="V770" s="10">
        <v>9</v>
      </c>
      <c r="W770" s="10">
        <v>9</v>
      </c>
      <c r="X770" s="10">
        <v>8</v>
      </c>
      <c r="Y770" s="11">
        <v>0.34615384615384615</v>
      </c>
      <c r="Z770" s="11">
        <v>0.34615384615384615</v>
      </c>
      <c r="AA770" s="11">
        <v>0.30769230769230771</v>
      </c>
    </row>
    <row r="771" spans="21:27" x14ac:dyDescent="0.25">
      <c r="U771" s="37">
        <v>31046</v>
      </c>
      <c r="V771" s="10">
        <v>6</v>
      </c>
      <c r="W771" s="10">
        <v>3</v>
      </c>
      <c r="X771" s="10">
        <v>2</v>
      </c>
      <c r="Y771" s="11">
        <v>0.54545454545454541</v>
      </c>
      <c r="Z771" s="11">
        <v>0.27272727272727271</v>
      </c>
      <c r="AA771" s="11">
        <v>0.18181818181818182</v>
      </c>
    </row>
    <row r="772" spans="21:27" x14ac:dyDescent="0.25">
      <c r="U772" s="37">
        <v>31053</v>
      </c>
      <c r="V772" s="10">
        <v>16</v>
      </c>
      <c r="W772" s="10">
        <v>5</v>
      </c>
      <c r="X772" s="10">
        <v>13</v>
      </c>
      <c r="Y772" s="11">
        <v>0.47058823529411764</v>
      </c>
      <c r="Z772" s="11">
        <v>0.14705882352941177</v>
      </c>
      <c r="AA772" s="11">
        <v>0.38235294117647056</v>
      </c>
    </row>
    <row r="773" spans="21:27" x14ac:dyDescent="0.25">
      <c r="U773" s="37">
        <v>31060</v>
      </c>
      <c r="V773" s="10">
        <v>1</v>
      </c>
      <c r="W773" s="10">
        <v>6</v>
      </c>
      <c r="X773" s="10">
        <v>17</v>
      </c>
      <c r="Y773" s="11">
        <v>4.1666666666666664E-2</v>
      </c>
      <c r="Z773" s="11">
        <v>0.25</v>
      </c>
      <c r="AA773" s="11">
        <v>0.70833333333333337</v>
      </c>
    </row>
    <row r="774" spans="21:27" x14ac:dyDescent="0.25">
      <c r="U774" s="37">
        <v>31067</v>
      </c>
      <c r="V774" s="10">
        <v>4</v>
      </c>
      <c r="W774" s="10">
        <v>5</v>
      </c>
      <c r="X774" s="10">
        <v>21</v>
      </c>
      <c r="Y774" s="11">
        <v>0.13333333333333333</v>
      </c>
      <c r="Z774" s="11">
        <v>0.16666666666666666</v>
      </c>
      <c r="AA774" s="11">
        <v>0.7</v>
      </c>
    </row>
    <row r="775" spans="21:27" x14ac:dyDescent="0.25">
      <c r="U775" s="37">
        <v>31074</v>
      </c>
      <c r="V775" s="10">
        <v>9</v>
      </c>
      <c r="W775" s="10">
        <v>8</v>
      </c>
      <c r="X775" s="10">
        <v>19</v>
      </c>
      <c r="Y775" s="11">
        <v>0.25</v>
      </c>
      <c r="Z775" s="11">
        <v>0.22222222222222221</v>
      </c>
      <c r="AA775" s="11">
        <v>0.52777777777777779</v>
      </c>
    </row>
    <row r="776" spans="21:27" x14ac:dyDescent="0.25">
      <c r="U776" s="37">
        <v>31081</v>
      </c>
      <c r="V776" s="10">
        <v>9</v>
      </c>
      <c r="W776" s="10">
        <v>5</v>
      </c>
      <c r="X776" s="10">
        <v>9</v>
      </c>
      <c r="Y776" s="11">
        <v>0.39130434782608697</v>
      </c>
      <c r="Z776" s="11">
        <v>0.21739130434782608</v>
      </c>
      <c r="AA776" s="11">
        <v>0.39130434782608697</v>
      </c>
    </row>
    <row r="777" spans="21:27" x14ac:dyDescent="0.25">
      <c r="U777" s="37">
        <v>31088</v>
      </c>
      <c r="V777" s="10">
        <v>6</v>
      </c>
      <c r="W777" s="10">
        <v>3</v>
      </c>
      <c r="X777" s="10">
        <v>3</v>
      </c>
      <c r="Y777" s="11">
        <v>0.5</v>
      </c>
      <c r="Z777" s="11">
        <v>0.25</v>
      </c>
      <c r="AA777" s="11">
        <v>0.25</v>
      </c>
    </row>
    <row r="778" spans="21:27" x14ac:dyDescent="0.25">
      <c r="U778" s="37">
        <v>31095</v>
      </c>
      <c r="V778" s="10">
        <v>6</v>
      </c>
      <c r="W778" s="10">
        <v>5</v>
      </c>
      <c r="X778" s="10">
        <v>6</v>
      </c>
      <c r="Y778" s="11">
        <v>0.35294117647058826</v>
      </c>
      <c r="Z778" s="11">
        <v>0.29411764705882354</v>
      </c>
      <c r="AA778" s="11">
        <v>0.35294117647058826</v>
      </c>
    </row>
    <row r="779" spans="21:27" x14ac:dyDescent="0.25">
      <c r="U779" s="37">
        <v>31102</v>
      </c>
      <c r="V779" s="10">
        <v>3</v>
      </c>
      <c r="W779" s="10">
        <v>3</v>
      </c>
      <c r="X779" s="10">
        <v>18</v>
      </c>
      <c r="Y779" s="11">
        <v>0.125</v>
      </c>
      <c r="Z779" s="11">
        <v>0.125</v>
      </c>
      <c r="AA779" s="11">
        <v>0.75</v>
      </c>
    </row>
    <row r="780" spans="21:27" x14ac:dyDescent="0.25">
      <c r="U780" s="37">
        <v>31109</v>
      </c>
      <c r="V780" s="10">
        <v>8</v>
      </c>
      <c r="W780" s="10">
        <v>6</v>
      </c>
      <c r="X780" s="10">
        <v>6</v>
      </c>
      <c r="Y780" s="11">
        <v>0.4</v>
      </c>
      <c r="Z780" s="11">
        <v>0.3</v>
      </c>
      <c r="AA780" s="11">
        <v>0.3</v>
      </c>
    </row>
    <row r="781" spans="21:27" x14ac:dyDescent="0.25">
      <c r="U781" s="37">
        <v>31116</v>
      </c>
      <c r="V781" s="10">
        <v>11</v>
      </c>
      <c r="W781" s="10">
        <v>6</v>
      </c>
      <c r="X781" s="10">
        <v>15</v>
      </c>
      <c r="Y781" s="11">
        <v>0.34375</v>
      </c>
      <c r="Z781" s="11">
        <v>0.1875</v>
      </c>
      <c r="AA781" s="11">
        <v>0.46875</v>
      </c>
    </row>
    <row r="782" spans="21:27" x14ac:dyDescent="0.25">
      <c r="U782" s="37">
        <v>31123</v>
      </c>
      <c r="V782" s="10">
        <v>3</v>
      </c>
      <c r="W782" s="10">
        <v>0</v>
      </c>
      <c r="X782" s="10">
        <v>4</v>
      </c>
      <c r="Y782" s="11">
        <v>0.42857142857142855</v>
      </c>
      <c r="Z782" s="11">
        <v>0</v>
      </c>
      <c r="AA782" s="11">
        <v>0.5714285714285714</v>
      </c>
    </row>
    <row r="783" spans="21:27" x14ac:dyDescent="0.25">
      <c r="U783" s="37">
        <v>31130</v>
      </c>
      <c r="V783" s="10">
        <v>5</v>
      </c>
      <c r="W783" s="10">
        <v>7</v>
      </c>
      <c r="X783" s="10">
        <v>13</v>
      </c>
      <c r="Y783" s="11">
        <v>0.2</v>
      </c>
      <c r="Z783" s="11">
        <v>0.28000000000000003</v>
      </c>
      <c r="AA783" s="11">
        <v>0.52</v>
      </c>
    </row>
    <row r="784" spans="21:27" x14ac:dyDescent="0.25">
      <c r="U784" s="37">
        <v>31137</v>
      </c>
      <c r="V784" s="10">
        <v>1</v>
      </c>
      <c r="W784" s="10">
        <v>1</v>
      </c>
      <c r="X784" s="10">
        <v>6</v>
      </c>
      <c r="Y784" s="11">
        <v>0.125</v>
      </c>
      <c r="Z784" s="11">
        <v>0.125</v>
      </c>
      <c r="AA784" s="11">
        <v>0.75</v>
      </c>
    </row>
    <row r="785" spans="21:27" x14ac:dyDescent="0.25">
      <c r="U785" s="37">
        <v>31144</v>
      </c>
      <c r="V785" s="10">
        <v>6</v>
      </c>
      <c r="W785" s="10">
        <v>1</v>
      </c>
      <c r="X785" s="10">
        <v>13</v>
      </c>
      <c r="Y785" s="11">
        <v>0.3</v>
      </c>
      <c r="Z785" s="11">
        <v>0.05</v>
      </c>
      <c r="AA785" s="11">
        <v>0.65</v>
      </c>
    </row>
    <row r="786" spans="21:27" x14ac:dyDescent="0.25">
      <c r="U786" s="37">
        <v>31151</v>
      </c>
      <c r="V786" s="10">
        <v>14</v>
      </c>
      <c r="W786" s="10">
        <v>13</v>
      </c>
      <c r="X786" s="10">
        <v>15</v>
      </c>
      <c r="Y786" s="11">
        <v>0.33333333333333331</v>
      </c>
      <c r="Z786" s="11">
        <v>0.30952380952380953</v>
      </c>
      <c r="AA786" s="11">
        <v>0.35714285714285715</v>
      </c>
    </row>
    <row r="787" spans="21:27" x14ac:dyDescent="0.25">
      <c r="U787" s="37">
        <v>31158</v>
      </c>
      <c r="V787" s="10">
        <v>15</v>
      </c>
      <c r="W787" s="10">
        <v>2</v>
      </c>
      <c r="X787" s="10">
        <v>4</v>
      </c>
      <c r="Y787" s="11">
        <v>0.7142857142857143</v>
      </c>
      <c r="Z787" s="11">
        <v>9.5238095238095233E-2</v>
      </c>
      <c r="AA787" s="11">
        <v>0.19047619047619047</v>
      </c>
    </row>
    <row r="788" spans="21:27" x14ac:dyDescent="0.25">
      <c r="U788" s="37">
        <v>31165</v>
      </c>
      <c r="V788" s="10">
        <v>20</v>
      </c>
      <c r="W788" s="10">
        <v>2</v>
      </c>
      <c r="X788" s="10">
        <v>6</v>
      </c>
      <c r="Y788" s="11">
        <v>0.7142857142857143</v>
      </c>
      <c r="Z788" s="11">
        <v>7.1428571428571425E-2</v>
      </c>
      <c r="AA788" s="11">
        <v>0.21428571428571427</v>
      </c>
    </row>
    <row r="789" spans="21:27" x14ac:dyDescent="0.25">
      <c r="U789" s="37">
        <v>31172</v>
      </c>
      <c r="V789" s="10">
        <v>5</v>
      </c>
      <c r="W789" s="10">
        <v>8</v>
      </c>
      <c r="X789" s="10">
        <v>19</v>
      </c>
      <c r="Y789" s="11">
        <v>0.15625</v>
      </c>
      <c r="Z789" s="11">
        <v>0.25</v>
      </c>
      <c r="AA789" s="11">
        <v>0.59375</v>
      </c>
    </row>
    <row r="790" spans="21:27" x14ac:dyDescent="0.25">
      <c r="U790" s="37">
        <v>31179</v>
      </c>
      <c r="V790" s="10">
        <v>5</v>
      </c>
      <c r="W790" s="10">
        <v>1</v>
      </c>
      <c r="X790" s="10">
        <v>14</v>
      </c>
      <c r="Y790" s="11">
        <v>0.25</v>
      </c>
      <c r="Z790" s="11">
        <v>0.05</v>
      </c>
      <c r="AA790" s="11">
        <v>0.7</v>
      </c>
    </row>
    <row r="791" spans="21:27" x14ac:dyDescent="0.25">
      <c r="U791" s="37">
        <v>31186</v>
      </c>
      <c r="V791" s="10">
        <v>4</v>
      </c>
      <c r="W791" s="10">
        <v>2</v>
      </c>
      <c r="X791" s="10">
        <v>10</v>
      </c>
      <c r="Y791" s="11">
        <v>0.25</v>
      </c>
      <c r="Z791" s="11">
        <v>0.125</v>
      </c>
      <c r="AA791" s="11">
        <v>0.625</v>
      </c>
    </row>
    <row r="792" spans="21:27" x14ac:dyDescent="0.25">
      <c r="U792" s="37">
        <v>31193</v>
      </c>
      <c r="V792" s="10">
        <v>4</v>
      </c>
      <c r="W792" s="10">
        <v>5</v>
      </c>
      <c r="X792" s="10">
        <v>10</v>
      </c>
      <c r="Y792" s="11">
        <v>0.21052631578947367</v>
      </c>
      <c r="Z792" s="11">
        <v>0.26315789473684209</v>
      </c>
      <c r="AA792" s="11">
        <v>0.52631578947368418</v>
      </c>
    </row>
    <row r="793" spans="21:27" x14ac:dyDescent="0.25">
      <c r="U793" s="37">
        <v>31200</v>
      </c>
      <c r="V793" s="10">
        <v>13</v>
      </c>
      <c r="W793" s="10">
        <v>3</v>
      </c>
      <c r="X793" s="10">
        <v>12</v>
      </c>
      <c r="Y793" s="11">
        <v>0.4642857142857143</v>
      </c>
      <c r="Z793" s="11">
        <v>0.10714285714285714</v>
      </c>
      <c r="AA793" s="11">
        <v>0.42857142857142855</v>
      </c>
    </row>
    <row r="794" spans="21:27" x14ac:dyDescent="0.25">
      <c r="U794" s="37">
        <v>31207</v>
      </c>
      <c r="V794" s="10">
        <v>7</v>
      </c>
      <c r="W794" s="10">
        <v>1</v>
      </c>
      <c r="X794" s="10">
        <v>8</v>
      </c>
      <c r="Y794" s="11">
        <v>0.4375</v>
      </c>
      <c r="Z794" s="11">
        <v>6.25E-2</v>
      </c>
      <c r="AA794" s="11">
        <v>0.5</v>
      </c>
    </row>
    <row r="795" spans="21:27" x14ac:dyDescent="0.25">
      <c r="U795" s="37">
        <v>31214</v>
      </c>
      <c r="V795" s="10">
        <v>5</v>
      </c>
      <c r="W795" s="10">
        <v>5</v>
      </c>
      <c r="X795" s="10">
        <v>5</v>
      </c>
      <c r="Y795" s="11">
        <v>0.33333333333333331</v>
      </c>
      <c r="Z795" s="11">
        <v>0.33333333333333331</v>
      </c>
      <c r="AA795" s="11">
        <v>0.33333333333333331</v>
      </c>
    </row>
    <row r="796" spans="21:27" x14ac:dyDescent="0.25">
      <c r="U796" s="37">
        <v>31221</v>
      </c>
      <c r="V796" s="10">
        <v>6</v>
      </c>
      <c r="W796" s="10">
        <v>9</v>
      </c>
      <c r="X796" s="10">
        <v>7</v>
      </c>
      <c r="Y796" s="11">
        <v>0.27272727272727271</v>
      </c>
      <c r="Z796" s="11">
        <v>0.40909090909090912</v>
      </c>
      <c r="AA796" s="11">
        <v>0.31818181818181818</v>
      </c>
    </row>
    <row r="797" spans="21:27" x14ac:dyDescent="0.25">
      <c r="U797" s="37">
        <v>31228</v>
      </c>
      <c r="V797" s="10">
        <v>15</v>
      </c>
      <c r="W797" s="10">
        <v>6</v>
      </c>
      <c r="X797" s="10">
        <v>8</v>
      </c>
      <c r="Y797" s="11">
        <v>0.51724137931034486</v>
      </c>
      <c r="Z797" s="11">
        <v>0.20689655172413793</v>
      </c>
      <c r="AA797" s="11">
        <v>0.27586206896551724</v>
      </c>
    </row>
    <row r="798" spans="21:27" x14ac:dyDescent="0.25">
      <c r="U798" s="37">
        <v>31235</v>
      </c>
      <c r="V798" s="10">
        <v>11</v>
      </c>
      <c r="W798" s="10">
        <v>7</v>
      </c>
      <c r="X798" s="10">
        <v>14</v>
      </c>
      <c r="Y798" s="11">
        <v>0.34375</v>
      </c>
      <c r="Z798" s="11">
        <v>0.21875</v>
      </c>
      <c r="AA798" s="11">
        <v>0.4375</v>
      </c>
    </row>
    <row r="799" spans="21:27" x14ac:dyDescent="0.25">
      <c r="U799" s="37">
        <v>31242</v>
      </c>
      <c r="V799" s="10">
        <v>4</v>
      </c>
      <c r="W799" s="10">
        <v>3</v>
      </c>
      <c r="X799" s="10">
        <v>8</v>
      </c>
      <c r="Y799" s="11">
        <v>0.26666666666666666</v>
      </c>
      <c r="Z799" s="11">
        <v>0.2</v>
      </c>
      <c r="AA799" s="11">
        <v>0.53333333333333333</v>
      </c>
    </row>
    <row r="800" spans="21:27" x14ac:dyDescent="0.25">
      <c r="U800" s="37">
        <v>31249</v>
      </c>
      <c r="V800" s="10">
        <v>6</v>
      </c>
      <c r="W800" s="10">
        <v>3</v>
      </c>
      <c r="X800" s="10">
        <v>7</v>
      </c>
      <c r="Y800" s="11">
        <v>0.375</v>
      </c>
      <c r="Z800" s="11">
        <v>0.1875</v>
      </c>
      <c r="AA800" s="11">
        <v>0.4375</v>
      </c>
    </row>
    <row r="801" spans="21:27" x14ac:dyDescent="0.25">
      <c r="U801" s="37">
        <v>31256</v>
      </c>
      <c r="V801" s="10">
        <v>3</v>
      </c>
      <c r="W801" s="10">
        <v>1</v>
      </c>
      <c r="X801" s="10">
        <v>6</v>
      </c>
      <c r="Y801" s="11">
        <v>0.3</v>
      </c>
      <c r="Z801" s="11">
        <v>0.1</v>
      </c>
      <c r="AA801" s="11">
        <v>0.6</v>
      </c>
    </row>
    <row r="802" spans="21:27" x14ac:dyDescent="0.25">
      <c r="U802" s="37">
        <v>31263</v>
      </c>
      <c r="V802" s="10">
        <v>6</v>
      </c>
      <c r="W802" s="10">
        <v>2</v>
      </c>
      <c r="X802" s="10">
        <v>10</v>
      </c>
      <c r="Y802" s="11">
        <v>0.33333333333333331</v>
      </c>
      <c r="Z802" s="11">
        <v>0.1111111111111111</v>
      </c>
      <c r="AA802" s="11">
        <v>0.55555555555555558</v>
      </c>
    </row>
    <row r="803" spans="21:27" x14ac:dyDescent="0.25">
      <c r="U803" s="37">
        <v>31270</v>
      </c>
      <c r="V803" s="10">
        <v>15</v>
      </c>
      <c r="W803" s="10">
        <v>7</v>
      </c>
      <c r="X803" s="10">
        <v>22</v>
      </c>
      <c r="Y803" s="11">
        <v>0.34090909090909088</v>
      </c>
      <c r="Z803" s="11">
        <v>0.15909090909090909</v>
      </c>
      <c r="AA803" s="11">
        <v>0.5</v>
      </c>
    </row>
    <row r="804" spans="21:27" x14ac:dyDescent="0.25">
      <c r="U804" s="37">
        <v>31274</v>
      </c>
      <c r="V804" s="10">
        <v>8</v>
      </c>
      <c r="W804" s="10">
        <v>2</v>
      </c>
      <c r="X804" s="10">
        <v>8</v>
      </c>
      <c r="Y804" s="11">
        <v>0.44444444444444442</v>
      </c>
      <c r="Z804" s="11">
        <v>0.1111111111111111</v>
      </c>
      <c r="AA804" s="11">
        <v>0.44444444444444442</v>
      </c>
    </row>
    <row r="805" spans="21:27" x14ac:dyDescent="0.25">
      <c r="U805" s="37">
        <v>31277</v>
      </c>
      <c r="V805" s="10">
        <v>7</v>
      </c>
      <c r="W805" s="10">
        <v>5</v>
      </c>
      <c r="X805" s="10">
        <v>10</v>
      </c>
      <c r="Y805" s="11">
        <v>0.31818181818181818</v>
      </c>
      <c r="Z805" s="11">
        <v>0.22727272727272727</v>
      </c>
      <c r="AA805" s="11">
        <v>0.45454545454545453</v>
      </c>
    </row>
    <row r="806" spans="21:27" x14ac:dyDescent="0.25">
      <c r="U806" s="37">
        <v>31284</v>
      </c>
      <c r="V806" s="10">
        <v>10</v>
      </c>
      <c r="W806" s="10">
        <v>4</v>
      </c>
      <c r="X806" s="10">
        <v>12</v>
      </c>
      <c r="Y806" s="11">
        <v>0.38461538461538464</v>
      </c>
      <c r="Z806" s="11">
        <v>0.15384615384615385</v>
      </c>
      <c r="AA806" s="11">
        <v>0.46153846153846156</v>
      </c>
    </row>
    <row r="807" spans="21:27" x14ac:dyDescent="0.25">
      <c r="U807" s="37">
        <v>31291</v>
      </c>
      <c r="V807" s="10">
        <v>10</v>
      </c>
      <c r="W807" s="10">
        <v>10</v>
      </c>
      <c r="X807" s="10">
        <v>23</v>
      </c>
      <c r="Y807" s="11">
        <v>0.23255813953488372</v>
      </c>
      <c r="Z807" s="11">
        <v>0.23255813953488372</v>
      </c>
      <c r="AA807" s="11">
        <v>0.53488372093023251</v>
      </c>
    </row>
    <row r="808" spans="21:27" x14ac:dyDescent="0.25">
      <c r="U808" s="37">
        <v>31298</v>
      </c>
      <c r="V808" s="10">
        <v>8</v>
      </c>
      <c r="W808" s="10">
        <v>5</v>
      </c>
      <c r="X808" s="10">
        <v>16</v>
      </c>
      <c r="Y808" s="11">
        <v>0.27586206896551724</v>
      </c>
      <c r="Z808" s="11">
        <v>0.17241379310344829</v>
      </c>
      <c r="AA808" s="11">
        <v>0.55172413793103448</v>
      </c>
    </row>
    <row r="809" spans="21:27" x14ac:dyDescent="0.25">
      <c r="U809" s="37">
        <v>31305</v>
      </c>
      <c r="V809" s="10">
        <v>8</v>
      </c>
      <c r="W809" s="10">
        <v>5</v>
      </c>
      <c r="X809" s="10">
        <v>19</v>
      </c>
      <c r="Y809" s="11">
        <v>0.25</v>
      </c>
      <c r="Z809" s="11">
        <v>0.15625</v>
      </c>
      <c r="AA809" s="11">
        <v>0.59375</v>
      </c>
    </row>
    <row r="810" spans="21:27" x14ac:dyDescent="0.25">
      <c r="U810" s="37">
        <v>31312</v>
      </c>
      <c r="V810" s="10">
        <v>5</v>
      </c>
      <c r="W810" s="10">
        <v>1</v>
      </c>
      <c r="X810" s="10">
        <v>1</v>
      </c>
      <c r="Y810" s="11">
        <v>0.7142857142857143</v>
      </c>
      <c r="Z810" s="11">
        <v>0.14285714285714285</v>
      </c>
      <c r="AA810" s="11">
        <v>0.14285714285714285</v>
      </c>
    </row>
    <row r="811" spans="21:27" x14ac:dyDescent="0.25">
      <c r="U811" s="37">
        <v>31319</v>
      </c>
      <c r="V811" s="10">
        <v>14</v>
      </c>
      <c r="W811" s="10">
        <v>7</v>
      </c>
      <c r="X811" s="10">
        <v>7</v>
      </c>
      <c r="Y811" s="11">
        <v>0.5</v>
      </c>
      <c r="Z811" s="11">
        <v>0.25</v>
      </c>
      <c r="AA811" s="11">
        <v>0.25</v>
      </c>
    </row>
    <row r="812" spans="21:27" x14ac:dyDescent="0.25">
      <c r="U812" s="37">
        <v>31326</v>
      </c>
      <c r="V812" s="10">
        <v>6</v>
      </c>
      <c r="W812" s="10">
        <v>2</v>
      </c>
      <c r="X812" s="10">
        <v>12</v>
      </c>
      <c r="Y812" s="11">
        <v>0.3</v>
      </c>
      <c r="Z812" s="11">
        <v>0.1</v>
      </c>
      <c r="AA812" s="11">
        <v>0.6</v>
      </c>
    </row>
    <row r="813" spans="21:27" x14ac:dyDescent="0.25">
      <c r="U813" s="37">
        <v>31333</v>
      </c>
      <c r="V813" s="10">
        <v>19</v>
      </c>
      <c r="W813" s="10">
        <v>8</v>
      </c>
      <c r="X813" s="10">
        <v>12</v>
      </c>
      <c r="Y813" s="11">
        <v>0.48717948717948717</v>
      </c>
      <c r="Z813" s="11">
        <v>0.20512820512820512</v>
      </c>
      <c r="AA813" s="11">
        <v>0.30769230769230771</v>
      </c>
    </row>
    <row r="814" spans="21:27" x14ac:dyDescent="0.25">
      <c r="U814" s="37">
        <v>31340</v>
      </c>
      <c r="V814" s="10">
        <v>6</v>
      </c>
      <c r="W814" s="10">
        <v>3</v>
      </c>
      <c r="X814" s="10">
        <v>8</v>
      </c>
      <c r="Y814" s="11">
        <v>0.35294117647058826</v>
      </c>
      <c r="Z814" s="11">
        <v>0.17647058823529413</v>
      </c>
      <c r="AA814" s="11">
        <v>0.47058823529411764</v>
      </c>
    </row>
    <row r="815" spans="21:27" x14ac:dyDescent="0.25">
      <c r="U815" s="37">
        <v>31347</v>
      </c>
      <c r="V815" s="10">
        <v>9</v>
      </c>
      <c r="W815" s="10">
        <v>10</v>
      </c>
      <c r="X815" s="10">
        <v>9</v>
      </c>
      <c r="Y815" s="11">
        <v>0.32142857142857145</v>
      </c>
      <c r="Z815" s="11">
        <v>0.35714285714285715</v>
      </c>
      <c r="AA815" s="11">
        <v>0.32142857142857145</v>
      </c>
    </row>
    <row r="816" spans="21:27" x14ac:dyDescent="0.25">
      <c r="U816" s="37">
        <v>31352</v>
      </c>
      <c r="V816" s="10">
        <v>14</v>
      </c>
      <c r="W816" s="10">
        <v>2</v>
      </c>
      <c r="X816" s="10">
        <v>9</v>
      </c>
      <c r="Y816" s="11">
        <v>0.56000000000000005</v>
      </c>
      <c r="Z816" s="11">
        <v>0.08</v>
      </c>
      <c r="AA816" s="11">
        <v>0.36</v>
      </c>
    </row>
    <row r="817" spans="21:27" x14ac:dyDescent="0.25">
      <c r="U817" s="37">
        <v>31354</v>
      </c>
      <c r="V817" s="10">
        <v>9</v>
      </c>
      <c r="W817" s="10">
        <v>6</v>
      </c>
      <c r="X817" s="10">
        <v>12</v>
      </c>
      <c r="Y817" s="11">
        <v>0.33333333333333331</v>
      </c>
      <c r="Z817" s="11">
        <v>0.22222222222222221</v>
      </c>
      <c r="AA817" s="11">
        <v>0.44444444444444442</v>
      </c>
    </row>
    <row r="818" spans="21:27" x14ac:dyDescent="0.25">
      <c r="U818" s="37">
        <v>31361</v>
      </c>
      <c r="V818" s="10">
        <v>14</v>
      </c>
      <c r="W818" s="10">
        <v>7</v>
      </c>
      <c r="X818" s="10">
        <v>8</v>
      </c>
      <c r="Y818" s="11">
        <v>0.48275862068965519</v>
      </c>
      <c r="Z818" s="11">
        <v>0.2413793103448276</v>
      </c>
      <c r="AA818" s="11">
        <v>0.27586206896551724</v>
      </c>
    </row>
    <row r="819" spans="21:27" x14ac:dyDescent="0.25">
      <c r="U819" s="37">
        <v>31368</v>
      </c>
      <c r="V819" s="10">
        <v>8</v>
      </c>
      <c r="W819" s="10">
        <v>5</v>
      </c>
      <c r="X819" s="10">
        <v>7</v>
      </c>
      <c r="Y819" s="11">
        <v>0.4</v>
      </c>
      <c r="Z819" s="11">
        <v>0.25</v>
      </c>
      <c r="AA819" s="11">
        <v>0.35</v>
      </c>
    </row>
    <row r="820" spans="21:27" x14ac:dyDescent="0.25">
      <c r="U820" s="37">
        <v>31382</v>
      </c>
      <c r="V820" s="10">
        <v>16</v>
      </c>
      <c r="W820" s="10">
        <v>4</v>
      </c>
      <c r="X820" s="10">
        <v>19</v>
      </c>
      <c r="Y820" s="11">
        <v>0.41025641025641024</v>
      </c>
      <c r="Z820" s="11">
        <v>0.10256410256410256</v>
      </c>
      <c r="AA820" s="11">
        <v>0.48717948717948717</v>
      </c>
    </row>
    <row r="821" spans="21:27" x14ac:dyDescent="0.25">
      <c r="U821" s="37">
        <v>31389</v>
      </c>
      <c r="V821" s="10">
        <v>4</v>
      </c>
      <c r="W821" s="10">
        <v>4</v>
      </c>
      <c r="X821" s="10">
        <v>8</v>
      </c>
      <c r="Y821" s="11">
        <v>0.25</v>
      </c>
      <c r="Z821" s="11">
        <v>0.25</v>
      </c>
      <c r="AA821" s="11">
        <v>0.5</v>
      </c>
    </row>
    <row r="822" spans="21:27" x14ac:dyDescent="0.25">
      <c r="U822" s="37">
        <v>31396</v>
      </c>
      <c r="V822" s="10">
        <v>6</v>
      </c>
      <c r="W822" s="10">
        <v>7</v>
      </c>
      <c r="X822" s="10">
        <v>19</v>
      </c>
      <c r="Y822" s="11">
        <v>0.1875</v>
      </c>
      <c r="Z822" s="11">
        <v>0.21875</v>
      </c>
      <c r="AA822" s="11">
        <v>0.59375</v>
      </c>
    </row>
    <row r="823" spans="21:27" x14ac:dyDescent="0.25">
      <c r="U823" s="37">
        <v>31403</v>
      </c>
      <c r="V823" s="10">
        <v>10</v>
      </c>
      <c r="W823" s="10">
        <v>6</v>
      </c>
      <c r="X823" s="10">
        <v>11</v>
      </c>
      <c r="Y823" s="11">
        <v>0.37037037037037035</v>
      </c>
      <c r="Z823" s="11">
        <v>0.22222222222222221</v>
      </c>
      <c r="AA823" s="11">
        <v>0.40740740740740738</v>
      </c>
    </row>
    <row r="824" spans="21:27" x14ac:dyDescent="0.25">
      <c r="U824" s="37">
        <v>31405</v>
      </c>
      <c r="V824" s="10">
        <v>6</v>
      </c>
      <c r="W824" s="10">
        <v>1</v>
      </c>
      <c r="X824" s="10">
        <v>12</v>
      </c>
      <c r="Y824" s="11">
        <v>0.31578947368421051</v>
      </c>
      <c r="Z824" s="11">
        <v>5.2631578947368418E-2</v>
      </c>
      <c r="AA824" s="11">
        <v>0.63157894736842102</v>
      </c>
    </row>
    <row r="825" spans="21:27" x14ac:dyDescent="0.25">
      <c r="U825" s="37">
        <v>31406</v>
      </c>
      <c r="V825" s="10">
        <v>2</v>
      </c>
      <c r="W825" s="10">
        <v>3</v>
      </c>
      <c r="X825" s="10">
        <v>9</v>
      </c>
      <c r="Y825" s="11">
        <v>0.14285714285714285</v>
      </c>
      <c r="Z825" s="11">
        <v>0.21428571428571427</v>
      </c>
      <c r="AA825" s="11">
        <v>0.6428571428571429</v>
      </c>
    </row>
    <row r="826" spans="21:27" x14ac:dyDescent="0.25">
      <c r="U826" s="37">
        <v>31410</v>
      </c>
      <c r="V826" s="10">
        <v>17</v>
      </c>
      <c r="W826" s="10">
        <v>14</v>
      </c>
      <c r="X826" s="10">
        <v>19</v>
      </c>
      <c r="Y826" s="11">
        <v>0.34</v>
      </c>
      <c r="Z826" s="11">
        <v>0.28000000000000003</v>
      </c>
      <c r="AA826" s="11">
        <v>0.38</v>
      </c>
    </row>
    <row r="827" spans="21:27" x14ac:dyDescent="0.25">
      <c r="U827" s="37">
        <v>31417</v>
      </c>
      <c r="V827" s="10">
        <v>2</v>
      </c>
      <c r="W827" s="10">
        <v>1</v>
      </c>
      <c r="X827" s="10">
        <v>4</v>
      </c>
      <c r="Y827" s="11">
        <v>0.2857142857142857</v>
      </c>
      <c r="Z827" s="11">
        <v>0.14285714285714285</v>
      </c>
      <c r="AA827" s="11">
        <v>0.5714285714285714</v>
      </c>
    </row>
    <row r="828" spans="21:27" x14ac:dyDescent="0.25">
      <c r="U828" s="37">
        <v>31424</v>
      </c>
      <c r="V828" s="10">
        <v>5</v>
      </c>
      <c r="W828" s="10">
        <v>8</v>
      </c>
      <c r="X828" s="10">
        <v>10</v>
      </c>
      <c r="Y828" s="11">
        <v>0.21739130434782608</v>
      </c>
      <c r="Z828" s="11">
        <v>0.34782608695652173</v>
      </c>
      <c r="AA828" s="11">
        <v>0.43478260869565216</v>
      </c>
    </row>
    <row r="829" spans="21:27" x14ac:dyDescent="0.25">
      <c r="U829" s="37">
        <v>31431</v>
      </c>
      <c r="V829" s="10">
        <v>3</v>
      </c>
      <c r="W829" s="10">
        <v>5</v>
      </c>
      <c r="X829" s="10">
        <v>11</v>
      </c>
      <c r="Y829" s="11">
        <v>0.15789473684210525</v>
      </c>
      <c r="Z829" s="11">
        <v>0.26315789473684209</v>
      </c>
      <c r="AA829" s="11">
        <v>0.57894736842105265</v>
      </c>
    </row>
    <row r="830" spans="21:27" x14ac:dyDescent="0.25">
      <c r="U830" s="37">
        <v>31438</v>
      </c>
      <c r="V830" s="10">
        <v>3</v>
      </c>
      <c r="W830" s="10">
        <v>10</v>
      </c>
      <c r="X830" s="10">
        <v>10</v>
      </c>
      <c r="Y830" s="11">
        <v>0.13043478260869565</v>
      </c>
      <c r="Z830" s="11">
        <v>0.43478260869565216</v>
      </c>
      <c r="AA830" s="11">
        <v>0.43478260869565216</v>
      </c>
    </row>
    <row r="831" spans="21:27" x14ac:dyDescent="0.25">
      <c r="U831" s="37">
        <v>31445</v>
      </c>
      <c r="V831" s="10">
        <v>2</v>
      </c>
      <c r="W831" s="10">
        <v>7</v>
      </c>
      <c r="X831" s="10">
        <v>3</v>
      </c>
      <c r="Y831" s="11">
        <v>0.16666666666666666</v>
      </c>
      <c r="Z831" s="11">
        <v>0.58333333333333337</v>
      </c>
      <c r="AA831" s="11">
        <v>0.25</v>
      </c>
    </row>
    <row r="832" spans="21:27" x14ac:dyDescent="0.25">
      <c r="U832" s="37">
        <v>31452</v>
      </c>
      <c r="V832" s="10">
        <v>8</v>
      </c>
      <c r="W832" s="10">
        <v>2</v>
      </c>
      <c r="X832" s="10">
        <v>5</v>
      </c>
      <c r="Y832" s="11">
        <v>0.53333333333333333</v>
      </c>
      <c r="Z832" s="11">
        <v>0.13333333333333333</v>
      </c>
      <c r="AA832" s="11">
        <v>0.33333333333333331</v>
      </c>
    </row>
    <row r="833" spans="21:27" x14ac:dyDescent="0.25">
      <c r="U833" s="37">
        <v>31459</v>
      </c>
      <c r="V833" s="10">
        <v>12</v>
      </c>
      <c r="W833" s="10">
        <v>0</v>
      </c>
      <c r="X833" s="10">
        <v>5</v>
      </c>
      <c r="Y833" s="11">
        <v>0.70588235294117652</v>
      </c>
      <c r="Z833" s="11">
        <v>0</v>
      </c>
      <c r="AA833" s="11">
        <v>0.29411764705882354</v>
      </c>
    </row>
    <row r="834" spans="21:27" x14ac:dyDescent="0.25">
      <c r="U834" s="37">
        <v>31466</v>
      </c>
      <c r="V834" s="10">
        <v>6</v>
      </c>
      <c r="W834" s="10">
        <v>5</v>
      </c>
      <c r="X834" s="10">
        <v>6</v>
      </c>
      <c r="Y834" s="11">
        <v>0.35294117647058826</v>
      </c>
      <c r="Z834" s="11">
        <v>0.29411764705882354</v>
      </c>
      <c r="AA834" s="11">
        <v>0.35294117647058826</v>
      </c>
    </row>
    <row r="835" spans="21:27" x14ac:dyDescent="0.25">
      <c r="U835" s="37">
        <v>31473</v>
      </c>
      <c r="V835" s="10">
        <v>6</v>
      </c>
      <c r="W835" s="10">
        <v>6</v>
      </c>
      <c r="X835" s="10">
        <v>8</v>
      </c>
      <c r="Y835" s="11">
        <v>0.3</v>
      </c>
      <c r="Z835" s="11">
        <v>0.3</v>
      </c>
      <c r="AA835" s="11">
        <v>0.4</v>
      </c>
    </row>
    <row r="836" spans="21:27" x14ac:dyDescent="0.25">
      <c r="U836" s="37">
        <v>31480</v>
      </c>
      <c r="V836" s="10">
        <v>1</v>
      </c>
      <c r="W836" s="10">
        <v>0</v>
      </c>
      <c r="X836" s="10">
        <v>3</v>
      </c>
      <c r="Y836" s="11">
        <v>0.25</v>
      </c>
      <c r="Z836" s="11">
        <v>0</v>
      </c>
      <c r="AA836" s="11">
        <v>0.75</v>
      </c>
    </row>
    <row r="837" spans="21:27" x14ac:dyDescent="0.25">
      <c r="U837" s="37">
        <v>31487</v>
      </c>
      <c r="V837" s="10">
        <v>17</v>
      </c>
      <c r="W837" s="10">
        <v>2</v>
      </c>
      <c r="X837" s="10">
        <v>9</v>
      </c>
      <c r="Y837" s="11">
        <v>0.6071428571428571</v>
      </c>
      <c r="Z837" s="11">
        <v>7.1428571428571425E-2</v>
      </c>
      <c r="AA837" s="11">
        <v>0.32142857142857145</v>
      </c>
    </row>
    <row r="838" spans="21:27" x14ac:dyDescent="0.25">
      <c r="U838" s="37">
        <v>31501</v>
      </c>
      <c r="V838" s="10">
        <v>8</v>
      </c>
      <c r="W838" s="10">
        <v>4</v>
      </c>
      <c r="X838" s="10">
        <v>7</v>
      </c>
      <c r="Y838" s="11">
        <v>0.42105263157894735</v>
      </c>
      <c r="Z838" s="11">
        <v>0.21052631578947367</v>
      </c>
      <c r="AA838" s="11">
        <v>0.36842105263157893</v>
      </c>
    </row>
    <row r="839" spans="21:27" x14ac:dyDescent="0.25">
      <c r="U839" s="37">
        <v>31508</v>
      </c>
      <c r="V839" s="10">
        <v>7</v>
      </c>
      <c r="W839" s="10">
        <v>5</v>
      </c>
      <c r="X839" s="10">
        <v>8</v>
      </c>
      <c r="Y839" s="11">
        <v>0.35</v>
      </c>
      <c r="Z839" s="11">
        <v>0.25</v>
      </c>
      <c r="AA839" s="11">
        <v>0.4</v>
      </c>
    </row>
    <row r="840" spans="21:27" x14ac:dyDescent="0.25">
      <c r="U840" s="37">
        <v>31515</v>
      </c>
      <c r="V840" s="10">
        <v>15</v>
      </c>
      <c r="W840" s="10">
        <v>8</v>
      </c>
      <c r="X840" s="10">
        <v>19</v>
      </c>
      <c r="Y840" s="11">
        <v>0.35714285714285715</v>
      </c>
      <c r="Z840" s="11">
        <v>0.19047619047619047</v>
      </c>
      <c r="AA840" s="11">
        <v>0.45238095238095238</v>
      </c>
    </row>
    <row r="841" spans="21:27" x14ac:dyDescent="0.25">
      <c r="U841" s="37">
        <v>31522</v>
      </c>
      <c r="V841" s="10">
        <v>2</v>
      </c>
      <c r="W841" s="10">
        <v>3</v>
      </c>
      <c r="X841" s="10">
        <v>9</v>
      </c>
      <c r="Y841" s="11">
        <v>0.14285714285714285</v>
      </c>
      <c r="Z841" s="11">
        <v>0.21428571428571427</v>
      </c>
      <c r="AA841" s="11">
        <v>0.6428571428571429</v>
      </c>
    </row>
    <row r="842" spans="21:27" x14ac:dyDescent="0.25">
      <c r="U842" s="37">
        <v>31529</v>
      </c>
      <c r="V842" s="10">
        <v>0</v>
      </c>
      <c r="W842" s="10">
        <v>9</v>
      </c>
      <c r="X842" s="10">
        <v>6</v>
      </c>
      <c r="Y842" s="11">
        <v>0</v>
      </c>
      <c r="Z842" s="11">
        <v>0.6</v>
      </c>
      <c r="AA842" s="11">
        <v>0.4</v>
      </c>
    </row>
    <row r="843" spans="21:27" x14ac:dyDescent="0.25">
      <c r="U843" s="37">
        <v>31536</v>
      </c>
      <c r="V843" s="10">
        <v>5</v>
      </c>
      <c r="W843" s="10">
        <v>8</v>
      </c>
      <c r="X843" s="10">
        <v>5</v>
      </c>
      <c r="Y843" s="11">
        <v>0.27777777777777779</v>
      </c>
      <c r="Z843" s="11">
        <v>0.44444444444444442</v>
      </c>
      <c r="AA843" s="11">
        <v>0.27777777777777779</v>
      </c>
    </row>
    <row r="844" spans="21:27" x14ac:dyDescent="0.25">
      <c r="U844" s="37">
        <v>31543</v>
      </c>
      <c r="V844" s="10">
        <v>2</v>
      </c>
      <c r="W844" s="10">
        <v>0</v>
      </c>
      <c r="X844" s="10">
        <v>5</v>
      </c>
      <c r="Y844" s="11">
        <v>0.2857142857142857</v>
      </c>
      <c r="Z844" s="11">
        <v>0</v>
      </c>
      <c r="AA844" s="11">
        <v>0.7142857142857143</v>
      </c>
    </row>
    <row r="845" spans="21:27" x14ac:dyDescent="0.25">
      <c r="U845" s="37">
        <v>31550</v>
      </c>
      <c r="V845" s="10">
        <v>9</v>
      </c>
      <c r="W845" s="10">
        <v>2</v>
      </c>
      <c r="X845" s="10">
        <v>10</v>
      </c>
      <c r="Y845" s="11">
        <v>0.42857142857142855</v>
      </c>
      <c r="Z845" s="11">
        <v>9.5238095238095233E-2</v>
      </c>
      <c r="AA845" s="11">
        <v>0.47619047619047616</v>
      </c>
    </row>
    <row r="846" spans="21:27" x14ac:dyDescent="0.25">
      <c r="U846" s="37">
        <v>31557</v>
      </c>
      <c r="V846" s="10">
        <v>9</v>
      </c>
      <c r="W846" s="10">
        <v>3</v>
      </c>
      <c r="X846" s="10">
        <v>4</v>
      </c>
      <c r="Y846" s="11">
        <v>0.5625</v>
      </c>
      <c r="Z846" s="11">
        <v>0.1875</v>
      </c>
      <c r="AA846" s="11">
        <v>0.25</v>
      </c>
    </row>
    <row r="847" spans="21:27" x14ac:dyDescent="0.25">
      <c r="U847" s="37">
        <v>31564</v>
      </c>
      <c r="V847" s="10">
        <v>6</v>
      </c>
      <c r="W847" s="10">
        <v>8</v>
      </c>
      <c r="X847" s="10">
        <v>7</v>
      </c>
      <c r="Y847" s="11">
        <v>0.2857142857142857</v>
      </c>
      <c r="Z847" s="11">
        <v>0.38095238095238093</v>
      </c>
      <c r="AA847" s="11">
        <v>0.33333333333333331</v>
      </c>
    </row>
    <row r="848" spans="21:27" x14ac:dyDescent="0.25">
      <c r="U848" s="37">
        <v>31571</v>
      </c>
      <c r="V848" s="10">
        <v>13</v>
      </c>
      <c r="W848" s="10">
        <v>7</v>
      </c>
      <c r="X848" s="10">
        <v>17</v>
      </c>
      <c r="Y848" s="11">
        <v>0.35135135135135137</v>
      </c>
      <c r="Z848" s="11">
        <v>0.1891891891891892</v>
      </c>
      <c r="AA848" s="11">
        <v>0.45945945945945948</v>
      </c>
    </row>
    <row r="849" spans="21:27" x14ac:dyDescent="0.25">
      <c r="U849" s="37">
        <v>31578</v>
      </c>
      <c r="V849" s="10">
        <v>9</v>
      </c>
      <c r="W849" s="10">
        <v>6</v>
      </c>
      <c r="X849" s="10">
        <v>10</v>
      </c>
      <c r="Y849" s="11">
        <v>0.36</v>
      </c>
      <c r="Z849" s="11">
        <v>0.24</v>
      </c>
      <c r="AA849" s="11">
        <v>0.4</v>
      </c>
    </row>
    <row r="850" spans="21:27" x14ac:dyDescent="0.25">
      <c r="U850" s="37">
        <v>31585</v>
      </c>
      <c r="V850" s="10">
        <v>19</v>
      </c>
      <c r="W850" s="10">
        <v>7</v>
      </c>
      <c r="X850" s="10">
        <v>12</v>
      </c>
      <c r="Y850" s="11">
        <v>0.5</v>
      </c>
      <c r="Z850" s="11">
        <v>0.18421052631578946</v>
      </c>
      <c r="AA850" s="11">
        <v>0.31578947368421051</v>
      </c>
    </row>
    <row r="851" spans="21:27" x14ac:dyDescent="0.25">
      <c r="U851" s="37">
        <v>31592</v>
      </c>
      <c r="V851" s="10">
        <v>6</v>
      </c>
      <c r="W851" s="10">
        <v>4</v>
      </c>
      <c r="X851" s="10">
        <v>11</v>
      </c>
      <c r="Y851" s="11">
        <v>0.2857142857142857</v>
      </c>
      <c r="Z851" s="11">
        <v>0.19047619047619047</v>
      </c>
      <c r="AA851" s="11">
        <v>0.52380952380952384</v>
      </c>
    </row>
    <row r="852" spans="21:27" x14ac:dyDescent="0.25">
      <c r="U852" s="37">
        <v>31599</v>
      </c>
      <c r="V852" s="10">
        <v>3</v>
      </c>
      <c r="W852" s="10">
        <v>3</v>
      </c>
      <c r="X852" s="10">
        <v>4</v>
      </c>
      <c r="Y852" s="11">
        <v>0.3</v>
      </c>
      <c r="Z852" s="11">
        <v>0.3</v>
      </c>
      <c r="AA852" s="11">
        <v>0.4</v>
      </c>
    </row>
    <row r="853" spans="21:27" x14ac:dyDescent="0.25">
      <c r="U853" s="37">
        <v>31606</v>
      </c>
      <c r="V853" s="10">
        <v>4</v>
      </c>
      <c r="W853" s="10">
        <v>4</v>
      </c>
      <c r="X853" s="10">
        <v>6</v>
      </c>
      <c r="Y853" s="11">
        <v>0.2857142857142857</v>
      </c>
      <c r="Z853" s="11">
        <v>0.2857142857142857</v>
      </c>
      <c r="AA853" s="11">
        <v>0.42857142857142855</v>
      </c>
    </row>
    <row r="854" spans="21:27" x14ac:dyDescent="0.25">
      <c r="U854" s="37">
        <v>31613</v>
      </c>
      <c r="V854" s="10">
        <v>3</v>
      </c>
      <c r="W854" s="10">
        <v>2</v>
      </c>
      <c r="X854" s="10">
        <v>9</v>
      </c>
      <c r="Y854" s="11">
        <v>0.21428571428571427</v>
      </c>
      <c r="Z854" s="11">
        <v>0.14285714285714285</v>
      </c>
      <c r="AA854" s="11">
        <v>0.6428571428571429</v>
      </c>
    </row>
    <row r="855" spans="21:27" x14ac:dyDescent="0.25">
      <c r="U855" s="37">
        <v>31620</v>
      </c>
      <c r="V855" s="10">
        <v>12</v>
      </c>
      <c r="W855" s="10">
        <v>10</v>
      </c>
      <c r="X855" s="10">
        <v>12</v>
      </c>
      <c r="Y855" s="11">
        <v>0.35294117647058826</v>
      </c>
      <c r="Z855" s="11">
        <v>0.29411764705882354</v>
      </c>
      <c r="AA855" s="11">
        <v>0.35294117647058826</v>
      </c>
    </row>
    <row r="856" spans="21:27" x14ac:dyDescent="0.25">
      <c r="U856" s="37">
        <v>31627</v>
      </c>
      <c r="V856" s="10">
        <v>16</v>
      </c>
      <c r="W856" s="10">
        <v>5</v>
      </c>
      <c r="X856" s="10">
        <v>17</v>
      </c>
      <c r="Y856" s="11">
        <v>0.42105263157894735</v>
      </c>
      <c r="Z856" s="11">
        <v>0.13157894736842105</v>
      </c>
      <c r="AA856" s="11">
        <v>0.44736842105263158</v>
      </c>
    </row>
    <row r="857" spans="21:27" x14ac:dyDescent="0.25">
      <c r="U857" s="37">
        <v>31634</v>
      </c>
      <c r="V857" s="10">
        <v>3</v>
      </c>
      <c r="W857" s="10">
        <v>2</v>
      </c>
      <c r="X857" s="10">
        <v>3</v>
      </c>
      <c r="Y857" s="11">
        <v>0.375</v>
      </c>
      <c r="Z857" s="11">
        <v>0.25</v>
      </c>
      <c r="AA857" s="11">
        <v>0.375</v>
      </c>
    </row>
    <row r="858" spans="21:27" x14ac:dyDescent="0.25">
      <c r="U858" s="37">
        <v>31639</v>
      </c>
      <c r="V858" s="10">
        <v>2</v>
      </c>
      <c r="W858" s="10">
        <v>1</v>
      </c>
      <c r="X858" s="10">
        <v>12</v>
      </c>
      <c r="Y858" s="11">
        <v>0.13333333333333333</v>
      </c>
      <c r="Z858" s="11">
        <v>6.6666666666666666E-2</v>
      </c>
      <c r="AA858" s="11">
        <v>0.8</v>
      </c>
    </row>
    <row r="859" spans="21:27" x14ac:dyDescent="0.25">
      <c r="U859" s="37">
        <v>31641</v>
      </c>
      <c r="V859" s="10">
        <v>5</v>
      </c>
      <c r="W859" s="10">
        <v>4</v>
      </c>
      <c r="X859" s="10">
        <v>2</v>
      </c>
      <c r="Y859" s="11">
        <v>0.45454545454545453</v>
      </c>
      <c r="Z859" s="11">
        <v>0.36363636363636365</v>
      </c>
      <c r="AA859" s="11">
        <v>0.18181818181818182</v>
      </c>
    </row>
    <row r="860" spans="21:27" x14ac:dyDescent="0.25">
      <c r="U860" s="37">
        <v>31648</v>
      </c>
      <c r="V860" s="10">
        <v>10</v>
      </c>
      <c r="W860" s="10">
        <v>9</v>
      </c>
      <c r="X860" s="10">
        <v>11</v>
      </c>
      <c r="Y860" s="11">
        <v>0.33333333333333331</v>
      </c>
      <c r="Z860" s="11">
        <v>0.3</v>
      </c>
      <c r="AA860" s="11">
        <v>0.36666666666666664</v>
      </c>
    </row>
    <row r="861" spans="21:27" x14ac:dyDescent="0.25">
      <c r="U861" s="37">
        <v>31655</v>
      </c>
      <c r="V861" s="10">
        <v>12</v>
      </c>
      <c r="W861" s="10">
        <v>5</v>
      </c>
      <c r="X861" s="10">
        <v>8</v>
      </c>
      <c r="Y861" s="11">
        <v>0.48</v>
      </c>
      <c r="Z861" s="11">
        <v>0.2</v>
      </c>
      <c r="AA861" s="11">
        <v>0.32</v>
      </c>
    </row>
    <row r="862" spans="21:27" x14ac:dyDescent="0.25">
      <c r="U862" s="37">
        <v>31662</v>
      </c>
      <c r="V862" s="10">
        <v>8</v>
      </c>
      <c r="W862" s="10">
        <v>4</v>
      </c>
      <c r="X862" s="10">
        <v>10</v>
      </c>
      <c r="Y862" s="11">
        <v>0.36363636363636365</v>
      </c>
      <c r="Z862" s="11">
        <v>0.18181818181818182</v>
      </c>
      <c r="AA862" s="11">
        <v>0.45454545454545453</v>
      </c>
    </row>
    <row r="863" spans="21:27" x14ac:dyDescent="0.25">
      <c r="U863" s="37">
        <v>31669</v>
      </c>
      <c r="V863" s="10">
        <v>9</v>
      </c>
      <c r="W863" s="10">
        <v>6</v>
      </c>
      <c r="X863" s="10">
        <v>19</v>
      </c>
      <c r="Y863" s="11">
        <v>0.26470588235294118</v>
      </c>
      <c r="Z863" s="11">
        <v>0.17647058823529413</v>
      </c>
      <c r="AA863" s="11">
        <v>0.55882352941176472</v>
      </c>
    </row>
    <row r="864" spans="21:27" x14ac:dyDescent="0.25">
      <c r="U864" s="37">
        <v>31676</v>
      </c>
      <c r="V864" s="10">
        <v>14</v>
      </c>
      <c r="W864" s="10">
        <v>2</v>
      </c>
      <c r="X864" s="10">
        <v>11</v>
      </c>
      <c r="Y864" s="11">
        <v>0.51851851851851849</v>
      </c>
      <c r="Z864" s="11">
        <v>7.407407407407407E-2</v>
      </c>
      <c r="AA864" s="11">
        <v>0.40740740740740738</v>
      </c>
    </row>
    <row r="865" spans="21:27" x14ac:dyDescent="0.25">
      <c r="U865" s="37">
        <v>31683</v>
      </c>
      <c r="V865" s="10">
        <v>1</v>
      </c>
      <c r="W865" s="10">
        <v>5</v>
      </c>
      <c r="X865" s="10">
        <v>5</v>
      </c>
      <c r="Y865" s="11">
        <v>9.0909090909090912E-2</v>
      </c>
      <c r="Z865" s="11">
        <v>0.45454545454545453</v>
      </c>
      <c r="AA865" s="11">
        <v>0.45454545454545453</v>
      </c>
    </row>
    <row r="866" spans="21:27" x14ac:dyDescent="0.25">
      <c r="U866" s="37">
        <v>31690</v>
      </c>
      <c r="V866" s="10">
        <v>14</v>
      </c>
      <c r="W866" s="10">
        <v>12</v>
      </c>
      <c r="X866" s="10">
        <v>33</v>
      </c>
      <c r="Y866" s="11">
        <v>0.23728813559322035</v>
      </c>
      <c r="Z866" s="11">
        <v>0.20338983050847459</v>
      </c>
      <c r="AA866" s="11">
        <v>0.55932203389830504</v>
      </c>
    </row>
    <row r="867" spans="21:27" x14ac:dyDescent="0.25">
      <c r="U867" s="37">
        <v>31697</v>
      </c>
      <c r="V867" s="10">
        <v>8</v>
      </c>
      <c r="W867" s="10">
        <v>8</v>
      </c>
      <c r="X867" s="10">
        <v>13</v>
      </c>
      <c r="Y867" s="11">
        <v>0.27586206896551724</v>
      </c>
      <c r="Z867" s="11">
        <v>0.27586206896551724</v>
      </c>
      <c r="AA867" s="11">
        <v>0.44827586206896552</v>
      </c>
    </row>
    <row r="868" spans="21:27" x14ac:dyDescent="0.25">
      <c r="U868" s="37">
        <v>31704</v>
      </c>
      <c r="V868" s="10">
        <v>9</v>
      </c>
      <c r="W868" s="10">
        <v>7</v>
      </c>
      <c r="X868" s="10">
        <v>8</v>
      </c>
      <c r="Y868" s="11">
        <v>0.375</v>
      </c>
      <c r="Z868" s="11">
        <v>0.29166666666666669</v>
      </c>
      <c r="AA868" s="11">
        <v>0.33333333333333331</v>
      </c>
    </row>
    <row r="869" spans="21:27" x14ac:dyDescent="0.25">
      <c r="U869" s="37">
        <v>31711</v>
      </c>
      <c r="V869" s="10">
        <v>4</v>
      </c>
      <c r="W869" s="10">
        <v>3</v>
      </c>
      <c r="X869" s="10">
        <v>8</v>
      </c>
      <c r="Y869" s="11">
        <v>0.26666666666666666</v>
      </c>
      <c r="Z869" s="11">
        <v>0.2</v>
      </c>
      <c r="AA869" s="11">
        <v>0.53333333333333333</v>
      </c>
    </row>
    <row r="870" spans="21:27" x14ac:dyDescent="0.25">
      <c r="U870" s="37">
        <v>31717</v>
      </c>
      <c r="V870" s="10">
        <v>4</v>
      </c>
      <c r="W870" s="10">
        <v>2</v>
      </c>
      <c r="X870" s="10">
        <v>5</v>
      </c>
      <c r="Y870" s="11">
        <v>0.36363636363636365</v>
      </c>
      <c r="Z870" s="11">
        <v>0.18181818181818182</v>
      </c>
      <c r="AA870" s="11">
        <v>0.45454545454545453</v>
      </c>
    </row>
    <row r="871" spans="21:27" x14ac:dyDescent="0.25">
      <c r="U871" s="37">
        <v>31718</v>
      </c>
      <c r="V871" s="10">
        <v>16</v>
      </c>
      <c r="W871" s="10">
        <v>11</v>
      </c>
      <c r="X871" s="10">
        <v>11</v>
      </c>
      <c r="Y871" s="11">
        <v>0.42105263157894735</v>
      </c>
      <c r="Z871" s="11">
        <v>0.28947368421052633</v>
      </c>
      <c r="AA871" s="11">
        <v>0.28947368421052633</v>
      </c>
    </row>
    <row r="872" spans="21:27" x14ac:dyDescent="0.25">
      <c r="U872" s="37">
        <v>31725</v>
      </c>
      <c r="V872" s="10">
        <v>3</v>
      </c>
      <c r="W872" s="10">
        <v>8</v>
      </c>
      <c r="X872" s="10">
        <v>8</v>
      </c>
      <c r="Y872" s="11">
        <v>0.15789473684210525</v>
      </c>
      <c r="Z872" s="11">
        <v>0.42105263157894735</v>
      </c>
      <c r="AA872" s="11">
        <v>0.42105263157894735</v>
      </c>
    </row>
    <row r="873" spans="21:27" x14ac:dyDescent="0.25">
      <c r="U873" s="37">
        <v>31732</v>
      </c>
      <c r="V873" s="10">
        <v>3</v>
      </c>
      <c r="W873" s="10">
        <v>2</v>
      </c>
      <c r="X873" s="10">
        <v>1</v>
      </c>
      <c r="Y873" s="11">
        <v>0.5</v>
      </c>
      <c r="Z873" s="11">
        <v>0.33333333333333331</v>
      </c>
      <c r="AA873" s="11">
        <v>0.16666666666666666</v>
      </c>
    </row>
    <row r="874" spans="21:27" x14ac:dyDescent="0.25">
      <c r="U874" s="37">
        <v>31739</v>
      </c>
      <c r="V874" s="10">
        <v>13</v>
      </c>
      <c r="W874" s="10">
        <v>5</v>
      </c>
      <c r="X874" s="10">
        <v>10</v>
      </c>
      <c r="Y874" s="11">
        <v>0.4642857142857143</v>
      </c>
      <c r="Z874" s="11">
        <v>0.17857142857142858</v>
      </c>
      <c r="AA874" s="11">
        <v>0.35714285714285715</v>
      </c>
    </row>
    <row r="875" spans="21:27" x14ac:dyDescent="0.25">
      <c r="U875" s="37">
        <v>31746</v>
      </c>
      <c r="V875" s="10">
        <v>8</v>
      </c>
      <c r="W875" s="10">
        <v>8</v>
      </c>
      <c r="X875" s="10">
        <v>6</v>
      </c>
      <c r="Y875" s="11">
        <v>0.36363636363636365</v>
      </c>
      <c r="Z875" s="11">
        <v>0.36363636363636365</v>
      </c>
      <c r="AA875" s="11">
        <v>0.27272727272727271</v>
      </c>
    </row>
    <row r="876" spans="21:27" x14ac:dyDescent="0.25">
      <c r="U876" s="37">
        <v>31753</v>
      </c>
      <c r="V876" s="10">
        <v>11</v>
      </c>
      <c r="W876" s="10">
        <v>1</v>
      </c>
      <c r="X876" s="10">
        <v>11</v>
      </c>
      <c r="Y876" s="11">
        <v>0.47826086956521741</v>
      </c>
      <c r="Z876" s="11">
        <v>4.3478260869565216E-2</v>
      </c>
      <c r="AA876" s="11">
        <v>0.47826086956521741</v>
      </c>
    </row>
    <row r="877" spans="21:27" x14ac:dyDescent="0.25">
      <c r="U877" s="37">
        <v>31760</v>
      </c>
      <c r="V877" s="10">
        <v>10</v>
      </c>
      <c r="W877" s="10">
        <v>11</v>
      </c>
      <c r="X877" s="10">
        <v>7</v>
      </c>
      <c r="Y877" s="11">
        <v>0.35714285714285715</v>
      </c>
      <c r="Z877" s="11">
        <v>0.39285714285714285</v>
      </c>
      <c r="AA877" s="11">
        <v>0.25</v>
      </c>
    </row>
    <row r="878" spans="21:27" x14ac:dyDescent="0.25">
      <c r="U878" s="37">
        <v>31767</v>
      </c>
      <c r="V878" s="10">
        <v>17</v>
      </c>
      <c r="W878" s="10">
        <v>13</v>
      </c>
      <c r="X878" s="10">
        <v>10</v>
      </c>
      <c r="Y878" s="11">
        <v>0.42499999999999999</v>
      </c>
      <c r="Z878" s="11">
        <v>0.32500000000000001</v>
      </c>
      <c r="AA878" s="11">
        <v>0.25</v>
      </c>
    </row>
    <row r="879" spans="21:27" x14ac:dyDescent="0.25">
      <c r="U879" s="37">
        <v>31770</v>
      </c>
      <c r="V879" s="10">
        <v>3</v>
      </c>
      <c r="W879" s="10">
        <v>3</v>
      </c>
      <c r="X879" s="10">
        <v>9</v>
      </c>
      <c r="Y879" s="11">
        <v>0.2</v>
      </c>
      <c r="Z879" s="11">
        <v>0.2</v>
      </c>
      <c r="AA879" s="11">
        <v>0.6</v>
      </c>
    </row>
    <row r="880" spans="21:27" x14ac:dyDescent="0.25">
      <c r="U880" s="37">
        <v>31771</v>
      </c>
      <c r="V880" s="10">
        <v>19</v>
      </c>
      <c r="W880" s="10">
        <v>8</v>
      </c>
      <c r="X880" s="10">
        <v>13</v>
      </c>
      <c r="Y880" s="11">
        <v>0.47499999999999998</v>
      </c>
      <c r="Z880" s="11">
        <v>0.2</v>
      </c>
      <c r="AA880" s="11">
        <v>0.32500000000000001</v>
      </c>
    </row>
    <row r="881" spans="21:27" x14ac:dyDescent="0.25">
      <c r="U881" s="37">
        <v>31774</v>
      </c>
      <c r="V881" s="10">
        <v>2</v>
      </c>
      <c r="W881" s="10">
        <v>0</v>
      </c>
      <c r="X881" s="10">
        <v>6</v>
      </c>
      <c r="Y881" s="11">
        <v>0.25</v>
      </c>
      <c r="Z881" s="11">
        <v>0</v>
      </c>
      <c r="AA881" s="11">
        <v>0.75</v>
      </c>
    </row>
    <row r="882" spans="21:27" x14ac:dyDescent="0.25">
      <c r="U882" s="37">
        <v>31781</v>
      </c>
      <c r="V882" s="10">
        <v>6</v>
      </c>
      <c r="W882" s="10">
        <v>4</v>
      </c>
      <c r="X882" s="10">
        <v>16</v>
      </c>
      <c r="Y882" s="11">
        <v>0.23076923076923078</v>
      </c>
      <c r="Z882" s="11">
        <v>0.15384615384615385</v>
      </c>
      <c r="AA882" s="11">
        <v>0.61538461538461542</v>
      </c>
    </row>
    <row r="883" spans="21:27" x14ac:dyDescent="0.25">
      <c r="U883" s="37">
        <v>31788</v>
      </c>
      <c r="V883" s="10">
        <v>12</v>
      </c>
      <c r="W883" s="10">
        <v>8</v>
      </c>
      <c r="X883" s="10">
        <v>14</v>
      </c>
      <c r="Y883" s="11">
        <v>0.35294117647058826</v>
      </c>
      <c r="Z883" s="11">
        <v>0.23529411764705882</v>
      </c>
      <c r="AA883" s="11">
        <v>0.41176470588235292</v>
      </c>
    </row>
    <row r="884" spans="21:27" x14ac:dyDescent="0.25">
      <c r="U884" s="37">
        <v>31795</v>
      </c>
      <c r="V884" s="10">
        <v>12</v>
      </c>
      <c r="W884" s="10">
        <v>12</v>
      </c>
      <c r="X884" s="10">
        <v>9</v>
      </c>
      <c r="Y884" s="11">
        <v>0.36363636363636365</v>
      </c>
      <c r="Z884" s="11">
        <v>0.36363636363636365</v>
      </c>
      <c r="AA884" s="11">
        <v>0.27272727272727271</v>
      </c>
    </row>
    <row r="885" spans="21:27" x14ac:dyDescent="0.25">
      <c r="U885" s="37">
        <v>31802</v>
      </c>
      <c r="V885" s="10">
        <v>12</v>
      </c>
      <c r="W885" s="10">
        <v>7</v>
      </c>
      <c r="X885" s="10">
        <v>12</v>
      </c>
      <c r="Y885" s="11">
        <v>0.38709677419354838</v>
      </c>
      <c r="Z885" s="11">
        <v>0.22580645161290322</v>
      </c>
      <c r="AA885" s="11">
        <v>0.38709677419354838</v>
      </c>
    </row>
    <row r="886" spans="21:27" x14ac:dyDescent="0.25">
      <c r="U886" s="37">
        <v>31809</v>
      </c>
      <c r="V886" s="10">
        <v>2</v>
      </c>
      <c r="W886" s="10">
        <v>4</v>
      </c>
      <c r="X886" s="10">
        <v>10</v>
      </c>
      <c r="Y886" s="11">
        <v>0.125</v>
      </c>
      <c r="Z886" s="11">
        <v>0.25</v>
      </c>
      <c r="AA886" s="11">
        <v>0.625</v>
      </c>
    </row>
    <row r="887" spans="21:27" x14ac:dyDescent="0.25">
      <c r="U887" s="37">
        <v>31816</v>
      </c>
      <c r="V887" s="10">
        <v>5</v>
      </c>
      <c r="W887" s="10">
        <v>2</v>
      </c>
      <c r="X887" s="10">
        <v>7</v>
      </c>
      <c r="Y887" s="11">
        <v>0.35714285714285715</v>
      </c>
      <c r="Z887" s="11">
        <v>0.14285714285714285</v>
      </c>
      <c r="AA887" s="11">
        <v>0.5</v>
      </c>
    </row>
    <row r="888" spans="21:27" x14ac:dyDescent="0.25">
      <c r="U888" s="37">
        <v>31823</v>
      </c>
      <c r="V888" s="10">
        <v>4</v>
      </c>
      <c r="W888" s="10">
        <v>5</v>
      </c>
      <c r="X888" s="10">
        <v>19</v>
      </c>
      <c r="Y888" s="11">
        <v>0.14285714285714285</v>
      </c>
      <c r="Z888" s="11">
        <v>0.17857142857142858</v>
      </c>
      <c r="AA888" s="11">
        <v>0.6785714285714286</v>
      </c>
    </row>
    <row r="889" spans="21:27" x14ac:dyDescent="0.25">
      <c r="U889" s="37">
        <v>31830</v>
      </c>
      <c r="V889" s="10">
        <v>6</v>
      </c>
      <c r="W889" s="10">
        <v>4</v>
      </c>
      <c r="X889" s="10">
        <v>13</v>
      </c>
      <c r="Y889" s="11">
        <v>0.2608695652173913</v>
      </c>
      <c r="Z889" s="11">
        <v>0.17391304347826086</v>
      </c>
      <c r="AA889" s="11">
        <v>0.56521739130434778</v>
      </c>
    </row>
    <row r="890" spans="21:27" x14ac:dyDescent="0.25">
      <c r="U890" s="37">
        <v>31837</v>
      </c>
      <c r="V890" s="10">
        <v>15</v>
      </c>
      <c r="W890" s="10">
        <v>0</v>
      </c>
      <c r="X890" s="10">
        <v>8</v>
      </c>
      <c r="Y890" s="11">
        <v>0.65217391304347827</v>
      </c>
      <c r="Z890" s="11">
        <v>0</v>
      </c>
      <c r="AA890" s="11">
        <v>0.34782608695652173</v>
      </c>
    </row>
    <row r="891" spans="21:27" x14ac:dyDescent="0.25">
      <c r="U891" s="37">
        <v>31844</v>
      </c>
      <c r="V891" s="10">
        <v>2</v>
      </c>
      <c r="W891" s="10">
        <v>1</v>
      </c>
      <c r="X891" s="10">
        <v>5</v>
      </c>
      <c r="Y891" s="11">
        <v>0.25</v>
      </c>
      <c r="Z891" s="11">
        <v>0.125</v>
      </c>
      <c r="AA891" s="11">
        <v>0.625</v>
      </c>
    </row>
    <row r="892" spans="21:27" x14ac:dyDescent="0.25">
      <c r="U892" s="37">
        <v>31851</v>
      </c>
      <c r="V892" s="10">
        <v>3</v>
      </c>
      <c r="W892" s="10">
        <v>1</v>
      </c>
      <c r="X892" s="10">
        <v>9</v>
      </c>
      <c r="Y892" s="11">
        <v>0.23076923076923078</v>
      </c>
      <c r="Z892" s="11">
        <v>7.6923076923076927E-2</v>
      </c>
      <c r="AA892" s="11">
        <v>0.69230769230769229</v>
      </c>
    </row>
    <row r="893" spans="21:27" x14ac:dyDescent="0.25">
      <c r="U893" s="37">
        <v>31858</v>
      </c>
      <c r="V893" s="10">
        <v>2</v>
      </c>
      <c r="W893" s="10">
        <v>1</v>
      </c>
      <c r="X893" s="10">
        <v>6</v>
      </c>
      <c r="Y893" s="11">
        <v>0.22222222222222221</v>
      </c>
      <c r="Z893" s="11">
        <v>0.1111111111111111</v>
      </c>
      <c r="AA893" s="11">
        <v>0.66666666666666663</v>
      </c>
    </row>
    <row r="894" spans="21:27" x14ac:dyDescent="0.25">
      <c r="U894" s="37">
        <v>31865</v>
      </c>
      <c r="V894" s="10">
        <v>4</v>
      </c>
      <c r="W894" s="10">
        <v>5</v>
      </c>
      <c r="X894" s="10">
        <v>0</v>
      </c>
      <c r="Y894" s="11">
        <v>0.44444444444444442</v>
      </c>
      <c r="Z894" s="11">
        <v>0.55555555555555558</v>
      </c>
      <c r="AA894" s="11">
        <v>0</v>
      </c>
    </row>
    <row r="895" spans="21:27" x14ac:dyDescent="0.25">
      <c r="U895" s="37">
        <v>31872</v>
      </c>
      <c r="V895" s="10">
        <v>11</v>
      </c>
      <c r="W895" s="10">
        <v>1</v>
      </c>
      <c r="X895" s="10">
        <v>2</v>
      </c>
      <c r="Y895" s="11">
        <v>0.7857142857142857</v>
      </c>
      <c r="Z895" s="11">
        <v>7.1428571428571425E-2</v>
      </c>
      <c r="AA895" s="11">
        <v>0.14285714285714285</v>
      </c>
    </row>
    <row r="896" spans="21:27" x14ac:dyDescent="0.25">
      <c r="U896" s="37">
        <v>31879</v>
      </c>
      <c r="V896" s="10">
        <v>5</v>
      </c>
      <c r="W896" s="10">
        <v>3</v>
      </c>
      <c r="X896" s="10">
        <v>3</v>
      </c>
      <c r="Y896" s="11">
        <v>0.45454545454545453</v>
      </c>
      <c r="Z896" s="11">
        <v>0.27272727272727271</v>
      </c>
      <c r="AA896" s="11">
        <v>0.27272727272727271</v>
      </c>
    </row>
    <row r="897" spans="21:27" x14ac:dyDescent="0.25">
      <c r="U897" s="37">
        <v>31886</v>
      </c>
      <c r="V897" s="10">
        <v>3</v>
      </c>
      <c r="W897" s="10">
        <v>4</v>
      </c>
      <c r="X897" s="10">
        <v>4</v>
      </c>
      <c r="Y897" s="11">
        <v>0.27272727272727271</v>
      </c>
      <c r="Z897" s="11">
        <v>0.36363636363636365</v>
      </c>
      <c r="AA897" s="11">
        <v>0.36363636363636365</v>
      </c>
    </row>
    <row r="898" spans="21:27" x14ac:dyDescent="0.25">
      <c r="U898" s="37">
        <v>31893</v>
      </c>
      <c r="V898" s="10">
        <v>3</v>
      </c>
      <c r="W898" s="10">
        <v>0</v>
      </c>
      <c r="X898" s="10">
        <v>1</v>
      </c>
      <c r="Y898" s="11">
        <v>0.75</v>
      </c>
      <c r="Z898" s="11">
        <v>0</v>
      </c>
      <c r="AA898" s="11">
        <v>0.25</v>
      </c>
    </row>
    <row r="899" spans="21:27" x14ac:dyDescent="0.25">
      <c r="U899" s="37">
        <v>31900</v>
      </c>
      <c r="V899" s="10">
        <v>12</v>
      </c>
      <c r="W899" s="10">
        <v>8</v>
      </c>
      <c r="X899" s="10">
        <v>12</v>
      </c>
      <c r="Y899" s="11">
        <v>0.375</v>
      </c>
      <c r="Z899" s="11">
        <v>0.25</v>
      </c>
      <c r="AA899" s="11">
        <v>0.375</v>
      </c>
    </row>
    <row r="900" spans="21:27" x14ac:dyDescent="0.25">
      <c r="U900" s="37">
        <v>31907</v>
      </c>
      <c r="V900" s="10">
        <v>7</v>
      </c>
      <c r="W900" s="10">
        <v>2</v>
      </c>
      <c r="X900" s="10">
        <v>2</v>
      </c>
      <c r="Y900" s="11">
        <v>0.63636363636363635</v>
      </c>
      <c r="Z900" s="11">
        <v>0.18181818181818182</v>
      </c>
      <c r="AA900" s="11">
        <v>0.18181818181818182</v>
      </c>
    </row>
    <row r="901" spans="21:27" x14ac:dyDescent="0.25">
      <c r="U901" s="37">
        <v>31914</v>
      </c>
      <c r="V901" s="10">
        <v>6</v>
      </c>
      <c r="W901" s="10">
        <v>6</v>
      </c>
      <c r="X901" s="10">
        <v>4</v>
      </c>
      <c r="Y901" s="11">
        <v>0.375</v>
      </c>
      <c r="Z901" s="11">
        <v>0.375</v>
      </c>
      <c r="AA901" s="11">
        <v>0.25</v>
      </c>
    </row>
    <row r="902" spans="21:27" x14ac:dyDescent="0.25">
      <c r="U902" s="37">
        <v>31921</v>
      </c>
      <c r="V902" s="10">
        <v>17</v>
      </c>
      <c r="W902" s="10">
        <v>5</v>
      </c>
      <c r="X902" s="10">
        <v>6</v>
      </c>
      <c r="Y902" s="11">
        <v>0.6071428571428571</v>
      </c>
      <c r="Z902" s="11">
        <v>0.17857142857142858</v>
      </c>
      <c r="AA902" s="11">
        <v>0.21428571428571427</v>
      </c>
    </row>
    <row r="903" spans="21:27" x14ac:dyDescent="0.25">
      <c r="U903" s="37">
        <v>31928</v>
      </c>
      <c r="V903" s="10">
        <v>1</v>
      </c>
      <c r="W903" s="10">
        <v>0</v>
      </c>
      <c r="X903" s="10">
        <v>4</v>
      </c>
      <c r="Y903" s="11">
        <v>0.2</v>
      </c>
      <c r="Z903" s="11">
        <v>0</v>
      </c>
      <c r="AA903" s="11">
        <v>0.8</v>
      </c>
    </row>
    <row r="904" spans="21:27" x14ac:dyDescent="0.25">
      <c r="U904" s="37">
        <v>31935</v>
      </c>
      <c r="V904" s="10">
        <v>3</v>
      </c>
      <c r="W904" s="10">
        <v>3</v>
      </c>
      <c r="X904" s="10">
        <v>11</v>
      </c>
      <c r="Y904" s="11">
        <v>0.17647058823529413</v>
      </c>
      <c r="Z904" s="11">
        <v>0.17647058823529413</v>
      </c>
      <c r="AA904" s="11">
        <v>0.6470588235294118</v>
      </c>
    </row>
    <row r="905" spans="21:27" x14ac:dyDescent="0.25">
      <c r="U905" s="37">
        <v>31942</v>
      </c>
      <c r="V905" s="10">
        <v>12</v>
      </c>
      <c r="W905" s="10">
        <v>4</v>
      </c>
      <c r="X905" s="10">
        <v>5</v>
      </c>
      <c r="Y905" s="11">
        <v>0.5714285714285714</v>
      </c>
      <c r="Z905" s="11">
        <v>0.19047619047619047</v>
      </c>
      <c r="AA905" s="11">
        <v>0.23809523809523808</v>
      </c>
    </row>
    <row r="906" spans="21:27" x14ac:dyDescent="0.25">
      <c r="U906" s="37">
        <v>31949</v>
      </c>
      <c r="V906" s="10">
        <v>10</v>
      </c>
      <c r="W906" s="10">
        <v>3</v>
      </c>
      <c r="X906" s="10">
        <v>8</v>
      </c>
      <c r="Y906" s="11">
        <v>0.47619047619047616</v>
      </c>
      <c r="Z906" s="11">
        <v>0.14285714285714285</v>
      </c>
      <c r="AA906" s="11">
        <v>0.38095238095238093</v>
      </c>
    </row>
    <row r="907" spans="21:27" x14ac:dyDescent="0.25">
      <c r="U907" s="37">
        <v>31956</v>
      </c>
      <c r="V907" s="10">
        <v>1</v>
      </c>
      <c r="W907" s="10">
        <v>5</v>
      </c>
      <c r="X907" s="10">
        <v>7</v>
      </c>
      <c r="Y907" s="11">
        <v>7.6923076923076927E-2</v>
      </c>
      <c r="Z907" s="11">
        <v>0.38461538461538464</v>
      </c>
      <c r="AA907" s="11">
        <v>0.53846153846153844</v>
      </c>
    </row>
    <row r="908" spans="21:27" x14ac:dyDescent="0.25">
      <c r="U908" s="37">
        <v>31963</v>
      </c>
      <c r="V908" s="10">
        <v>3</v>
      </c>
      <c r="W908" s="10">
        <v>0</v>
      </c>
      <c r="X908" s="10">
        <v>14</v>
      </c>
      <c r="Y908" s="11">
        <v>0.17647058823529413</v>
      </c>
      <c r="Z908" s="11">
        <v>0</v>
      </c>
      <c r="AA908" s="11">
        <v>0.82352941176470584</v>
      </c>
    </row>
    <row r="909" spans="21:27" x14ac:dyDescent="0.25">
      <c r="U909" s="37">
        <v>31970</v>
      </c>
      <c r="V909" s="10">
        <v>5</v>
      </c>
      <c r="W909" s="10">
        <v>3</v>
      </c>
      <c r="X909" s="10">
        <v>21</v>
      </c>
      <c r="Y909" s="11">
        <v>0.17241379310344829</v>
      </c>
      <c r="Z909" s="11">
        <v>0.10344827586206896</v>
      </c>
      <c r="AA909" s="11">
        <v>0.72413793103448276</v>
      </c>
    </row>
    <row r="910" spans="21:27" x14ac:dyDescent="0.25">
      <c r="U910" s="37">
        <v>31977</v>
      </c>
      <c r="V910" s="10">
        <v>4</v>
      </c>
      <c r="W910" s="10">
        <v>2</v>
      </c>
      <c r="X910" s="10">
        <v>6</v>
      </c>
      <c r="Y910" s="11">
        <v>0.33333333333333331</v>
      </c>
      <c r="Z910" s="11">
        <v>0.16666666666666666</v>
      </c>
      <c r="AA910" s="11">
        <v>0.5</v>
      </c>
    </row>
    <row r="911" spans="21:27" x14ac:dyDescent="0.25">
      <c r="U911" s="37">
        <v>31984</v>
      </c>
      <c r="V911" s="10">
        <v>2</v>
      </c>
      <c r="W911" s="10">
        <v>9</v>
      </c>
      <c r="X911" s="10">
        <v>6</v>
      </c>
      <c r="Y911" s="11">
        <v>0.11764705882352941</v>
      </c>
      <c r="Z911" s="11">
        <v>0.52941176470588236</v>
      </c>
      <c r="AA911" s="11">
        <v>0.35294117647058826</v>
      </c>
    </row>
    <row r="912" spans="21:27" x14ac:dyDescent="0.25">
      <c r="U912" s="37">
        <v>31991</v>
      </c>
      <c r="V912" s="10">
        <v>11</v>
      </c>
      <c r="W912" s="10">
        <v>3</v>
      </c>
      <c r="X912" s="10">
        <v>4</v>
      </c>
      <c r="Y912" s="11">
        <v>0.61111111111111116</v>
      </c>
      <c r="Z912" s="11">
        <v>0.16666666666666666</v>
      </c>
      <c r="AA912" s="11">
        <v>0.22222222222222221</v>
      </c>
    </row>
    <row r="913" spans="21:27" x14ac:dyDescent="0.25">
      <c r="U913" s="37">
        <v>31998</v>
      </c>
      <c r="V913" s="10">
        <v>11</v>
      </c>
      <c r="W913" s="10">
        <v>2</v>
      </c>
      <c r="X913" s="10">
        <v>12</v>
      </c>
      <c r="Y913" s="11">
        <v>0.44</v>
      </c>
      <c r="Z913" s="11">
        <v>0.08</v>
      </c>
      <c r="AA913" s="11">
        <v>0.48</v>
      </c>
    </row>
    <row r="914" spans="21:27" x14ac:dyDescent="0.25">
      <c r="U914" s="37">
        <v>32004</v>
      </c>
      <c r="V914" s="10">
        <v>4</v>
      </c>
      <c r="W914" s="10">
        <v>1</v>
      </c>
      <c r="X914" s="10">
        <v>18</v>
      </c>
      <c r="Y914" s="11">
        <v>0.17391304347826086</v>
      </c>
      <c r="Z914" s="11">
        <v>4.3478260869565216E-2</v>
      </c>
      <c r="AA914" s="11">
        <v>0.78260869565217395</v>
      </c>
    </row>
    <row r="915" spans="21:27" x14ac:dyDescent="0.25">
      <c r="U915" s="37">
        <v>32005</v>
      </c>
      <c r="V915" s="10">
        <v>11</v>
      </c>
      <c r="W915" s="10">
        <v>8</v>
      </c>
      <c r="X915" s="10">
        <v>15</v>
      </c>
      <c r="Y915" s="11">
        <v>0.3235294117647059</v>
      </c>
      <c r="Z915" s="11">
        <v>0.23529411764705882</v>
      </c>
      <c r="AA915" s="11">
        <v>0.44117647058823528</v>
      </c>
    </row>
    <row r="916" spans="21:27" x14ac:dyDescent="0.25">
      <c r="U916" s="37">
        <v>32012</v>
      </c>
      <c r="V916" s="10">
        <v>4</v>
      </c>
      <c r="W916" s="10">
        <v>13</v>
      </c>
      <c r="X916" s="10">
        <v>10</v>
      </c>
      <c r="Y916" s="11">
        <v>0.14814814814814814</v>
      </c>
      <c r="Z916" s="11">
        <v>0.48148148148148145</v>
      </c>
      <c r="AA916" s="11">
        <v>0.37037037037037035</v>
      </c>
    </row>
    <row r="917" spans="21:27" x14ac:dyDescent="0.25">
      <c r="U917" s="37">
        <v>32019</v>
      </c>
      <c r="V917" s="10">
        <v>11</v>
      </c>
      <c r="W917" s="10">
        <v>10</v>
      </c>
      <c r="X917" s="10">
        <v>8</v>
      </c>
      <c r="Y917" s="11">
        <v>0.37931034482758619</v>
      </c>
      <c r="Z917" s="11">
        <v>0.34482758620689657</v>
      </c>
      <c r="AA917" s="11">
        <v>0.27586206896551724</v>
      </c>
    </row>
    <row r="918" spans="21:27" x14ac:dyDescent="0.25">
      <c r="U918" s="37">
        <v>32026</v>
      </c>
      <c r="V918" s="10">
        <v>4</v>
      </c>
      <c r="W918" s="10">
        <v>5</v>
      </c>
      <c r="X918" s="10">
        <v>5</v>
      </c>
      <c r="Y918" s="11">
        <v>0.2857142857142857</v>
      </c>
      <c r="Z918" s="11">
        <v>0.35714285714285715</v>
      </c>
      <c r="AA918" s="11">
        <v>0.35714285714285715</v>
      </c>
    </row>
    <row r="919" spans="21:27" x14ac:dyDescent="0.25">
      <c r="U919" s="37">
        <v>32033</v>
      </c>
      <c r="V919" s="10">
        <v>10</v>
      </c>
      <c r="W919" s="10">
        <v>3</v>
      </c>
      <c r="X919" s="10">
        <v>10</v>
      </c>
      <c r="Y919" s="11">
        <v>0.43478260869565216</v>
      </c>
      <c r="Z919" s="11">
        <v>0.13043478260869565</v>
      </c>
      <c r="AA919" s="11">
        <v>0.43478260869565216</v>
      </c>
    </row>
    <row r="920" spans="21:27" x14ac:dyDescent="0.25">
      <c r="U920" s="37">
        <v>32040</v>
      </c>
      <c r="V920" s="10">
        <v>6</v>
      </c>
      <c r="W920" s="10">
        <v>3</v>
      </c>
      <c r="X920" s="10">
        <v>9</v>
      </c>
      <c r="Y920" s="11">
        <v>0.33333333333333331</v>
      </c>
      <c r="Z920" s="11">
        <v>0.16666666666666666</v>
      </c>
      <c r="AA920" s="11">
        <v>0.5</v>
      </c>
    </row>
    <row r="921" spans="21:27" x14ac:dyDescent="0.25">
      <c r="U921" s="37">
        <v>32047</v>
      </c>
      <c r="V921" s="10">
        <v>2</v>
      </c>
      <c r="W921" s="10">
        <v>1</v>
      </c>
      <c r="X921" s="10">
        <v>9</v>
      </c>
      <c r="Y921" s="11">
        <v>0.16666666666666666</v>
      </c>
      <c r="Z921" s="11">
        <v>8.3333333333333329E-2</v>
      </c>
      <c r="AA921" s="11">
        <v>0.75</v>
      </c>
    </row>
    <row r="922" spans="21:27" x14ac:dyDescent="0.25">
      <c r="U922" s="37">
        <v>32054</v>
      </c>
      <c r="V922" s="10">
        <v>7</v>
      </c>
      <c r="W922" s="10">
        <v>7</v>
      </c>
      <c r="X922" s="10">
        <v>16</v>
      </c>
      <c r="Y922" s="11">
        <v>0.23333333333333334</v>
      </c>
      <c r="Z922" s="11">
        <v>0.23333333333333334</v>
      </c>
      <c r="AA922" s="11">
        <v>0.53333333333333333</v>
      </c>
    </row>
    <row r="923" spans="21:27" x14ac:dyDescent="0.25">
      <c r="U923" s="37">
        <v>32061</v>
      </c>
      <c r="V923" s="10">
        <v>7</v>
      </c>
      <c r="W923" s="10">
        <v>4</v>
      </c>
      <c r="X923" s="10">
        <v>13</v>
      </c>
      <c r="Y923" s="11">
        <v>0.29166666666666669</v>
      </c>
      <c r="Z923" s="11">
        <v>0.16666666666666666</v>
      </c>
      <c r="AA923" s="11">
        <v>0.54166666666666663</v>
      </c>
    </row>
    <row r="924" spans="21:27" x14ac:dyDescent="0.25">
      <c r="U924" s="37">
        <v>32068</v>
      </c>
      <c r="V924" s="10">
        <v>3</v>
      </c>
      <c r="W924" s="10">
        <v>1</v>
      </c>
      <c r="X924" s="10">
        <v>6</v>
      </c>
      <c r="Y924" s="11">
        <v>0.3</v>
      </c>
      <c r="Z924" s="11">
        <v>0.1</v>
      </c>
      <c r="AA924" s="11">
        <v>0.6</v>
      </c>
    </row>
    <row r="925" spans="21:27" x14ac:dyDescent="0.25">
      <c r="U925" s="37">
        <v>32075</v>
      </c>
      <c r="V925" s="10">
        <v>7</v>
      </c>
      <c r="W925" s="10">
        <v>11</v>
      </c>
      <c r="X925" s="10">
        <v>6</v>
      </c>
      <c r="Y925" s="11">
        <v>0.29166666666666669</v>
      </c>
      <c r="Z925" s="11">
        <v>0.45833333333333331</v>
      </c>
      <c r="AA925" s="11">
        <v>0.25</v>
      </c>
    </row>
    <row r="926" spans="21:27" x14ac:dyDescent="0.25">
      <c r="U926" s="37">
        <v>32082</v>
      </c>
      <c r="V926" s="10">
        <v>0</v>
      </c>
      <c r="W926" s="10">
        <v>3</v>
      </c>
      <c r="X926" s="10">
        <v>4</v>
      </c>
      <c r="Y926" s="11">
        <v>0</v>
      </c>
      <c r="Z926" s="11">
        <v>0.42857142857142855</v>
      </c>
      <c r="AA926" s="11">
        <v>0.5714285714285714</v>
      </c>
    </row>
    <row r="927" spans="21:27" x14ac:dyDescent="0.25">
      <c r="U927" s="37">
        <v>32089</v>
      </c>
      <c r="V927" s="10">
        <v>4</v>
      </c>
      <c r="W927" s="10">
        <v>5</v>
      </c>
      <c r="X927" s="10">
        <v>12</v>
      </c>
      <c r="Y927" s="11">
        <v>0.19047619047619047</v>
      </c>
      <c r="Z927" s="11">
        <v>0.23809523809523808</v>
      </c>
      <c r="AA927" s="11">
        <v>0.5714285714285714</v>
      </c>
    </row>
    <row r="928" spans="21:27" x14ac:dyDescent="0.25">
      <c r="U928" s="37">
        <v>32096</v>
      </c>
      <c r="V928" s="10">
        <v>6</v>
      </c>
      <c r="W928" s="10">
        <v>0</v>
      </c>
      <c r="X928" s="10">
        <v>20</v>
      </c>
      <c r="Y928" s="11">
        <v>0.23076923076923078</v>
      </c>
      <c r="Z928" s="11">
        <v>0</v>
      </c>
      <c r="AA928" s="11">
        <v>0.76923076923076927</v>
      </c>
    </row>
    <row r="929" spans="21:27" x14ac:dyDescent="0.25">
      <c r="U929" s="37">
        <v>32103</v>
      </c>
      <c r="V929" s="10">
        <v>5</v>
      </c>
      <c r="W929" s="10">
        <v>5</v>
      </c>
      <c r="X929" s="10">
        <v>9</v>
      </c>
      <c r="Y929" s="11">
        <v>0.26315789473684209</v>
      </c>
      <c r="Z929" s="11">
        <v>0.26315789473684209</v>
      </c>
      <c r="AA929" s="11">
        <v>0.47368421052631576</v>
      </c>
    </row>
    <row r="930" spans="21:27" x14ac:dyDescent="0.25">
      <c r="U930" s="37">
        <v>32110</v>
      </c>
      <c r="V930" s="10">
        <v>2</v>
      </c>
      <c r="W930" s="10">
        <v>2</v>
      </c>
      <c r="X930" s="10">
        <v>3</v>
      </c>
      <c r="Y930" s="11">
        <v>0.2857142857142857</v>
      </c>
      <c r="Z930" s="11">
        <v>0.2857142857142857</v>
      </c>
      <c r="AA930" s="11">
        <v>0.42857142857142855</v>
      </c>
    </row>
    <row r="931" spans="21:27" x14ac:dyDescent="0.25">
      <c r="U931" s="37">
        <v>32117</v>
      </c>
      <c r="V931" s="10">
        <v>2</v>
      </c>
      <c r="W931" s="10">
        <v>3</v>
      </c>
      <c r="X931" s="10">
        <v>6</v>
      </c>
      <c r="Y931" s="11">
        <v>0.18181818181818182</v>
      </c>
      <c r="Z931" s="11">
        <v>0.27272727272727271</v>
      </c>
      <c r="AA931" s="11">
        <v>0.54545454545454541</v>
      </c>
    </row>
    <row r="932" spans="21:27" x14ac:dyDescent="0.25">
      <c r="U932" s="37">
        <v>32124</v>
      </c>
      <c r="V932" s="10">
        <v>16</v>
      </c>
      <c r="W932" s="10">
        <v>8</v>
      </c>
      <c r="X932" s="10">
        <v>14</v>
      </c>
      <c r="Y932" s="11">
        <v>0.42105263157894735</v>
      </c>
      <c r="Z932" s="11">
        <v>0.21052631578947367</v>
      </c>
      <c r="AA932" s="11">
        <v>0.36842105263157893</v>
      </c>
    </row>
    <row r="933" spans="21:27" x14ac:dyDescent="0.25">
      <c r="U933" s="37">
        <v>32131</v>
      </c>
      <c r="V933" s="10">
        <v>15</v>
      </c>
      <c r="W933" s="10">
        <v>8</v>
      </c>
      <c r="X933" s="10">
        <v>26</v>
      </c>
      <c r="Y933" s="11">
        <v>0.30612244897959184</v>
      </c>
      <c r="Z933" s="11">
        <v>0.16326530612244897</v>
      </c>
      <c r="AA933" s="11">
        <v>0.53061224489795922</v>
      </c>
    </row>
    <row r="934" spans="21:27" x14ac:dyDescent="0.25">
      <c r="U934" s="37">
        <v>32135</v>
      </c>
      <c r="V934" s="10">
        <v>2</v>
      </c>
      <c r="W934" s="10">
        <v>1</v>
      </c>
      <c r="X934" s="10">
        <v>8</v>
      </c>
      <c r="Y934" s="11">
        <v>0.18181818181818182</v>
      </c>
      <c r="Z934" s="11">
        <v>9.0909090909090912E-2</v>
      </c>
      <c r="AA934" s="11">
        <v>0.72727272727272729</v>
      </c>
    </row>
    <row r="935" spans="21:27" x14ac:dyDescent="0.25">
      <c r="U935" s="37">
        <v>32136</v>
      </c>
      <c r="V935" s="10">
        <v>5</v>
      </c>
      <c r="W935" s="10">
        <v>1</v>
      </c>
      <c r="X935" s="10">
        <v>5</v>
      </c>
      <c r="Y935" s="11">
        <v>0.45454545454545453</v>
      </c>
      <c r="Z935" s="11">
        <v>9.0909090909090912E-2</v>
      </c>
      <c r="AA935" s="11">
        <v>0.45454545454545453</v>
      </c>
    </row>
    <row r="936" spans="21:27" x14ac:dyDescent="0.25">
      <c r="U936" s="37">
        <v>32138</v>
      </c>
      <c r="V936" s="10">
        <v>4</v>
      </c>
      <c r="W936" s="10">
        <v>5</v>
      </c>
      <c r="X936" s="10">
        <v>8</v>
      </c>
      <c r="Y936" s="11">
        <v>0.23529411764705882</v>
      </c>
      <c r="Z936" s="11">
        <v>0.29411764705882354</v>
      </c>
      <c r="AA936" s="11">
        <v>0.47058823529411764</v>
      </c>
    </row>
    <row r="937" spans="21:27" x14ac:dyDescent="0.25">
      <c r="U937" s="37">
        <v>32145</v>
      </c>
      <c r="V937" s="10">
        <v>2</v>
      </c>
      <c r="W937" s="10">
        <v>2</v>
      </c>
      <c r="X937" s="10">
        <v>15</v>
      </c>
      <c r="Y937" s="11">
        <v>0.10526315789473684</v>
      </c>
      <c r="Z937" s="11">
        <v>0.10526315789473684</v>
      </c>
      <c r="AA937" s="11">
        <v>0.78947368421052633</v>
      </c>
    </row>
    <row r="938" spans="21:27" x14ac:dyDescent="0.25">
      <c r="U938" s="37">
        <v>32152</v>
      </c>
      <c r="V938" s="10">
        <v>13</v>
      </c>
      <c r="W938" s="10">
        <v>3</v>
      </c>
      <c r="X938" s="10">
        <v>12</v>
      </c>
      <c r="Y938" s="11">
        <v>0.4642857142857143</v>
      </c>
      <c r="Z938" s="11">
        <v>0.10714285714285714</v>
      </c>
      <c r="AA938" s="11">
        <v>0.42857142857142855</v>
      </c>
    </row>
    <row r="939" spans="21:27" x14ac:dyDescent="0.25">
      <c r="U939" s="37">
        <v>32159</v>
      </c>
      <c r="V939" s="10">
        <v>4</v>
      </c>
      <c r="W939" s="10">
        <v>3</v>
      </c>
      <c r="X939" s="10">
        <v>5</v>
      </c>
      <c r="Y939" s="11">
        <v>0.33333333333333331</v>
      </c>
      <c r="Z939" s="11">
        <v>0.25</v>
      </c>
      <c r="AA939" s="11">
        <v>0.41666666666666669</v>
      </c>
    </row>
    <row r="940" spans="21:27" x14ac:dyDescent="0.25">
      <c r="U940" s="37">
        <v>32166</v>
      </c>
      <c r="V940" s="10">
        <v>13</v>
      </c>
      <c r="W940" s="10">
        <v>2</v>
      </c>
      <c r="X940" s="10">
        <v>7</v>
      </c>
      <c r="Y940" s="11">
        <v>0.59090909090909094</v>
      </c>
      <c r="Z940" s="11">
        <v>9.0909090909090912E-2</v>
      </c>
      <c r="AA940" s="11">
        <v>0.31818181818181818</v>
      </c>
    </row>
    <row r="941" spans="21:27" x14ac:dyDescent="0.25">
      <c r="U941" s="37">
        <v>32173</v>
      </c>
      <c r="V941" s="10">
        <v>9</v>
      </c>
      <c r="W941" s="10">
        <v>0</v>
      </c>
      <c r="X941" s="10">
        <v>6</v>
      </c>
      <c r="Y941" s="11">
        <v>0.6</v>
      </c>
      <c r="Z941" s="11">
        <v>0</v>
      </c>
      <c r="AA941" s="11">
        <v>0.4</v>
      </c>
    </row>
    <row r="942" spans="21:27" x14ac:dyDescent="0.25">
      <c r="U942" s="37">
        <v>32180</v>
      </c>
      <c r="V942" s="10">
        <v>13</v>
      </c>
      <c r="W942" s="10">
        <v>6</v>
      </c>
      <c r="X942" s="10">
        <v>5</v>
      </c>
      <c r="Y942" s="11">
        <v>0.54166666666666663</v>
      </c>
      <c r="Z942" s="11">
        <v>0.25</v>
      </c>
      <c r="AA942" s="11">
        <v>0.20833333333333334</v>
      </c>
    </row>
    <row r="943" spans="21:27" x14ac:dyDescent="0.25">
      <c r="U943" s="37">
        <v>32187</v>
      </c>
      <c r="V943" s="10">
        <v>6</v>
      </c>
      <c r="W943" s="10">
        <v>4</v>
      </c>
      <c r="X943" s="10">
        <v>8</v>
      </c>
      <c r="Y943" s="11">
        <v>0.33333333333333331</v>
      </c>
      <c r="Z943" s="11">
        <v>0.22222222222222221</v>
      </c>
      <c r="AA943" s="11">
        <v>0.44444444444444442</v>
      </c>
    </row>
    <row r="944" spans="21:27" x14ac:dyDescent="0.25">
      <c r="U944" s="37">
        <v>32194</v>
      </c>
      <c r="V944" s="10">
        <v>10</v>
      </c>
      <c r="W944" s="10">
        <v>7</v>
      </c>
      <c r="X944" s="10">
        <v>2</v>
      </c>
      <c r="Y944" s="11">
        <v>0.52631578947368418</v>
      </c>
      <c r="Z944" s="11">
        <v>0.36842105263157893</v>
      </c>
      <c r="AA944" s="11">
        <v>0.10526315789473684</v>
      </c>
    </row>
    <row r="945" spans="21:27" x14ac:dyDescent="0.25">
      <c r="U945" s="37">
        <v>32201</v>
      </c>
      <c r="V945" s="10">
        <v>5</v>
      </c>
      <c r="W945" s="10">
        <v>7</v>
      </c>
      <c r="X945" s="10">
        <v>7</v>
      </c>
      <c r="Y945" s="11">
        <v>0.26315789473684209</v>
      </c>
      <c r="Z945" s="11">
        <v>0.36842105263157893</v>
      </c>
      <c r="AA945" s="11">
        <v>0.36842105263157893</v>
      </c>
    </row>
    <row r="946" spans="21:27" x14ac:dyDescent="0.25">
      <c r="U946" s="37">
        <v>32208</v>
      </c>
      <c r="V946" s="10">
        <v>7</v>
      </c>
      <c r="W946" s="10">
        <v>2</v>
      </c>
      <c r="X946" s="10">
        <v>3</v>
      </c>
      <c r="Y946" s="11">
        <v>0.58333333333333337</v>
      </c>
      <c r="Z946" s="11">
        <v>0.16666666666666666</v>
      </c>
      <c r="AA946" s="11">
        <v>0.25</v>
      </c>
    </row>
    <row r="947" spans="21:27" x14ac:dyDescent="0.25">
      <c r="U947" s="37">
        <v>32215</v>
      </c>
      <c r="V947" s="10">
        <v>12</v>
      </c>
      <c r="W947" s="10">
        <v>4</v>
      </c>
      <c r="X947" s="10">
        <v>4</v>
      </c>
      <c r="Y947" s="11">
        <v>0.6</v>
      </c>
      <c r="Z947" s="11">
        <v>0.2</v>
      </c>
      <c r="AA947" s="11">
        <v>0.2</v>
      </c>
    </row>
    <row r="948" spans="21:27" x14ac:dyDescent="0.25">
      <c r="U948" s="37">
        <v>32222</v>
      </c>
      <c r="V948" s="10">
        <v>1</v>
      </c>
      <c r="W948" s="10">
        <v>5</v>
      </c>
      <c r="X948" s="10">
        <v>12</v>
      </c>
      <c r="Y948" s="11">
        <v>5.5555555555555552E-2</v>
      </c>
      <c r="Z948" s="11">
        <v>0.27777777777777779</v>
      </c>
      <c r="AA948" s="11">
        <v>0.66666666666666663</v>
      </c>
    </row>
    <row r="949" spans="21:27" x14ac:dyDescent="0.25">
      <c r="U949" s="37">
        <v>32229</v>
      </c>
      <c r="V949" s="10">
        <v>1</v>
      </c>
      <c r="W949" s="10">
        <v>3</v>
      </c>
      <c r="X949" s="10">
        <v>8</v>
      </c>
      <c r="Y949" s="11">
        <v>8.3333333333333329E-2</v>
      </c>
      <c r="Z949" s="11">
        <v>0.25</v>
      </c>
      <c r="AA949" s="11">
        <v>0.66666666666666663</v>
      </c>
    </row>
    <row r="950" spans="21:27" x14ac:dyDescent="0.25">
      <c r="U950" s="37">
        <v>32236</v>
      </c>
      <c r="V950" s="10">
        <v>6</v>
      </c>
      <c r="W950" s="10">
        <v>2</v>
      </c>
      <c r="X950" s="10">
        <v>5</v>
      </c>
      <c r="Y950" s="11">
        <v>0.46153846153846156</v>
      </c>
      <c r="Z950" s="11">
        <v>0.15384615384615385</v>
      </c>
      <c r="AA950" s="11">
        <v>0.38461538461538464</v>
      </c>
    </row>
    <row r="951" spans="21:27" x14ac:dyDescent="0.25">
      <c r="U951" s="37">
        <v>32243</v>
      </c>
      <c r="V951" s="10">
        <v>9</v>
      </c>
      <c r="W951" s="10">
        <v>4</v>
      </c>
      <c r="X951" s="10">
        <v>3</v>
      </c>
      <c r="Y951" s="11">
        <v>0.5625</v>
      </c>
      <c r="Z951" s="11">
        <v>0.25</v>
      </c>
      <c r="AA951" s="11">
        <v>0.1875</v>
      </c>
    </row>
    <row r="952" spans="21:27" x14ac:dyDescent="0.25">
      <c r="U952" s="37">
        <v>32250</v>
      </c>
      <c r="V952" s="10">
        <v>12</v>
      </c>
      <c r="W952" s="10">
        <v>3</v>
      </c>
      <c r="X952" s="10">
        <v>7</v>
      </c>
      <c r="Y952" s="11">
        <v>0.54545454545454541</v>
      </c>
      <c r="Z952" s="11">
        <v>0.13636363636363635</v>
      </c>
      <c r="AA952" s="11">
        <v>0.31818181818181818</v>
      </c>
    </row>
    <row r="953" spans="21:27" x14ac:dyDescent="0.25">
      <c r="U953" s="37">
        <v>32257</v>
      </c>
      <c r="V953" s="10">
        <v>8</v>
      </c>
      <c r="W953" s="10">
        <v>8</v>
      </c>
      <c r="X953" s="10">
        <v>5</v>
      </c>
      <c r="Y953" s="11">
        <v>0.38095238095238093</v>
      </c>
      <c r="Z953" s="11">
        <v>0.38095238095238093</v>
      </c>
      <c r="AA953" s="11">
        <v>0.23809523809523808</v>
      </c>
    </row>
    <row r="954" spans="21:27" x14ac:dyDescent="0.25">
      <c r="U954" s="37">
        <v>32264</v>
      </c>
      <c r="V954" s="10">
        <v>14</v>
      </c>
      <c r="W954" s="10">
        <v>9</v>
      </c>
      <c r="X954" s="10">
        <v>7</v>
      </c>
      <c r="Y954" s="11">
        <v>0.46666666666666667</v>
      </c>
      <c r="Z954" s="11">
        <v>0.3</v>
      </c>
      <c r="AA954" s="11">
        <v>0.23333333333333334</v>
      </c>
    </row>
    <row r="955" spans="21:27" x14ac:dyDescent="0.25">
      <c r="U955" s="37">
        <v>32271</v>
      </c>
      <c r="V955" s="10">
        <v>15</v>
      </c>
      <c r="W955" s="10">
        <v>5</v>
      </c>
      <c r="X955" s="10">
        <v>16</v>
      </c>
      <c r="Y955" s="11">
        <v>0.41666666666666669</v>
      </c>
      <c r="Z955" s="11">
        <v>0.1388888888888889</v>
      </c>
      <c r="AA955" s="11">
        <v>0.44444444444444442</v>
      </c>
    </row>
    <row r="956" spans="21:27" x14ac:dyDescent="0.25">
      <c r="U956" s="37">
        <v>32278</v>
      </c>
      <c r="V956" s="10">
        <v>2</v>
      </c>
      <c r="W956" s="10">
        <v>6</v>
      </c>
      <c r="X956" s="10">
        <v>5</v>
      </c>
      <c r="Y956" s="11">
        <v>0.15384615384615385</v>
      </c>
      <c r="Z956" s="11">
        <v>0.46153846153846156</v>
      </c>
      <c r="AA956" s="11">
        <v>0.38461538461538464</v>
      </c>
    </row>
    <row r="957" spans="21:27" x14ac:dyDescent="0.25">
      <c r="U957" s="37">
        <v>32285</v>
      </c>
      <c r="V957" s="10">
        <v>6</v>
      </c>
      <c r="W957" s="10">
        <v>7</v>
      </c>
      <c r="X957" s="10">
        <v>17</v>
      </c>
      <c r="Y957" s="11">
        <v>0.2</v>
      </c>
      <c r="Z957" s="11">
        <v>0.23333333333333334</v>
      </c>
      <c r="AA957" s="11">
        <v>0.56666666666666665</v>
      </c>
    </row>
    <row r="958" spans="21:27" x14ac:dyDescent="0.25">
      <c r="U958" s="37">
        <v>32292</v>
      </c>
      <c r="V958" s="10">
        <v>4</v>
      </c>
      <c r="W958" s="10">
        <v>7</v>
      </c>
      <c r="X958" s="10">
        <v>19</v>
      </c>
      <c r="Y958" s="11">
        <v>0.13333333333333333</v>
      </c>
      <c r="Z958" s="11">
        <v>0.23333333333333334</v>
      </c>
      <c r="AA958" s="11">
        <v>0.6333333333333333</v>
      </c>
    </row>
    <row r="959" spans="21:27" x14ac:dyDescent="0.25">
      <c r="U959" s="37">
        <v>32299</v>
      </c>
      <c r="V959" s="10">
        <v>5</v>
      </c>
      <c r="W959" s="10">
        <v>3</v>
      </c>
      <c r="X959" s="10">
        <v>3</v>
      </c>
      <c r="Y959" s="11">
        <v>0.45454545454545453</v>
      </c>
      <c r="Z959" s="11">
        <v>0.27272727272727271</v>
      </c>
      <c r="AA959" s="11">
        <v>0.27272727272727271</v>
      </c>
    </row>
    <row r="960" spans="21:27" x14ac:dyDescent="0.25">
      <c r="U960" s="37">
        <v>32306</v>
      </c>
      <c r="V960" s="10">
        <v>4</v>
      </c>
      <c r="W960" s="10">
        <v>6</v>
      </c>
      <c r="X960" s="10">
        <v>22</v>
      </c>
      <c r="Y960" s="11">
        <v>0.125</v>
      </c>
      <c r="Z960" s="11">
        <v>0.1875</v>
      </c>
      <c r="AA960" s="11">
        <v>0.6875</v>
      </c>
    </row>
    <row r="961" spans="21:27" x14ac:dyDescent="0.25">
      <c r="U961" s="37">
        <v>32313</v>
      </c>
      <c r="V961" s="10">
        <v>6</v>
      </c>
      <c r="W961" s="10">
        <v>1</v>
      </c>
      <c r="X961" s="10">
        <v>5</v>
      </c>
      <c r="Y961" s="11">
        <v>0.5</v>
      </c>
      <c r="Z961" s="11">
        <v>8.3333333333333329E-2</v>
      </c>
      <c r="AA961" s="11">
        <v>0.41666666666666669</v>
      </c>
    </row>
    <row r="962" spans="21:27" x14ac:dyDescent="0.25">
      <c r="U962" s="37">
        <v>32320</v>
      </c>
      <c r="V962" s="10">
        <v>8</v>
      </c>
      <c r="W962" s="10">
        <v>2</v>
      </c>
      <c r="X962" s="10">
        <v>15</v>
      </c>
      <c r="Y962" s="11">
        <v>0.32</v>
      </c>
      <c r="Z962" s="11">
        <v>0.08</v>
      </c>
      <c r="AA962" s="11">
        <v>0.6</v>
      </c>
    </row>
    <row r="963" spans="21:27" x14ac:dyDescent="0.25">
      <c r="U963" s="37">
        <v>32327</v>
      </c>
      <c r="V963" s="10">
        <v>3</v>
      </c>
      <c r="W963" s="10">
        <v>2</v>
      </c>
      <c r="X963" s="10">
        <v>1</v>
      </c>
      <c r="Y963" s="11">
        <v>0.5</v>
      </c>
      <c r="Z963" s="11">
        <v>0.33333333333333331</v>
      </c>
      <c r="AA963" s="11">
        <v>0.16666666666666666</v>
      </c>
    </row>
    <row r="964" spans="21:27" x14ac:dyDescent="0.25">
      <c r="U964" s="37">
        <v>32334</v>
      </c>
      <c r="V964" s="10">
        <v>11</v>
      </c>
      <c r="W964" s="10">
        <v>1</v>
      </c>
      <c r="X964" s="10">
        <v>21</v>
      </c>
      <c r="Y964" s="11">
        <v>0.33333333333333331</v>
      </c>
      <c r="Z964" s="11">
        <v>3.0303030303030304E-2</v>
      </c>
      <c r="AA964" s="11">
        <v>0.63636363636363635</v>
      </c>
    </row>
    <row r="965" spans="21:27" x14ac:dyDescent="0.25">
      <c r="U965" s="37">
        <v>32341</v>
      </c>
      <c r="V965" s="10">
        <v>11</v>
      </c>
      <c r="W965" s="10">
        <v>5</v>
      </c>
      <c r="X965" s="10">
        <v>6</v>
      </c>
      <c r="Y965" s="11">
        <v>0.5</v>
      </c>
      <c r="Z965" s="11">
        <v>0.22727272727272727</v>
      </c>
      <c r="AA965" s="11">
        <v>0.27272727272727271</v>
      </c>
    </row>
    <row r="966" spans="21:27" x14ac:dyDescent="0.25">
      <c r="U966" s="37">
        <v>32348</v>
      </c>
      <c r="V966" s="10">
        <v>15</v>
      </c>
      <c r="W966" s="10">
        <v>3</v>
      </c>
      <c r="X966" s="10">
        <v>8</v>
      </c>
      <c r="Y966" s="11">
        <v>0.57692307692307687</v>
      </c>
      <c r="Z966" s="11">
        <v>0.11538461538461539</v>
      </c>
      <c r="AA966" s="11">
        <v>0.30769230769230771</v>
      </c>
    </row>
    <row r="967" spans="21:27" x14ac:dyDescent="0.25">
      <c r="U967" s="37">
        <v>32355</v>
      </c>
      <c r="V967" s="10">
        <v>3</v>
      </c>
      <c r="W967" s="10">
        <v>0</v>
      </c>
      <c r="X967" s="10">
        <v>7</v>
      </c>
      <c r="Y967" s="11">
        <v>0.3</v>
      </c>
      <c r="Z967" s="11">
        <v>0</v>
      </c>
      <c r="AA967" s="11">
        <v>0.7</v>
      </c>
    </row>
    <row r="968" spans="21:27" x14ac:dyDescent="0.25">
      <c r="U968" s="37">
        <v>32362</v>
      </c>
      <c r="V968" s="10">
        <v>9</v>
      </c>
      <c r="W968" s="10">
        <v>3</v>
      </c>
      <c r="X968" s="10">
        <v>14</v>
      </c>
      <c r="Y968" s="11">
        <v>0.34615384615384615</v>
      </c>
      <c r="Z968" s="11">
        <v>0.11538461538461539</v>
      </c>
      <c r="AA968" s="11">
        <v>0.53846153846153844</v>
      </c>
    </row>
    <row r="969" spans="21:27" x14ac:dyDescent="0.25">
      <c r="U969" s="37">
        <v>32369</v>
      </c>
      <c r="V969" s="10">
        <v>2</v>
      </c>
      <c r="W969" s="10">
        <v>0</v>
      </c>
      <c r="X969" s="10">
        <v>4</v>
      </c>
      <c r="Y969" s="11">
        <v>0.33333333333333331</v>
      </c>
      <c r="Z969" s="11">
        <v>0</v>
      </c>
      <c r="AA969" s="11">
        <v>0.66666666666666663</v>
      </c>
    </row>
    <row r="970" spans="21:27" x14ac:dyDescent="0.25">
      <c r="U970" s="37">
        <v>32370</v>
      </c>
      <c r="V970" s="10">
        <v>2</v>
      </c>
      <c r="W970" s="10">
        <v>0</v>
      </c>
      <c r="X970" s="10">
        <v>4</v>
      </c>
      <c r="Y970" s="11">
        <v>0.33333333333333331</v>
      </c>
      <c r="Z970" s="11">
        <v>0</v>
      </c>
      <c r="AA970" s="11">
        <v>0.66666666666666663</v>
      </c>
    </row>
    <row r="971" spans="21:27" x14ac:dyDescent="0.25">
      <c r="U971" s="37">
        <v>32376</v>
      </c>
      <c r="V971" s="10">
        <v>4</v>
      </c>
      <c r="W971" s="10">
        <v>8</v>
      </c>
      <c r="X971" s="10">
        <v>9</v>
      </c>
      <c r="Y971" s="11">
        <v>0.19047619047619047</v>
      </c>
      <c r="Z971" s="11">
        <v>0.38095238095238093</v>
      </c>
      <c r="AA971" s="11">
        <v>0.42857142857142855</v>
      </c>
    </row>
    <row r="972" spans="21:27" x14ac:dyDescent="0.25">
      <c r="U972" s="37">
        <v>32383</v>
      </c>
      <c r="V972" s="10">
        <v>7</v>
      </c>
      <c r="W972" s="10">
        <v>10</v>
      </c>
      <c r="X972" s="10">
        <v>17</v>
      </c>
      <c r="Y972" s="11">
        <v>0.20588235294117646</v>
      </c>
      <c r="Z972" s="11">
        <v>0.29411764705882354</v>
      </c>
      <c r="AA972" s="11">
        <v>0.5</v>
      </c>
    </row>
    <row r="973" spans="21:27" x14ac:dyDescent="0.25">
      <c r="U973" s="37">
        <v>32390</v>
      </c>
      <c r="V973" s="10">
        <v>9</v>
      </c>
      <c r="W973" s="10">
        <v>1</v>
      </c>
      <c r="X973" s="10">
        <v>10</v>
      </c>
      <c r="Y973" s="11">
        <v>0.45</v>
      </c>
      <c r="Z973" s="11">
        <v>0.05</v>
      </c>
      <c r="AA973" s="11">
        <v>0.5</v>
      </c>
    </row>
    <row r="974" spans="21:27" x14ac:dyDescent="0.25">
      <c r="U974" s="37">
        <v>32397</v>
      </c>
      <c r="V974" s="10">
        <v>4</v>
      </c>
      <c r="W974" s="10">
        <v>4</v>
      </c>
      <c r="X974" s="10">
        <v>5</v>
      </c>
      <c r="Y974" s="11">
        <v>0.30769230769230771</v>
      </c>
      <c r="Z974" s="11">
        <v>0.30769230769230771</v>
      </c>
      <c r="AA974" s="11">
        <v>0.38461538461538464</v>
      </c>
    </row>
    <row r="975" spans="21:27" x14ac:dyDescent="0.25">
      <c r="U975" s="37">
        <v>32404</v>
      </c>
      <c r="V975" s="10">
        <v>8</v>
      </c>
      <c r="W975" s="10">
        <v>5</v>
      </c>
      <c r="X975" s="10">
        <v>6</v>
      </c>
      <c r="Y975" s="11">
        <v>0.42105263157894735</v>
      </c>
      <c r="Z975" s="11">
        <v>0.26315789473684209</v>
      </c>
      <c r="AA975" s="11">
        <v>0.31578947368421051</v>
      </c>
    </row>
    <row r="976" spans="21:27" x14ac:dyDescent="0.25">
      <c r="U976" s="37">
        <v>32411</v>
      </c>
      <c r="V976" s="10">
        <v>3</v>
      </c>
      <c r="W976" s="10">
        <v>5</v>
      </c>
      <c r="X976" s="10">
        <v>9</v>
      </c>
      <c r="Y976" s="11">
        <v>0.17647058823529413</v>
      </c>
      <c r="Z976" s="11">
        <v>0.29411764705882354</v>
      </c>
      <c r="AA976" s="11">
        <v>0.52941176470588236</v>
      </c>
    </row>
    <row r="977" spans="21:27" x14ac:dyDescent="0.25">
      <c r="U977" s="37">
        <v>32418</v>
      </c>
      <c r="V977" s="10">
        <v>12</v>
      </c>
      <c r="W977" s="10">
        <v>3</v>
      </c>
      <c r="X977" s="10">
        <v>6</v>
      </c>
      <c r="Y977" s="11">
        <v>0.5714285714285714</v>
      </c>
      <c r="Z977" s="11">
        <v>0.14285714285714285</v>
      </c>
      <c r="AA977" s="11">
        <v>0.2857142857142857</v>
      </c>
    </row>
    <row r="978" spans="21:27" x14ac:dyDescent="0.25">
      <c r="U978" s="37">
        <v>32425</v>
      </c>
      <c r="V978" s="10">
        <v>9</v>
      </c>
      <c r="W978" s="10">
        <v>11</v>
      </c>
      <c r="X978" s="10">
        <v>40</v>
      </c>
      <c r="Y978" s="11">
        <v>0.15</v>
      </c>
      <c r="Z978" s="11">
        <v>0.18333333333333332</v>
      </c>
      <c r="AA978" s="11">
        <v>0.66666666666666663</v>
      </c>
    </row>
    <row r="979" spans="21:27" x14ac:dyDescent="0.25">
      <c r="U979" s="37">
        <v>32432</v>
      </c>
      <c r="V979" s="10">
        <v>3</v>
      </c>
      <c r="W979" s="10">
        <v>0</v>
      </c>
      <c r="X979" s="10">
        <v>6</v>
      </c>
      <c r="Y979" s="11">
        <v>0.33333333333333331</v>
      </c>
      <c r="Z979" s="11">
        <v>0</v>
      </c>
      <c r="AA979" s="11">
        <v>0.66666666666666663</v>
      </c>
    </row>
    <row r="980" spans="21:27" x14ac:dyDescent="0.25">
      <c r="U980" s="37">
        <v>32439</v>
      </c>
      <c r="V980" s="10">
        <v>19</v>
      </c>
      <c r="W980" s="10">
        <v>12</v>
      </c>
      <c r="X980" s="10">
        <v>8</v>
      </c>
      <c r="Y980" s="11">
        <v>0.48717948717948717</v>
      </c>
      <c r="Z980" s="11">
        <v>0.30769230769230771</v>
      </c>
      <c r="AA980" s="11">
        <v>0.20512820512820512</v>
      </c>
    </row>
    <row r="981" spans="21:27" x14ac:dyDescent="0.25">
      <c r="U981" s="37">
        <v>32446</v>
      </c>
      <c r="V981" s="10">
        <v>13</v>
      </c>
      <c r="W981" s="10">
        <v>9</v>
      </c>
      <c r="X981" s="10">
        <v>12</v>
      </c>
      <c r="Y981" s="11">
        <v>0.38235294117647056</v>
      </c>
      <c r="Z981" s="11">
        <v>0.26470588235294118</v>
      </c>
      <c r="AA981" s="11">
        <v>0.35294117647058826</v>
      </c>
    </row>
    <row r="982" spans="21:27" x14ac:dyDescent="0.25">
      <c r="U982" s="37">
        <v>32448</v>
      </c>
      <c r="V982" s="10">
        <v>8</v>
      </c>
      <c r="W982" s="10">
        <v>12</v>
      </c>
      <c r="X982" s="10">
        <v>10</v>
      </c>
      <c r="Y982" s="11">
        <v>0.26666666666666666</v>
      </c>
      <c r="Z982" s="11">
        <v>0.4</v>
      </c>
      <c r="AA982" s="11">
        <v>0.33333333333333331</v>
      </c>
    </row>
    <row r="983" spans="21:27" x14ac:dyDescent="0.25">
      <c r="U983" s="37">
        <v>32453</v>
      </c>
      <c r="V983" s="10">
        <v>5</v>
      </c>
      <c r="W983" s="10">
        <v>1</v>
      </c>
      <c r="X983" s="10">
        <v>10</v>
      </c>
      <c r="Y983" s="11">
        <v>0.3125</v>
      </c>
      <c r="Z983" s="11">
        <v>6.25E-2</v>
      </c>
      <c r="AA983" s="11">
        <v>0.625</v>
      </c>
    </row>
    <row r="984" spans="21:27" x14ac:dyDescent="0.25">
      <c r="U984" s="37">
        <v>32460</v>
      </c>
      <c r="V984" s="10">
        <v>3</v>
      </c>
      <c r="W984" s="10">
        <v>3</v>
      </c>
      <c r="X984" s="10">
        <v>3</v>
      </c>
      <c r="Y984" s="11">
        <v>0.33333333333333331</v>
      </c>
      <c r="Z984" s="11">
        <v>0.33333333333333331</v>
      </c>
      <c r="AA984" s="11">
        <v>0.33333333333333331</v>
      </c>
    </row>
    <row r="985" spans="21:27" x14ac:dyDescent="0.25">
      <c r="U985" s="37">
        <v>32467</v>
      </c>
      <c r="V985" s="10">
        <v>20</v>
      </c>
      <c r="W985" s="10">
        <v>5</v>
      </c>
      <c r="X985" s="10">
        <v>16</v>
      </c>
      <c r="Y985" s="11">
        <v>0.48780487804878048</v>
      </c>
      <c r="Z985" s="11">
        <v>0.12195121951219512</v>
      </c>
      <c r="AA985" s="11">
        <v>0.3902439024390244</v>
      </c>
    </row>
    <row r="986" spans="21:27" x14ac:dyDescent="0.25">
      <c r="U986" s="37">
        <v>32474</v>
      </c>
      <c r="V986" s="10">
        <v>9</v>
      </c>
      <c r="W986" s="10">
        <v>1</v>
      </c>
      <c r="X986" s="10">
        <v>3</v>
      </c>
      <c r="Y986" s="11">
        <v>0.69230769230769229</v>
      </c>
      <c r="Z986" s="11">
        <v>7.6923076923076927E-2</v>
      </c>
      <c r="AA986" s="11">
        <v>0.23076923076923078</v>
      </c>
    </row>
    <row r="987" spans="21:27" x14ac:dyDescent="0.25">
      <c r="U987" s="37">
        <v>32481</v>
      </c>
      <c r="V987" s="10">
        <v>4</v>
      </c>
      <c r="W987" s="10">
        <v>4</v>
      </c>
      <c r="X987" s="10">
        <v>15</v>
      </c>
      <c r="Y987" s="11">
        <v>0.17391304347826086</v>
      </c>
      <c r="Z987" s="11">
        <v>0.17391304347826086</v>
      </c>
      <c r="AA987" s="11">
        <v>0.65217391304347827</v>
      </c>
    </row>
    <row r="988" spans="21:27" x14ac:dyDescent="0.25">
      <c r="U988" s="37">
        <v>32488</v>
      </c>
      <c r="V988" s="10">
        <v>7</v>
      </c>
      <c r="W988" s="10">
        <v>5</v>
      </c>
      <c r="X988" s="10">
        <v>7</v>
      </c>
      <c r="Y988" s="11">
        <v>0.36842105263157893</v>
      </c>
      <c r="Z988" s="11">
        <v>0.26315789473684209</v>
      </c>
      <c r="AA988" s="11">
        <v>0.36842105263157893</v>
      </c>
    </row>
    <row r="989" spans="21:27" x14ac:dyDescent="0.25">
      <c r="U989" s="37">
        <v>32495</v>
      </c>
      <c r="V989" s="10">
        <v>4</v>
      </c>
      <c r="W989" s="10">
        <v>3</v>
      </c>
      <c r="X989" s="10">
        <v>11</v>
      </c>
      <c r="Y989" s="11">
        <v>0.22222222222222221</v>
      </c>
      <c r="Z989" s="11">
        <v>0.16666666666666666</v>
      </c>
      <c r="AA989" s="11">
        <v>0.61111111111111116</v>
      </c>
    </row>
    <row r="990" spans="21:27" x14ac:dyDescent="0.25">
      <c r="U990" s="37">
        <v>32501</v>
      </c>
      <c r="V990" s="10">
        <v>12</v>
      </c>
      <c r="W990" s="10">
        <v>9</v>
      </c>
      <c r="X990" s="10">
        <v>8</v>
      </c>
      <c r="Y990" s="11">
        <v>0.41379310344827586</v>
      </c>
      <c r="Z990" s="11">
        <v>0.31034482758620691</v>
      </c>
      <c r="AA990" s="11">
        <v>0.27586206896551724</v>
      </c>
    </row>
    <row r="991" spans="21:27" x14ac:dyDescent="0.25">
      <c r="U991" s="37">
        <v>32502</v>
      </c>
      <c r="V991" s="10">
        <v>5</v>
      </c>
      <c r="W991" s="10">
        <v>2</v>
      </c>
      <c r="X991" s="10">
        <v>8</v>
      </c>
      <c r="Y991" s="11">
        <v>0.33333333333333331</v>
      </c>
      <c r="Z991" s="11">
        <v>0.13333333333333333</v>
      </c>
      <c r="AA991" s="11">
        <v>0.53333333333333333</v>
      </c>
    </row>
    <row r="992" spans="21:27" x14ac:dyDescent="0.25">
      <c r="U992" s="37">
        <v>32509</v>
      </c>
      <c r="V992" s="10">
        <v>8</v>
      </c>
      <c r="W992" s="10">
        <v>10</v>
      </c>
      <c r="X992" s="10">
        <v>5</v>
      </c>
      <c r="Y992" s="11">
        <v>0.34782608695652173</v>
      </c>
      <c r="Z992" s="11">
        <v>0.43478260869565216</v>
      </c>
      <c r="AA992" s="11">
        <v>0.21739130434782608</v>
      </c>
    </row>
    <row r="993" spans="21:27" x14ac:dyDescent="0.25">
      <c r="U993" s="37">
        <v>32516</v>
      </c>
      <c r="V993" s="10">
        <v>7</v>
      </c>
      <c r="W993" s="10">
        <v>11</v>
      </c>
      <c r="X993" s="10">
        <v>23</v>
      </c>
      <c r="Y993" s="11">
        <v>0.17073170731707318</v>
      </c>
      <c r="Z993" s="11">
        <v>0.26829268292682928</v>
      </c>
      <c r="AA993" s="11">
        <v>0.56097560975609762</v>
      </c>
    </row>
    <row r="994" spans="21:27" x14ac:dyDescent="0.25">
      <c r="U994" s="37">
        <v>32523</v>
      </c>
      <c r="V994" s="10">
        <v>6</v>
      </c>
      <c r="W994" s="10">
        <v>2</v>
      </c>
      <c r="X994" s="10">
        <v>10</v>
      </c>
      <c r="Y994" s="11">
        <v>0.33333333333333331</v>
      </c>
      <c r="Z994" s="11">
        <v>0.1111111111111111</v>
      </c>
      <c r="AA994" s="11">
        <v>0.55555555555555558</v>
      </c>
    </row>
    <row r="995" spans="21:27" x14ac:dyDescent="0.25">
      <c r="U995" s="37">
        <v>32530</v>
      </c>
      <c r="V995" s="10">
        <v>10</v>
      </c>
      <c r="W995" s="10">
        <v>11</v>
      </c>
      <c r="X995" s="10">
        <v>14</v>
      </c>
      <c r="Y995" s="11">
        <v>0.2857142857142857</v>
      </c>
      <c r="Z995" s="11">
        <v>0.31428571428571428</v>
      </c>
      <c r="AA995" s="11">
        <v>0.4</v>
      </c>
    </row>
    <row r="996" spans="21:27" x14ac:dyDescent="0.25">
      <c r="U996" s="37">
        <v>32537</v>
      </c>
      <c r="V996" s="10">
        <v>8</v>
      </c>
      <c r="W996" s="10">
        <v>7</v>
      </c>
      <c r="X996" s="10">
        <v>4</v>
      </c>
      <c r="Y996" s="11">
        <v>0.42105263157894735</v>
      </c>
      <c r="Z996" s="11">
        <v>0.36842105263157893</v>
      </c>
      <c r="AA996" s="11">
        <v>0.21052631578947367</v>
      </c>
    </row>
    <row r="997" spans="21:27" x14ac:dyDescent="0.25">
      <c r="U997" s="37">
        <v>32544</v>
      </c>
      <c r="V997" s="10">
        <v>13</v>
      </c>
      <c r="W997" s="10">
        <v>10</v>
      </c>
      <c r="X997" s="10">
        <v>20</v>
      </c>
      <c r="Y997" s="11">
        <v>0.30232558139534882</v>
      </c>
      <c r="Z997" s="11">
        <v>0.23255813953488372</v>
      </c>
      <c r="AA997" s="11">
        <v>0.46511627906976744</v>
      </c>
    </row>
    <row r="998" spans="21:27" x14ac:dyDescent="0.25">
      <c r="U998" s="37">
        <v>32551</v>
      </c>
      <c r="V998" s="10">
        <v>4</v>
      </c>
      <c r="W998" s="10">
        <v>6</v>
      </c>
      <c r="X998" s="10">
        <v>2</v>
      </c>
      <c r="Y998" s="11">
        <v>0.33333333333333331</v>
      </c>
      <c r="Z998" s="11">
        <v>0.5</v>
      </c>
      <c r="AA998" s="11">
        <v>0.16666666666666666</v>
      </c>
    </row>
    <row r="999" spans="21:27" x14ac:dyDescent="0.25">
      <c r="U999" s="37">
        <v>32558</v>
      </c>
      <c r="V999" s="10">
        <v>10</v>
      </c>
      <c r="W999" s="10">
        <v>9</v>
      </c>
      <c r="X999" s="10">
        <v>11</v>
      </c>
      <c r="Y999" s="11">
        <v>0.33333333333333331</v>
      </c>
      <c r="Z999" s="11">
        <v>0.3</v>
      </c>
      <c r="AA999" s="11">
        <v>0.36666666666666664</v>
      </c>
    </row>
    <row r="1000" spans="21:27" x14ac:dyDescent="0.25">
      <c r="U1000" s="37">
        <v>32565</v>
      </c>
      <c r="V1000" s="10">
        <v>11</v>
      </c>
      <c r="W1000" s="10">
        <v>6</v>
      </c>
      <c r="X1000" s="10">
        <v>7</v>
      </c>
      <c r="Y1000" s="11">
        <v>0.45833333333333331</v>
      </c>
      <c r="Z1000" s="11">
        <v>0.25</v>
      </c>
      <c r="AA1000" s="11">
        <v>0.29166666666666669</v>
      </c>
    </row>
    <row r="1001" spans="21:27" x14ac:dyDescent="0.25">
      <c r="U1001" s="37">
        <v>32572</v>
      </c>
      <c r="V1001" s="10">
        <v>3</v>
      </c>
      <c r="W1001" s="10">
        <v>3</v>
      </c>
      <c r="X1001" s="10">
        <v>5</v>
      </c>
      <c r="Y1001" s="11">
        <v>0.27272727272727271</v>
      </c>
      <c r="Z1001" s="11">
        <v>0.27272727272727271</v>
      </c>
      <c r="AA1001" s="11">
        <v>0.45454545454545453</v>
      </c>
    </row>
    <row r="1002" spans="21:27" x14ac:dyDescent="0.25">
      <c r="U1002" s="37">
        <v>32579</v>
      </c>
      <c r="V1002" s="10">
        <v>8</v>
      </c>
      <c r="W1002" s="10">
        <v>2</v>
      </c>
      <c r="X1002" s="10">
        <v>8</v>
      </c>
      <c r="Y1002" s="11">
        <v>0.44444444444444442</v>
      </c>
      <c r="Z1002" s="11">
        <v>0.1111111111111111</v>
      </c>
      <c r="AA1002" s="11">
        <v>0.44444444444444442</v>
      </c>
    </row>
    <row r="1003" spans="21:27" x14ac:dyDescent="0.25">
      <c r="U1003" s="37">
        <v>32586</v>
      </c>
      <c r="V1003" s="10">
        <v>2</v>
      </c>
      <c r="W1003" s="10">
        <v>2</v>
      </c>
      <c r="X1003" s="10">
        <v>6</v>
      </c>
      <c r="Y1003" s="11">
        <v>0.2</v>
      </c>
      <c r="Z1003" s="11">
        <v>0.2</v>
      </c>
      <c r="AA1003" s="11">
        <v>0.6</v>
      </c>
    </row>
    <row r="1004" spans="21:27" x14ac:dyDescent="0.25">
      <c r="U1004" s="37">
        <v>32593</v>
      </c>
      <c r="V1004" s="10">
        <v>7</v>
      </c>
      <c r="W1004" s="10">
        <v>4</v>
      </c>
      <c r="X1004" s="10">
        <v>4</v>
      </c>
      <c r="Y1004" s="11">
        <v>0.46666666666666667</v>
      </c>
      <c r="Z1004" s="11">
        <v>0.26666666666666666</v>
      </c>
      <c r="AA1004" s="11">
        <v>0.26666666666666666</v>
      </c>
    </row>
    <row r="1005" spans="21:27" x14ac:dyDescent="0.25">
      <c r="U1005" s="37">
        <v>32600</v>
      </c>
      <c r="V1005" s="10">
        <v>4</v>
      </c>
      <c r="W1005" s="10">
        <v>2</v>
      </c>
      <c r="X1005" s="10">
        <v>6</v>
      </c>
      <c r="Y1005" s="11">
        <v>0.33333333333333331</v>
      </c>
      <c r="Z1005" s="11">
        <v>0.16666666666666666</v>
      </c>
      <c r="AA1005" s="11">
        <v>0.5</v>
      </c>
    </row>
    <row r="1006" spans="21:27" x14ac:dyDescent="0.25">
      <c r="U1006" s="37">
        <v>32607</v>
      </c>
      <c r="V1006" s="10">
        <v>3</v>
      </c>
      <c r="W1006" s="10">
        <v>1</v>
      </c>
      <c r="X1006" s="10">
        <v>12</v>
      </c>
      <c r="Y1006" s="11">
        <v>0.1875</v>
      </c>
      <c r="Z1006" s="11">
        <v>6.25E-2</v>
      </c>
      <c r="AA1006" s="11">
        <v>0.75</v>
      </c>
    </row>
    <row r="1007" spans="21:27" x14ac:dyDescent="0.25">
      <c r="U1007" s="37">
        <v>32614</v>
      </c>
      <c r="V1007" s="10">
        <v>17</v>
      </c>
      <c r="W1007" s="10">
        <v>2</v>
      </c>
      <c r="X1007" s="10">
        <v>5</v>
      </c>
      <c r="Y1007" s="11">
        <v>0.70833333333333337</v>
      </c>
      <c r="Z1007" s="11">
        <v>8.3333333333333329E-2</v>
      </c>
      <c r="AA1007" s="11">
        <v>0.20833333333333334</v>
      </c>
    </row>
    <row r="1008" spans="21:27" x14ac:dyDescent="0.25">
      <c r="U1008" s="37">
        <v>32621</v>
      </c>
      <c r="V1008" s="10">
        <v>8</v>
      </c>
      <c r="W1008" s="10">
        <v>8</v>
      </c>
      <c r="X1008" s="10">
        <v>15</v>
      </c>
      <c r="Y1008" s="11">
        <v>0.25806451612903225</v>
      </c>
      <c r="Z1008" s="11">
        <v>0.25806451612903225</v>
      </c>
      <c r="AA1008" s="11">
        <v>0.4838709677419355</v>
      </c>
    </row>
    <row r="1009" spans="21:27" x14ac:dyDescent="0.25">
      <c r="U1009" s="37">
        <v>32628</v>
      </c>
      <c r="V1009" s="10">
        <v>23</v>
      </c>
      <c r="W1009" s="10">
        <v>16</v>
      </c>
      <c r="X1009" s="10">
        <v>28</v>
      </c>
      <c r="Y1009" s="11">
        <v>0.34328358208955223</v>
      </c>
      <c r="Z1009" s="11">
        <v>0.23880597014925373</v>
      </c>
      <c r="AA1009" s="11">
        <v>0.41791044776119401</v>
      </c>
    </row>
    <row r="1010" spans="21:27" x14ac:dyDescent="0.25">
      <c r="U1010" s="37">
        <v>32635</v>
      </c>
      <c r="V1010" s="10">
        <v>3</v>
      </c>
      <c r="W1010" s="10">
        <v>8</v>
      </c>
      <c r="X1010" s="10">
        <v>6</v>
      </c>
      <c r="Y1010" s="11">
        <v>0.17647058823529413</v>
      </c>
      <c r="Z1010" s="11">
        <v>0.47058823529411764</v>
      </c>
      <c r="AA1010" s="11">
        <v>0.35294117647058826</v>
      </c>
    </row>
    <row r="1011" spans="21:27" x14ac:dyDescent="0.25">
      <c r="U1011" s="37">
        <v>32642</v>
      </c>
      <c r="V1011" s="10">
        <v>9</v>
      </c>
      <c r="W1011" s="10">
        <v>6</v>
      </c>
      <c r="X1011" s="10">
        <v>18</v>
      </c>
      <c r="Y1011" s="11">
        <v>0.27272727272727271</v>
      </c>
      <c r="Z1011" s="11">
        <v>0.18181818181818182</v>
      </c>
      <c r="AA1011" s="11">
        <v>0.54545454545454541</v>
      </c>
    </row>
    <row r="1012" spans="21:27" x14ac:dyDescent="0.25">
      <c r="U1012" s="37">
        <v>32649</v>
      </c>
      <c r="V1012" s="10">
        <v>0</v>
      </c>
      <c r="W1012" s="10">
        <v>7</v>
      </c>
      <c r="X1012" s="10">
        <v>9</v>
      </c>
      <c r="Y1012" s="11">
        <v>0</v>
      </c>
      <c r="Z1012" s="11">
        <v>0.4375</v>
      </c>
      <c r="AA1012" s="11">
        <v>0.5625</v>
      </c>
    </row>
    <row r="1013" spans="21:27" x14ac:dyDescent="0.25">
      <c r="U1013" s="37">
        <v>32656</v>
      </c>
      <c r="V1013" s="10">
        <v>6</v>
      </c>
      <c r="W1013" s="10">
        <v>2</v>
      </c>
      <c r="X1013" s="10">
        <v>4</v>
      </c>
      <c r="Y1013" s="11">
        <v>0.5</v>
      </c>
      <c r="Z1013" s="11">
        <v>0.16666666666666666</v>
      </c>
      <c r="AA1013" s="11">
        <v>0.33333333333333331</v>
      </c>
    </row>
    <row r="1014" spans="21:27" x14ac:dyDescent="0.25">
      <c r="U1014" s="37">
        <v>32663</v>
      </c>
      <c r="V1014" s="10">
        <v>5</v>
      </c>
      <c r="W1014" s="10">
        <v>8</v>
      </c>
      <c r="X1014" s="10">
        <v>3</v>
      </c>
      <c r="Y1014" s="11">
        <v>0.3125</v>
      </c>
      <c r="Z1014" s="11">
        <v>0.5</v>
      </c>
      <c r="AA1014" s="11">
        <v>0.1875</v>
      </c>
    </row>
    <row r="1015" spans="21:27" x14ac:dyDescent="0.25">
      <c r="U1015" s="37">
        <v>32670</v>
      </c>
      <c r="V1015" s="10">
        <v>10</v>
      </c>
      <c r="W1015" s="10">
        <v>12</v>
      </c>
      <c r="X1015" s="10">
        <v>6</v>
      </c>
      <c r="Y1015" s="11">
        <v>0.35714285714285715</v>
      </c>
      <c r="Z1015" s="11">
        <v>0.42857142857142855</v>
      </c>
      <c r="AA1015" s="11">
        <v>0.21428571428571427</v>
      </c>
    </row>
    <row r="1016" spans="21:27" x14ac:dyDescent="0.25">
      <c r="U1016" s="37">
        <v>32677</v>
      </c>
      <c r="V1016" s="10">
        <v>6</v>
      </c>
      <c r="W1016" s="10">
        <v>6</v>
      </c>
      <c r="X1016" s="10">
        <v>9</v>
      </c>
      <c r="Y1016" s="11">
        <v>0.2857142857142857</v>
      </c>
      <c r="Z1016" s="11">
        <v>0.2857142857142857</v>
      </c>
      <c r="AA1016" s="11">
        <v>0.42857142857142855</v>
      </c>
    </row>
    <row r="1017" spans="21:27" x14ac:dyDescent="0.25">
      <c r="U1017" s="37">
        <v>32684</v>
      </c>
      <c r="V1017" s="10">
        <v>4</v>
      </c>
      <c r="W1017" s="10">
        <v>2</v>
      </c>
      <c r="X1017" s="10">
        <v>6</v>
      </c>
      <c r="Y1017" s="11">
        <v>0.33333333333333331</v>
      </c>
      <c r="Z1017" s="11">
        <v>0.16666666666666666</v>
      </c>
      <c r="AA1017" s="11">
        <v>0.5</v>
      </c>
    </row>
    <row r="1018" spans="21:27" x14ac:dyDescent="0.25">
      <c r="U1018" s="37">
        <v>32691</v>
      </c>
      <c r="V1018" s="10">
        <v>9</v>
      </c>
      <c r="W1018" s="10">
        <v>10</v>
      </c>
      <c r="X1018" s="10">
        <v>17</v>
      </c>
      <c r="Y1018" s="11">
        <v>0.25</v>
      </c>
      <c r="Z1018" s="11">
        <v>0.27777777777777779</v>
      </c>
      <c r="AA1018" s="11">
        <v>0.47222222222222221</v>
      </c>
    </row>
    <row r="1019" spans="21:27" x14ac:dyDescent="0.25">
      <c r="U1019" s="37">
        <v>32698</v>
      </c>
      <c r="V1019" s="10">
        <v>3</v>
      </c>
      <c r="W1019" s="10">
        <v>3</v>
      </c>
      <c r="X1019" s="10">
        <v>5</v>
      </c>
      <c r="Y1019" s="11">
        <v>0.27272727272727271</v>
      </c>
      <c r="Z1019" s="11">
        <v>0.27272727272727271</v>
      </c>
      <c r="AA1019" s="11">
        <v>0.45454545454545453</v>
      </c>
    </row>
    <row r="1020" spans="21:27" x14ac:dyDescent="0.25">
      <c r="U1020" s="37">
        <v>32705</v>
      </c>
      <c r="V1020" s="10">
        <v>4</v>
      </c>
      <c r="W1020" s="10">
        <v>2</v>
      </c>
      <c r="X1020" s="10">
        <v>3</v>
      </c>
      <c r="Y1020" s="11">
        <v>0.44444444444444442</v>
      </c>
      <c r="Z1020" s="11">
        <v>0.22222222222222221</v>
      </c>
      <c r="AA1020" s="11">
        <v>0.33333333333333331</v>
      </c>
    </row>
    <row r="1021" spans="21:27" x14ac:dyDescent="0.25">
      <c r="U1021" s="37">
        <v>32712</v>
      </c>
      <c r="V1021" s="10">
        <v>4</v>
      </c>
      <c r="W1021" s="10">
        <v>4</v>
      </c>
      <c r="X1021" s="10">
        <v>6</v>
      </c>
      <c r="Y1021" s="11">
        <v>0.2857142857142857</v>
      </c>
      <c r="Z1021" s="11">
        <v>0.2857142857142857</v>
      </c>
      <c r="AA1021" s="11">
        <v>0.42857142857142855</v>
      </c>
    </row>
    <row r="1022" spans="21:27" x14ac:dyDescent="0.25">
      <c r="U1022" s="37">
        <v>32719</v>
      </c>
      <c r="V1022" s="10">
        <v>19</v>
      </c>
      <c r="W1022" s="10">
        <v>1</v>
      </c>
      <c r="X1022" s="10">
        <v>2</v>
      </c>
      <c r="Y1022" s="11">
        <v>0.86363636363636365</v>
      </c>
      <c r="Z1022" s="11">
        <v>4.5454545454545456E-2</v>
      </c>
      <c r="AA1022" s="11">
        <v>9.0909090909090912E-2</v>
      </c>
    </row>
    <row r="1023" spans="21:27" x14ac:dyDescent="0.25">
      <c r="U1023" s="37">
        <v>32726</v>
      </c>
      <c r="V1023" s="10">
        <v>2</v>
      </c>
      <c r="W1023" s="10">
        <v>4</v>
      </c>
      <c r="X1023" s="10">
        <v>15</v>
      </c>
      <c r="Y1023" s="11">
        <v>9.5238095238095233E-2</v>
      </c>
      <c r="Z1023" s="11">
        <v>0.19047619047619047</v>
      </c>
      <c r="AA1023" s="11">
        <v>0.7142857142857143</v>
      </c>
    </row>
    <row r="1024" spans="21:27" x14ac:dyDescent="0.25">
      <c r="U1024" s="37">
        <v>32733</v>
      </c>
      <c r="V1024" s="10">
        <v>7</v>
      </c>
      <c r="W1024" s="10">
        <v>2</v>
      </c>
      <c r="X1024" s="10">
        <v>4</v>
      </c>
      <c r="Y1024" s="11">
        <v>0.53846153846153844</v>
      </c>
      <c r="Z1024" s="11">
        <v>0.15384615384615385</v>
      </c>
      <c r="AA1024" s="11">
        <v>0.30769230769230771</v>
      </c>
    </row>
    <row r="1025" spans="21:27" x14ac:dyDescent="0.25">
      <c r="U1025" s="37">
        <v>32735</v>
      </c>
      <c r="V1025" s="10">
        <v>3</v>
      </c>
      <c r="W1025" s="10">
        <v>0</v>
      </c>
      <c r="X1025" s="10">
        <v>6</v>
      </c>
      <c r="Y1025" s="11">
        <v>0.33333333333333331</v>
      </c>
      <c r="Z1025" s="11">
        <v>0</v>
      </c>
      <c r="AA1025" s="11">
        <v>0.66666666666666663</v>
      </c>
    </row>
    <row r="1026" spans="21:27" x14ac:dyDescent="0.25">
      <c r="U1026" s="37">
        <v>32740</v>
      </c>
      <c r="V1026" s="10">
        <v>13</v>
      </c>
      <c r="W1026" s="10">
        <v>13</v>
      </c>
      <c r="X1026" s="10">
        <v>21</v>
      </c>
      <c r="Y1026" s="11">
        <v>0.27659574468085107</v>
      </c>
      <c r="Z1026" s="11">
        <v>0.27659574468085107</v>
      </c>
      <c r="AA1026" s="11">
        <v>0.44680851063829785</v>
      </c>
    </row>
    <row r="1027" spans="21:27" x14ac:dyDescent="0.25">
      <c r="U1027" s="37">
        <v>32747</v>
      </c>
      <c r="V1027" s="10">
        <v>6</v>
      </c>
      <c r="W1027" s="10">
        <v>8</v>
      </c>
      <c r="X1027" s="10">
        <v>12</v>
      </c>
      <c r="Y1027" s="11">
        <v>0.23076923076923078</v>
      </c>
      <c r="Z1027" s="11">
        <v>0.30769230769230771</v>
      </c>
      <c r="AA1027" s="11">
        <v>0.46153846153846156</v>
      </c>
    </row>
    <row r="1028" spans="21:27" x14ac:dyDescent="0.25">
      <c r="U1028" s="37">
        <v>32754</v>
      </c>
      <c r="V1028" s="10">
        <v>11</v>
      </c>
      <c r="W1028" s="10">
        <v>0</v>
      </c>
      <c r="X1028" s="10">
        <v>5</v>
      </c>
      <c r="Y1028" s="11">
        <v>0.6875</v>
      </c>
      <c r="Z1028" s="11">
        <v>0</v>
      </c>
      <c r="AA1028" s="11">
        <v>0.3125</v>
      </c>
    </row>
    <row r="1029" spans="21:27" x14ac:dyDescent="0.25">
      <c r="U1029" s="37">
        <v>32761</v>
      </c>
      <c r="V1029" s="10">
        <v>8</v>
      </c>
      <c r="W1029" s="10">
        <v>5</v>
      </c>
      <c r="X1029" s="10">
        <v>22</v>
      </c>
      <c r="Y1029" s="11">
        <v>0.22857142857142856</v>
      </c>
      <c r="Z1029" s="11">
        <v>0.14285714285714285</v>
      </c>
      <c r="AA1029" s="11">
        <v>0.62857142857142856</v>
      </c>
    </row>
    <row r="1030" spans="21:27" x14ac:dyDescent="0.25">
      <c r="U1030" s="37">
        <v>32768</v>
      </c>
      <c r="V1030" s="10">
        <v>13</v>
      </c>
      <c r="W1030" s="10">
        <v>5</v>
      </c>
      <c r="X1030" s="10">
        <v>5</v>
      </c>
      <c r="Y1030" s="11">
        <v>0.56521739130434778</v>
      </c>
      <c r="Z1030" s="11">
        <v>0.21739130434782608</v>
      </c>
      <c r="AA1030" s="11">
        <v>0.21739130434782608</v>
      </c>
    </row>
    <row r="1031" spans="21:27" x14ac:dyDescent="0.25">
      <c r="U1031" s="37">
        <v>32775</v>
      </c>
      <c r="V1031" s="10">
        <v>9</v>
      </c>
      <c r="W1031" s="10">
        <v>2</v>
      </c>
      <c r="X1031" s="10">
        <v>3</v>
      </c>
      <c r="Y1031" s="11">
        <v>0.6428571428571429</v>
      </c>
      <c r="Z1031" s="11">
        <v>0.14285714285714285</v>
      </c>
      <c r="AA1031" s="11">
        <v>0.21428571428571427</v>
      </c>
    </row>
    <row r="1032" spans="21:27" x14ac:dyDescent="0.25">
      <c r="U1032" s="37">
        <v>32782</v>
      </c>
      <c r="V1032" s="10">
        <v>9</v>
      </c>
      <c r="W1032" s="10">
        <v>9</v>
      </c>
      <c r="X1032" s="10">
        <v>14</v>
      </c>
      <c r="Y1032" s="11">
        <v>0.28125</v>
      </c>
      <c r="Z1032" s="11">
        <v>0.28125</v>
      </c>
      <c r="AA1032" s="11">
        <v>0.4375</v>
      </c>
    </row>
    <row r="1033" spans="21:27" x14ac:dyDescent="0.25">
      <c r="U1033" s="37">
        <v>32789</v>
      </c>
      <c r="V1033" s="10">
        <v>4</v>
      </c>
      <c r="W1033" s="10">
        <v>1</v>
      </c>
      <c r="X1033" s="10">
        <v>1</v>
      </c>
      <c r="Y1033" s="11">
        <v>0.66666666666666663</v>
      </c>
      <c r="Z1033" s="11">
        <v>0.16666666666666666</v>
      </c>
      <c r="AA1033" s="11">
        <v>0.16666666666666666</v>
      </c>
    </row>
    <row r="1034" spans="21:27" x14ac:dyDescent="0.25">
      <c r="U1034" s="37">
        <v>32796</v>
      </c>
      <c r="V1034" s="10">
        <v>1</v>
      </c>
      <c r="W1034" s="10">
        <v>7</v>
      </c>
      <c r="X1034" s="10">
        <v>17</v>
      </c>
      <c r="Y1034" s="11">
        <v>0.04</v>
      </c>
      <c r="Z1034" s="11">
        <v>0.28000000000000003</v>
      </c>
      <c r="AA1034" s="11">
        <v>0.68</v>
      </c>
    </row>
    <row r="1035" spans="21:27" x14ac:dyDescent="0.25">
      <c r="U1035" s="37">
        <v>32803</v>
      </c>
      <c r="V1035" s="10">
        <v>14</v>
      </c>
      <c r="W1035" s="10">
        <v>7</v>
      </c>
      <c r="X1035" s="10">
        <v>6</v>
      </c>
      <c r="Y1035" s="11">
        <v>0.51851851851851849</v>
      </c>
      <c r="Z1035" s="11">
        <v>0.25925925925925924</v>
      </c>
      <c r="AA1035" s="11">
        <v>0.22222222222222221</v>
      </c>
    </row>
    <row r="1036" spans="21:27" x14ac:dyDescent="0.25">
      <c r="U1036" s="37">
        <v>32810</v>
      </c>
      <c r="V1036" s="10">
        <v>11</v>
      </c>
      <c r="W1036" s="10">
        <v>5</v>
      </c>
      <c r="X1036" s="10">
        <v>4</v>
      </c>
      <c r="Y1036" s="11">
        <v>0.55000000000000004</v>
      </c>
      <c r="Z1036" s="11">
        <v>0.25</v>
      </c>
      <c r="AA1036" s="11">
        <v>0.2</v>
      </c>
    </row>
    <row r="1037" spans="21:27" x14ac:dyDescent="0.25">
      <c r="U1037" s="37">
        <v>32813</v>
      </c>
      <c r="V1037" s="10">
        <v>11</v>
      </c>
      <c r="W1037" s="10">
        <v>10</v>
      </c>
      <c r="X1037" s="10">
        <v>15</v>
      </c>
      <c r="Y1037" s="11">
        <v>0.30555555555555558</v>
      </c>
      <c r="Z1037" s="11">
        <v>0.27777777777777779</v>
      </c>
      <c r="AA1037" s="11">
        <v>0.41666666666666669</v>
      </c>
    </row>
    <row r="1038" spans="21:27" x14ac:dyDescent="0.25">
      <c r="U1038" s="37">
        <v>32817</v>
      </c>
      <c r="V1038" s="10">
        <v>6</v>
      </c>
      <c r="W1038" s="10">
        <v>10</v>
      </c>
      <c r="X1038" s="10">
        <v>9</v>
      </c>
      <c r="Y1038" s="11">
        <v>0.24</v>
      </c>
      <c r="Z1038" s="11">
        <v>0.4</v>
      </c>
      <c r="AA1038" s="11">
        <v>0.36</v>
      </c>
    </row>
    <row r="1039" spans="21:27" x14ac:dyDescent="0.25">
      <c r="U1039" s="37">
        <v>32824</v>
      </c>
      <c r="V1039" s="10">
        <v>20</v>
      </c>
      <c r="W1039" s="10">
        <v>7</v>
      </c>
      <c r="X1039" s="10">
        <v>18</v>
      </c>
      <c r="Y1039" s="11">
        <v>0.44444444444444442</v>
      </c>
      <c r="Z1039" s="11">
        <v>0.15555555555555556</v>
      </c>
      <c r="AA1039" s="11">
        <v>0.4</v>
      </c>
    </row>
    <row r="1040" spans="21:27" x14ac:dyDescent="0.25">
      <c r="U1040" s="37">
        <v>32831</v>
      </c>
      <c r="V1040" s="10">
        <v>1</v>
      </c>
      <c r="W1040" s="10">
        <v>6</v>
      </c>
      <c r="X1040" s="10">
        <v>13</v>
      </c>
      <c r="Y1040" s="11">
        <v>0.05</v>
      </c>
      <c r="Z1040" s="11">
        <v>0.3</v>
      </c>
      <c r="AA1040" s="11">
        <v>0.65</v>
      </c>
    </row>
    <row r="1041" spans="21:27" x14ac:dyDescent="0.25">
      <c r="U1041" s="37">
        <v>32838</v>
      </c>
      <c r="V1041" s="10">
        <v>8</v>
      </c>
      <c r="W1041" s="10">
        <v>4</v>
      </c>
      <c r="X1041" s="10">
        <v>19</v>
      </c>
      <c r="Y1041" s="11">
        <v>0.25806451612903225</v>
      </c>
      <c r="Z1041" s="11">
        <v>0.12903225806451613</v>
      </c>
      <c r="AA1041" s="11">
        <v>0.61290322580645162</v>
      </c>
    </row>
    <row r="1042" spans="21:27" x14ac:dyDescent="0.25">
      <c r="U1042" s="37">
        <v>32845</v>
      </c>
      <c r="V1042" s="10">
        <v>6</v>
      </c>
      <c r="W1042" s="10">
        <v>3</v>
      </c>
      <c r="X1042" s="10">
        <v>16</v>
      </c>
      <c r="Y1042" s="11">
        <v>0.24</v>
      </c>
      <c r="Z1042" s="11">
        <v>0.12</v>
      </c>
      <c r="AA1042" s="11">
        <v>0.64</v>
      </c>
    </row>
    <row r="1043" spans="21:27" x14ac:dyDescent="0.25">
      <c r="U1043" s="37">
        <v>32852</v>
      </c>
      <c r="V1043" s="10">
        <v>9</v>
      </c>
      <c r="W1043" s="10">
        <v>4</v>
      </c>
      <c r="X1043" s="10">
        <v>16</v>
      </c>
      <c r="Y1043" s="11">
        <v>0.31034482758620691</v>
      </c>
      <c r="Z1043" s="11">
        <v>0.13793103448275862</v>
      </c>
      <c r="AA1043" s="11">
        <v>0.55172413793103448</v>
      </c>
    </row>
    <row r="1044" spans="21:27" x14ac:dyDescent="0.25">
      <c r="U1044" s="37">
        <v>32859</v>
      </c>
      <c r="V1044" s="10">
        <v>9</v>
      </c>
      <c r="W1044" s="10">
        <v>3</v>
      </c>
      <c r="X1044" s="10">
        <v>12</v>
      </c>
      <c r="Y1044" s="11">
        <v>0.375</v>
      </c>
      <c r="Z1044" s="11">
        <v>0.125</v>
      </c>
      <c r="AA1044" s="11">
        <v>0.5</v>
      </c>
    </row>
    <row r="1045" spans="21:27" x14ac:dyDescent="0.25">
      <c r="U1045" s="37">
        <v>32866</v>
      </c>
      <c r="V1045" s="10">
        <v>10</v>
      </c>
      <c r="W1045" s="10">
        <v>8</v>
      </c>
      <c r="X1045" s="10">
        <v>19</v>
      </c>
      <c r="Y1045" s="11">
        <v>0.27027027027027029</v>
      </c>
      <c r="Z1045" s="11">
        <v>0.21621621621621623</v>
      </c>
      <c r="AA1045" s="11">
        <v>0.51351351351351349</v>
      </c>
    </row>
    <row r="1046" spans="21:27" x14ac:dyDescent="0.25">
      <c r="U1046" s="37">
        <v>32867</v>
      </c>
      <c r="V1046" s="10">
        <v>7</v>
      </c>
      <c r="W1046" s="10">
        <v>3</v>
      </c>
      <c r="X1046" s="10">
        <v>12</v>
      </c>
      <c r="Y1046" s="11">
        <v>0.31818181818181818</v>
      </c>
      <c r="Z1046" s="11">
        <v>0.13636363636363635</v>
      </c>
      <c r="AA1046" s="11">
        <v>0.54545454545454541</v>
      </c>
    </row>
    <row r="1047" spans="21:27" x14ac:dyDescent="0.25">
      <c r="U1047" s="37">
        <v>32873</v>
      </c>
      <c r="V1047" s="10">
        <v>4</v>
      </c>
      <c r="W1047" s="10">
        <v>3</v>
      </c>
      <c r="X1047" s="10">
        <v>4</v>
      </c>
      <c r="Y1047" s="11">
        <v>0.36363636363636365</v>
      </c>
      <c r="Z1047" s="11">
        <v>0.27272727272727271</v>
      </c>
      <c r="AA1047" s="11">
        <v>0.36363636363636365</v>
      </c>
    </row>
    <row r="1048" spans="21:27" x14ac:dyDescent="0.25">
      <c r="U1048" s="37">
        <v>32880</v>
      </c>
      <c r="V1048" s="10">
        <v>6</v>
      </c>
      <c r="W1048" s="10">
        <v>2</v>
      </c>
      <c r="X1048" s="10">
        <v>12</v>
      </c>
      <c r="Y1048" s="11">
        <v>0.3</v>
      </c>
      <c r="Z1048" s="11">
        <v>0.1</v>
      </c>
      <c r="AA1048" s="11">
        <v>0.6</v>
      </c>
    </row>
    <row r="1049" spans="21:27" x14ac:dyDescent="0.25">
      <c r="U1049" s="37">
        <v>32887</v>
      </c>
      <c r="V1049" s="10">
        <v>6</v>
      </c>
      <c r="W1049" s="10">
        <v>1</v>
      </c>
      <c r="X1049" s="10">
        <v>6</v>
      </c>
      <c r="Y1049" s="11">
        <v>0.46153846153846156</v>
      </c>
      <c r="Z1049" s="11">
        <v>7.6923076923076927E-2</v>
      </c>
      <c r="AA1049" s="11">
        <v>0.46153846153846156</v>
      </c>
    </row>
    <row r="1050" spans="21:27" x14ac:dyDescent="0.25">
      <c r="U1050" s="37">
        <v>32894</v>
      </c>
      <c r="V1050" s="10">
        <v>7</v>
      </c>
      <c r="W1050" s="10">
        <v>4</v>
      </c>
      <c r="X1050" s="10">
        <v>17</v>
      </c>
      <c r="Y1050" s="11">
        <v>0.25</v>
      </c>
      <c r="Z1050" s="11">
        <v>0.14285714285714285</v>
      </c>
      <c r="AA1050" s="11">
        <v>0.6071428571428571</v>
      </c>
    </row>
    <row r="1051" spans="21:27" x14ac:dyDescent="0.25">
      <c r="U1051" s="37">
        <v>32901</v>
      </c>
      <c r="V1051" s="10">
        <v>9</v>
      </c>
      <c r="W1051" s="10">
        <v>6</v>
      </c>
      <c r="X1051" s="10">
        <v>9</v>
      </c>
      <c r="Y1051" s="11">
        <v>0.375</v>
      </c>
      <c r="Z1051" s="11">
        <v>0.25</v>
      </c>
      <c r="AA1051" s="11">
        <v>0.375</v>
      </c>
    </row>
    <row r="1052" spans="21:27" x14ac:dyDescent="0.25">
      <c r="U1052" s="37">
        <v>32908</v>
      </c>
      <c r="V1052" s="10">
        <v>1</v>
      </c>
      <c r="W1052" s="10">
        <v>2</v>
      </c>
      <c r="X1052" s="10">
        <v>5</v>
      </c>
      <c r="Y1052" s="11">
        <v>0.125</v>
      </c>
      <c r="Z1052" s="11">
        <v>0.25</v>
      </c>
      <c r="AA1052" s="11">
        <v>0.625</v>
      </c>
    </row>
    <row r="1053" spans="21:27" x14ac:dyDescent="0.25">
      <c r="U1053" s="37">
        <v>32915</v>
      </c>
      <c r="V1053" s="10">
        <v>8</v>
      </c>
      <c r="W1053" s="10">
        <v>3</v>
      </c>
      <c r="X1053" s="10">
        <v>4</v>
      </c>
      <c r="Y1053" s="11">
        <v>0.53333333333333333</v>
      </c>
      <c r="Z1053" s="11">
        <v>0.2</v>
      </c>
      <c r="AA1053" s="11">
        <v>0.26666666666666666</v>
      </c>
    </row>
    <row r="1054" spans="21:27" x14ac:dyDescent="0.25">
      <c r="U1054" s="37">
        <v>32922</v>
      </c>
      <c r="V1054" s="10">
        <v>8</v>
      </c>
      <c r="W1054" s="10">
        <v>2</v>
      </c>
      <c r="X1054" s="10">
        <v>8</v>
      </c>
      <c r="Y1054" s="11">
        <v>0.44444444444444442</v>
      </c>
      <c r="Z1054" s="11">
        <v>0.1111111111111111</v>
      </c>
      <c r="AA1054" s="11">
        <v>0.44444444444444442</v>
      </c>
    </row>
    <row r="1055" spans="21:27" x14ac:dyDescent="0.25">
      <c r="U1055" s="37">
        <v>32929</v>
      </c>
      <c r="V1055" s="10">
        <v>6</v>
      </c>
      <c r="W1055" s="10">
        <v>3</v>
      </c>
      <c r="X1055" s="10">
        <v>3</v>
      </c>
      <c r="Y1055" s="11">
        <v>0.5</v>
      </c>
      <c r="Z1055" s="11">
        <v>0.25</v>
      </c>
      <c r="AA1055" s="11">
        <v>0.25</v>
      </c>
    </row>
    <row r="1056" spans="21:27" x14ac:dyDescent="0.25">
      <c r="U1056" s="37">
        <v>32936</v>
      </c>
      <c r="V1056" s="10">
        <v>13</v>
      </c>
      <c r="W1056" s="10">
        <v>5</v>
      </c>
      <c r="X1056" s="10">
        <v>5</v>
      </c>
      <c r="Y1056" s="11">
        <v>0.56521739130434778</v>
      </c>
      <c r="Z1056" s="11">
        <v>0.21739130434782608</v>
      </c>
      <c r="AA1056" s="11">
        <v>0.21739130434782608</v>
      </c>
    </row>
    <row r="1057" spans="21:27" x14ac:dyDescent="0.25">
      <c r="U1057" s="37">
        <v>32943</v>
      </c>
      <c r="V1057" s="10">
        <v>7</v>
      </c>
      <c r="W1057" s="10">
        <v>3</v>
      </c>
      <c r="X1057" s="10">
        <v>16</v>
      </c>
      <c r="Y1057" s="11">
        <v>0.26923076923076922</v>
      </c>
      <c r="Z1057" s="11">
        <v>0.11538461538461539</v>
      </c>
      <c r="AA1057" s="11">
        <v>0.61538461538461542</v>
      </c>
    </row>
    <row r="1058" spans="21:27" x14ac:dyDescent="0.25">
      <c r="U1058" s="37">
        <v>32950</v>
      </c>
      <c r="V1058" s="10">
        <v>15</v>
      </c>
      <c r="W1058" s="10">
        <v>4</v>
      </c>
      <c r="X1058" s="10">
        <v>10</v>
      </c>
      <c r="Y1058" s="11">
        <v>0.51724137931034486</v>
      </c>
      <c r="Z1058" s="11">
        <v>0.13793103448275862</v>
      </c>
      <c r="AA1058" s="11">
        <v>0.34482758620689657</v>
      </c>
    </row>
    <row r="1059" spans="21:27" x14ac:dyDescent="0.25">
      <c r="U1059" s="37">
        <v>32957</v>
      </c>
      <c r="V1059" s="10">
        <v>6</v>
      </c>
      <c r="W1059" s="10">
        <v>10</v>
      </c>
      <c r="X1059" s="10">
        <v>7</v>
      </c>
      <c r="Y1059" s="11">
        <v>0.2608695652173913</v>
      </c>
      <c r="Z1059" s="11">
        <v>0.43478260869565216</v>
      </c>
      <c r="AA1059" s="11">
        <v>0.30434782608695654</v>
      </c>
    </row>
    <row r="1060" spans="21:27" x14ac:dyDescent="0.25">
      <c r="U1060" s="37">
        <v>32964</v>
      </c>
      <c r="V1060" s="10">
        <v>12</v>
      </c>
      <c r="W1060" s="10">
        <v>3</v>
      </c>
      <c r="X1060" s="10">
        <v>6</v>
      </c>
      <c r="Y1060" s="11">
        <v>0.5714285714285714</v>
      </c>
      <c r="Z1060" s="11">
        <v>0.14285714285714285</v>
      </c>
      <c r="AA1060" s="11">
        <v>0.2857142857142857</v>
      </c>
    </row>
    <row r="1061" spans="21:27" x14ac:dyDescent="0.25">
      <c r="U1061" s="37">
        <v>32971</v>
      </c>
      <c r="V1061" s="10">
        <v>8</v>
      </c>
      <c r="W1061" s="10">
        <v>12</v>
      </c>
      <c r="X1061" s="10">
        <v>10</v>
      </c>
      <c r="Y1061" s="11">
        <v>0.26666666666666666</v>
      </c>
      <c r="Z1061" s="11">
        <v>0.4</v>
      </c>
      <c r="AA1061" s="11">
        <v>0.33333333333333331</v>
      </c>
    </row>
    <row r="1062" spans="21:27" x14ac:dyDescent="0.25">
      <c r="U1062" s="37">
        <v>32978</v>
      </c>
      <c r="V1062" s="10">
        <v>20</v>
      </c>
      <c r="W1062" s="10">
        <v>1</v>
      </c>
      <c r="X1062" s="10">
        <v>4</v>
      </c>
      <c r="Y1062" s="11">
        <v>0.8</v>
      </c>
      <c r="Z1062" s="11">
        <v>0.04</v>
      </c>
      <c r="AA1062" s="11">
        <v>0.16</v>
      </c>
    </row>
    <row r="1063" spans="21:27" x14ac:dyDescent="0.25">
      <c r="U1063" s="37">
        <v>32985</v>
      </c>
      <c r="V1063" s="10">
        <v>2</v>
      </c>
      <c r="W1063" s="10">
        <v>3</v>
      </c>
      <c r="X1063" s="10">
        <v>6</v>
      </c>
      <c r="Y1063" s="11">
        <v>0.18181818181818182</v>
      </c>
      <c r="Z1063" s="11">
        <v>0.27272727272727271</v>
      </c>
      <c r="AA1063" s="11">
        <v>0.54545454545454541</v>
      </c>
    </row>
    <row r="1064" spans="21:27" x14ac:dyDescent="0.25">
      <c r="U1064" s="37">
        <v>32992</v>
      </c>
      <c r="V1064" s="10">
        <v>2</v>
      </c>
      <c r="W1064" s="10">
        <v>2</v>
      </c>
      <c r="X1064" s="10">
        <v>7</v>
      </c>
      <c r="Y1064" s="11">
        <v>0.18181818181818182</v>
      </c>
      <c r="Z1064" s="11">
        <v>0.18181818181818182</v>
      </c>
      <c r="AA1064" s="11">
        <v>0.63636363636363635</v>
      </c>
    </row>
    <row r="1065" spans="21:27" x14ac:dyDescent="0.25">
      <c r="U1065" s="37">
        <v>32999</v>
      </c>
      <c r="V1065" s="10">
        <v>4</v>
      </c>
      <c r="W1065" s="10">
        <v>8</v>
      </c>
      <c r="X1065" s="10">
        <v>2</v>
      </c>
      <c r="Y1065" s="11">
        <v>0.2857142857142857</v>
      </c>
      <c r="Z1065" s="11">
        <v>0.5714285714285714</v>
      </c>
      <c r="AA1065" s="11">
        <v>0.14285714285714285</v>
      </c>
    </row>
    <row r="1066" spans="21:27" x14ac:dyDescent="0.25">
      <c r="U1066" s="37">
        <v>33006</v>
      </c>
      <c r="V1066" s="10">
        <v>2</v>
      </c>
      <c r="W1066" s="10">
        <v>6</v>
      </c>
      <c r="X1066" s="10">
        <v>10</v>
      </c>
      <c r="Y1066" s="11">
        <v>0.1111111111111111</v>
      </c>
      <c r="Z1066" s="11">
        <v>0.33333333333333331</v>
      </c>
      <c r="AA1066" s="11">
        <v>0.55555555555555558</v>
      </c>
    </row>
    <row r="1067" spans="21:27" x14ac:dyDescent="0.25">
      <c r="U1067" s="37">
        <v>33013</v>
      </c>
      <c r="V1067" s="10">
        <v>10</v>
      </c>
      <c r="W1067" s="10">
        <v>1</v>
      </c>
      <c r="X1067" s="10">
        <v>8</v>
      </c>
      <c r="Y1067" s="11">
        <v>0.52631578947368418</v>
      </c>
      <c r="Z1067" s="11">
        <v>5.2631578947368418E-2</v>
      </c>
      <c r="AA1067" s="11">
        <v>0.42105263157894735</v>
      </c>
    </row>
    <row r="1068" spans="21:27" x14ac:dyDescent="0.25">
      <c r="U1068" s="37">
        <v>33020</v>
      </c>
      <c r="V1068" s="10">
        <v>3</v>
      </c>
      <c r="W1068" s="10">
        <v>2</v>
      </c>
      <c r="X1068" s="10">
        <v>4</v>
      </c>
      <c r="Y1068" s="11">
        <v>0.33333333333333331</v>
      </c>
      <c r="Z1068" s="11">
        <v>0.22222222222222221</v>
      </c>
      <c r="AA1068" s="11">
        <v>0.44444444444444442</v>
      </c>
    </row>
    <row r="1069" spans="21:27" x14ac:dyDescent="0.25">
      <c r="U1069" s="37">
        <v>33027</v>
      </c>
      <c r="V1069" s="10">
        <v>4</v>
      </c>
      <c r="W1069" s="10">
        <v>4</v>
      </c>
      <c r="X1069" s="10">
        <v>10</v>
      </c>
      <c r="Y1069" s="11">
        <v>0.22222222222222221</v>
      </c>
      <c r="Z1069" s="11">
        <v>0.22222222222222221</v>
      </c>
      <c r="AA1069" s="11">
        <v>0.55555555555555558</v>
      </c>
    </row>
    <row r="1070" spans="21:27" x14ac:dyDescent="0.25">
      <c r="U1070" s="37">
        <v>33034</v>
      </c>
      <c r="V1070" s="10">
        <v>8</v>
      </c>
      <c r="W1070" s="10">
        <v>3</v>
      </c>
      <c r="X1070" s="10">
        <v>10</v>
      </c>
      <c r="Y1070" s="11">
        <v>0.38095238095238093</v>
      </c>
      <c r="Z1070" s="11">
        <v>0.14285714285714285</v>
      </c>
      <c r="AA1070" s="11">
        <v>0.47619047619047616</v>
      </c>
    </row>
    <row r="1071" spans="21:27" x14ac:dyDescent="0.25">
      <c r="U1071" s="37">
        <v>33048</v>
      </c>
      <c r="V1071" s="10">
        <v>1</v>
      </c>
      <c r="W1071" s="10">
        <v>4</v>
      </c>
      <c r="X1071" s="10">
        <v>9</v>
      </c>
      <c r="Y1071" s="11">
        <v>7.1428571428571425E-2</v>
      </c>
      <c r="Z1071" s="11">
        <v>0.2857142857142857</v>
      </c>
      <c r="AA1071" s="11">
        <v>0.6428571428571429</v>
      </c>
    </row>
    <row r="1072" spans="21:27" x14ac:dyDescent="0.25">
      <c r="U1072" s="37">
        <v>33055</v>
      </c>
      <c r="V1072" s="10">
        <v>2</v>
      </c>
      <c r="W1072" s="10">
        <v>5</v>
      </c>
      <c r="X1072" s="10">
        <v>7</v>
      </c>
      <c r="Y1072" s="11">
        <v>0.14285714285714285</v>
      </c>
      <c r="Z1072" s="11">
        <v>0.35714285714285715</v>
      </c>
      <c r="AA1072" s="11">
        <v>0.5</v>
      </c>
    </row>
    <row r="1073" spans="21:27" x14ac:dyDescent="0.25">
      <c r="U1073" s="37">
        <v>33062</v>
      </c>
      <c r="V1073" s="10">
        <v>8</v>
      </c>
      <c r="W1073" s="10">
        <v>9</v>
      </c>
      <c r="X1073" s="10">
        <v>7</v>
      </c>
      <c r="Y1073" s="11">
        <v>0.33333333333333331</v>
      </c>
      <c r="Z1073" s="11">
        <v>0.375</v>
      </c>
      <c r="AA1073" s="11">
        <v>0.29166666666666669</v>
      </c>
    </row>
    <row r="1074" spans="21:27" x14ac:dyDescent="0.25">
      <c r="U1074" s="37">
        <v>33069</v>
      </c>
      <c r="V1074" s="10">
        <v>8</v>
      </c>
      <c r="W1074" s="10">
        <v>7</v>
      </c>
      <c r="X1074" s="10">
        <v>11</v>
      </c>
      <c r="Y1074" s="11">
        <v>0.30769230769230771</v>
      </c>
      <c r="Z1074" s="11">
        <v>0.26923076923076922</v>
      </c>
      <c r="AA1074" s="11">
        <v>0.42307692307692307</v>
      </c>
    </row>
    <row r="1075" spans="21:27" x14ac:dyDescent="0.25">
      <c r="U1075" s="37">
        <v>33076</v>
      </c>
      <c r="V1075" s="10">
        <v>9</v>
      </c>
      <c r="W1075" s="10">
        <v>5</v>
      </c>
      <c r="X1075" s="10">
        <v>3</v>
      </c>
      <c r="Y1075" s="11">
        <v>0.52941176470588236</v>
      </c>
      <c r="Z1075" s="11">
        <v>0.29411764705882354</v>
      </c>
      <c r="AA1075" s="11">
        <v>0.17647058823529413</v>
      </c>
    </row>
    <row r="1076" spans="21:27" x14ac:dyDescent="0.25">
      <c r="U1076" s="37">
        <v>33083</v>
      </c>
      <c r="V1076" s="10">
        <v>10</v>
      </c>
      <c r="W1076" s="10">
        <v>4</v>
      </c>
      <c r="X1076" s="10">
        <v>6</v>
      </c>
      <c r="Y1076" s="11">
        <v>0.5</v>
      </c>
      <c r="Z1076" s="11">
        <v>0.2</v>
      </c>
      <c r="AA1076" s="11">
        <v>0.3</v>
      </c>
    </row>
    <row r="1077" spans="21:27" x14ac:dyDescent="0.25">
      <c r="U1077" s="37">
        <v>33090</v>
      </c>
      <c r="V1077" s="10">
        <v>1</v>
      </c>
      <c r="W1077" s="10">
        <v>2</v>
      </c>
      <c r="X1077" s="10">
        <v>7</v>
      </c>
      <c r="Y1077" s="11">
        <v>0.1</v>
      </c>
      <c r="Z1077" s="11">
        <v>0.2</v>
      </c>
      <c r="AA1077" s="11">
        <v>0.7</v>
      </c>
    </row>
    <row r="1078" spans="21:27" x14ac:dyDescent="0.25">
      <c r="U1078" s="37">
        <v>33097</v>
      </c>
      <c r="V1078" s="10">
        <v>2</v>
      </c>
      <c r="W1078" s="10">
        <v>3</v>
      </c>
      <c r="X1078" s="10">
        <v>3</v>
      </c>
      <c r="Y1078" s="11">
        <v>0.25</v>
      </c>
      <c r="Z1078" s="11">
        <v>0.375</v>
      </c>
      <c r="AA1078" s="11">
        <v>0.375</v>
      </c>
    </row>
    <row r="1079" spans="21:27" x14ac:dyDescent="0.25">
      <c r="U1079" s="37">
        <v>33100</v>
      </c>
      <c r="V1079" s="10">
        <v>1</v>
      </c>
      <c r="W1079" s="10">
        <v>0</v>
      </c>
      <c r="X1079" s="10">
        <v>9</v>
      </c>
      <c r="Y1079" s="11">
        <v>0.1</v>
      </c>
      <c r="Z1079" s="11">
        <v>0</v>
      </c>
      <c r="AA1079" s="11">
        <v>0.9</v>
      </c>
    </row>
    <row r="1080" spans="21:27" x14ac:dyDescent="0.25">
      <c r="U1080" s="37">
        <v>33104</v>
      </c>
      <c r="V1080" s="10">
        <v>6</v>
      </c>
      <c r="W1080" s="10">
        <v>8</v>
      </c>
      <c r="X1080" s="10">
        <v>8</v>
      </c>
      <c r="Y1080" s="11">
        <v>0.27272727272727271</v>
      </c>
      <c r="Z1080" s="11">
        <v>0.36363636363636365</v>
      </c>
      <c r="AA1080" s="11">
        <v>0.36363636363636365</v>
      </c>
    </row>
    <row r="1081" spans="21:27" x14ac:dyDescent="0.25">
      <c r="U1081" s="37">
        <v>33111</v>
      </c>
      <c r="V1081" s="10">
        <v>9</v>
      </c>
      <c r="W1081" s="10">
        <v>5</v>
      </c>
      <c r="X1081" s="10">
        <v>7</v>
      </c>
      <c r="Y1081" s="11">
        <v>0.42857142857142855</v>
      </c>
      <c r="Z1081" s="11">
        <v>0.23809523809523808</v>
      </c>
      <c r="AA1081" s="11">
        <v>0.33333333333333331</v>
      </c>
    </row>
    <row r="1082" spans="21:27" x14ac:dyDescent="0.25">
      <c r="U1082" s="37">
        <v>33118</v>
      </c>
      <c r="V1082" s="10">
        <v>4</v>
      </c>
      <c r="W1082" s="10">
        <v>0</v>
      </c>
      <c r="X1082" s="10">
        <v>5</v>
      </c>
      <c r="Y1082" s="11">
        <v>0.44444444444444442</v>
      </c>
      <c r="Z1082" s="11">
        <v>0</v>
      </c>
      <c r="AA1082" s="11">
        <v>0.55555555555555558</v>
      </c>
    </row>
    <row r="1083" spans="21:27" x14ac:dyDescent="0.25">
      <c r="U1083" s="37">
        <v>33125</v>
      </c>
      <c r="V1083" s="10">
        <v>0</v>
      </c>
      <c r="W1083" s="10">
        <v>0</v>
      </c>
      <c r="X1083" s="10">
        <v>9</v>
      </c>
      <c r="Y1083" s="11">
        <v>0</v>
      </c>
      <c r="Z1083" s="11">
        <v>0</v>
      </c>
      <c r="AA1083" s="11">
        <v>1</v>
      </c>
    </row>
    <row r="1084" spans="21:27" x14ac:dyDescent="0.25">
      <c r="U1084" s="37">
        <v>33132</v>
      </c>
      <c r="V1084" s="10">
        <v>2</v>
      </c>
      <c r="W1084" s="10">
        <v>2</v>
      </c>
      <c r="X1084" s="10">
        <v>5</v>
      </c>
      <c r="Y1084" s="11">
        <v>0.22222222222222221</v>
      </c>
      <c r="Z1084" s="11">
        <v>0.22222222222222221</v>
      </c>
      <c r="AA1084" s="11">
        <v>0.55555555555555558</v>
      </c>
    </row>
    <row r="1085" spans="21:27" x14ac:dyDescent="0.25">
      <c r="U1085" s="37">
        <v>33139</v>
      </c>
      <c r="V1085" s="10">
        <v>18</v>
      </c>
      <c r="W1085" s="10">
        <v>5</v>
      </c>
      <c r="X1085" s="10">
        <v>6</v>
      </c>
      <c r="Y1085" s="11">
        <v>0.62068965517241381</v>
      </c>
      <c r="Z1085" s="11">
        <v>0.17241379310344829</v>
      </c>
      <c r="AA1085" s="11">
        <v>0.20689655172413793</v>
      </c>
    </row>
    <row r="1086" spans="21:27" x14ac:dyDescent="0.25">
      <c r="U1086" s="37">
        <v>33146</v>
      </c>
      <c r="V1086" s="10">
        <v>7</v>
      </c>
      <c r="W1086" s="10">
        <v>2</v>
      </c>
      <c r="X1086" s="10">
        <v>13</v>
      </c>
      <c r="Y1086" s="11">
        <v>0.31818181818181818</v>
      </c>
      <c r="Z1086" s="11">
        <v>9.0909090909090912E-2</v>
      </c>
      <c r="AA1086" s="11">
        <v>0.59090909090909094</v>
      </c>
    </row>
    <row r="1087" spans="21:27" x14ac:dyDescent="0.25">
      <c r="U1087" s="37">
        <v>33153</v>
      </c>
      <c r="V1087" s="10">
        <v>9</v>
      </c>
      <c r="W1087" s="10">
        <v>2</v>
      </c>
      <c r="X1087" s="10">
        <v>10</v>
      </c>
      <c r="Y1087" s="11">
        <v>0.42857142857142855</v>
      </c>
      <c r="Z1087" s="11">
        <v>9.5238095238095233E-2</v>
      </c>
      <c r="AA1087" s="11">
        <v>0.47619047619047616</v>
      </c>
    </row>
    <row r="1088" spans="21:27" x14ac:dyDescent="0.25">
      <c r="U1088" s="37">
        <v>33160</v>
      </c>
      <c r="V1088" s="10">
        <v>5</v>
      </c>
      <c r="W1088" s="10">
        <v>3</v>
      </c>
      <c r="X1088" s="10">
        <v>6</v>
      </c>
      <c r="Y1088" s="11">
        <v>0.35714285714285715</v>
      </c>
      <c r="Z1088" s="11">
        <v>0.21428571428571427</v>
      </c>
      <c r="AA1088" s="11">
        <v>0.42857142857142855</v>
      </c>
    </row>
    <row r="1089" spans="21:27" x14ac:dyDescent="0.25">
      <c r="U1089" s="37">
        <v>33167</v>
      </c>
      <c r="V1089" s="10">
        <v>9</v>
      </c>
      <c r="W1089" s="10">
        <v>6</v>
      </c>
      <c r="X1089" s="10">
        <v>5</v>
      </c>
      <c r="Y1089" s="11">
        <v>0.45</v>
      </c>
      <c r="Z1089" s="11">
        <v>0.3</v>
      </c>
      <c r="AA1089" s="11">
        <v>0.25</v>
      </c>
    </row>
    <row r="1090" spans="21:27" x14ac:dyDescent="0.25">
      <c r="U1090" s="37">
        <v>33174</v>
      </c>
      <c r="V1090" s="10">
        <v>20</v>
      </c>
      <c r="W1090" s="10">
        <v>17</v>
      </c>
      <c r="X1090" s="10">
        <v>19</v>
      </c>
      <c r="Y1090" s="11">
        <v>0.35714285714285715</v>
      </c>
      <c r="Z1090" s="11">
        <v>0.30357142857142855</v>
      </c>
      <c r="AA1090" s="11">
        <v>0.3392857142857143</v>
      </c>
    </row>
    <row r="1091" spans="21:27" x14ac:dyDescent="0.25">
      <c r="U1091" s="37">
        <v>33178</v>
      </c>
      <c r="V1091" s="10">
        <v>13</v>
      </c>
      <c r="W1091" s="10">
        <v>6</v>
      </c>
      <c r="X1091" s="10">
        <v>21</v>
      </c>
      <c r="Y1091" s="11">
        <v>0.32500000000000001</v>
      </c>
      <c r="Z1091" s="11">
        <v>0.15</v>
      </c>
      <c r="AA1091" s="11">
        <v>0.52500000000000002</v>
      </c>
    </row>
    <row r="1092" spans="21:27" x14ac:dyDescent="0.25">
      <c r="U1092" s="37">
        <v>33181</v>
      </c>
      <c r="V1092" s="10">
        <v>6</v>
      </c>
      <c r="W1092" s="10">
        <v>6</v>
      </c>
      <c r="X1092" s="10">
        <v>13</v>
      </c>
      <c r="Y1092" s="11">
        <v>0.24</v>
      </c>
      <c r="Z1092" s="11">
        <v>0.24</v>
      </c>
      <c r="AA1092" s="11">
        <v>0.52</v>
      </c>
    </row>
    <row r="1093" spans="21:27" x14ac:dyDescent="0.25">
      <c r="U1093" s="37">
        <v>33188</v>
      </c>
      <c r="V1093" s="10">
        <v>8</v>
      </c>
      <c r="W1093" s="10">
        <v>5</v>
      </c>
      <c r="X1093" s="10">
        <v>6</v>
      </c>
      <c r="Y1093" s="11">
        <v>0.42105263157894735</v>
      </c>
      <c r="Z1093" s="11">
        <v>0.26315789473684209</v>
      </c>
      <c r="AA1093" s="11">
        <v>0.31578947368421051</v>
      </c>
    </row>
    <row r="1094" spans="21:27" x14ac:dyDescent="0.25">
      <c r="U1094" s="37">
        <v>33195</v>
      </c>
      <c r="V1094" s="10">
        <v>6</v>
      </c>
      <c r="W1094" s="10">
        <v>2</v>
      </c>
      <c r="X1094" s="10">
        <v>3</v>
      </c>
      <c r="Y1094" s="11">
        <v>0.54545454545454541</v>
      </c>
      <c r="Z1094" s="11">
        <v>0.18181818181818182</v>
      </c>
      <c r="AA1094" s="11">
        <v>0.27272727272727271</v>
      </c>
    </row>
    <row r="1095" spans="21:27" x14ac:dyDescent="0.25">
      <c r="U1095" s="37">
        <v>33202</v>
      </c>
      <c r="V1095" s="10">
        <v>10</v>
      </c>
      <c r="W1095" s="10">
        <v>7</v>
      </c>
      <c r="X1095" s="10">
        <v>16</v>
      </c>
      <c r="Y1095" s="11">
        <v>0.30303030303030304</v>
      </c>
      <c r="Z1095" s="11">
        <v>0.21212121212121213</v>
      </c>
      <c r="AA1095" s="11">
        <v>0.48484848484848486</v>
      </c>
    </row>
    <row r="1096" spans="21:27" x14ac:dyDescent="0.25">
      <c r="U1096" s="37">
        <v>33209</v>
      </c>
      <c r="V1096" s="10">
        <v>2</v>
      </c>
      <c r="W1096" s="10">
        <v>2</v>
      </c>
      <c r="X1096" s="10">
        <v>2</v>
      </c>
      <c r="Y1096" s="11">
        <v>0.33333333333333331</v>
      </c>
      <c r="Z1096" s="11">
        <v>0.33333333333333331</v>
      </c>
      <c r="AA1096" s="11">
        <v>0.33333333333333331</v>
      </c>
    </row>
    <row r="1097" spans="21:27" x14ac:dyDescent="0.25">
      <c r="U1097" s="37">
        <v>33216</v>
      </c>
      <c r="V1097" s="10">
        <v>4</v>
      </c>
      <c r="W1097" s="10">
        <v>4</v>
      </c>
      <c r="X1097" s="10">
        <v>6</v>
      </c>
      <c r="Y1097" s="11">
        <v>0.2857142857142857</v>
      </c>
      <c r="Z1097" s="11">
        <v>0.2857142857142857</v>
      </c>
      <c r="AA1097" s="11">
        <v>0.42857142857142855</v>
      </c>
    </row>
    <row r="1098" spans="21:27" x14ac:dyDescent="0.25">
      <c r="U1098" s="37">
        <v>33223</v>
      </c>
      <c r="V1098" s="10">
        <v>0</v>
      </c>
      <c r="W1098" s="10">
        <v>3</v>
      </c>
      <c r="X1098" s="10">
        <v>3</v>
      </c>
      <c r="Y1098" s="11">
        <v>0</v>
      </c>
      <c r="Z1098" s="11">
        <v>0.5</v>
      </c>
      <c r="AA1098" s="11">
        <v>0.5</v>
      </c>
    </row>
    <row r="1099" spans="21:27" x14ac:dyDescent="0.25">
      <c r="U1099" s="37">
        <v>33230</v>
      </c>
      <c r="V1099" s="10">
        <v>14</v>
      </c>
      <c r="W1099" s="10">
        <v>2</v>
      </c>
      <c r="X1099" s="10">
        <v>12</v>
      </c>
      <c r="Y1099" s="11">
        <v>0.5</v>
      </c>
      <c r="Z1099" s="11">
        <v>7.1428571428571425E-2</v>
      </c>
      <c r="AA1099" s="11">
        <v>0.42857142857142855</v>
      </c>
    </row>
    <row r="1100" spans="21:27" x14ac:dyDescent="0.25">
      <c r="U1100" s="37">
        <v>33231</v>
      </c>
      <c r="V1100" s="10">
        <v>13</v>
      </c>
      <c r="W1100" s="10">
        <v>9</v>
      </c>
      <c r="X1100" s="10">
        <v>8</v>
      </c>
      <c r="Y1100" s="11">
        <v>0.43333333333333335</v>
      </c>
      <c r="Z1100" s="11">
        <v>0.3</v>
      </c>
      <c r="AA1100" s="11">
        <v>0.26666666666666666</v>
      </c>
    </row>
    <row r="1101" spans="21:27" x14ac:dyDescent="0.25">
      <c r="U1101" s="37">
        <v>33232</v>
      </c>
      <c r="V1101" s="10">
        <v>3</v>
      </c>
      <c r="W1101" s="10">
        <v>1</v>
      </c>
      <c r="X1101" s="10">
        <v>15</v>
      </c>
      <c r="Y1101" s="11">
        <v>0.15789473684210525</v>
      </c>
      <c r="Z1101" s="11">
        <v>5.2631578947368418E-2</v>
      </c>
      <c r="AA1101" s="11">
        <v>0.78947368421052633</v>
      </c>
    </row>
    <row r="1102" spans="21:27" x14ac:dyDescent="0.25">
      <c r="U1102" s="37">
        <v>33237</v>
      </c>
      <c r="V1102" s="10">
        <v>0</v>
      </c>
      <c r="W1102" s="10">
        <v>3</v>
      </c>
      <c r="X1102" s="10">
        <v>5</v>
      </c>
      <c r="Y1102" s="11">
        <v>0</v>
      </c>
      <c r="Z1102" s="11">
        <v>0.375</v>
      </c>
      <c r="AA1102" s="11">
        <v>0.625</v>
      </c>
    </row>
    <row r="1103" spans="21:27" x14ac:dyDescent="0.25">
      <c r="U1103" s="37">
        <v>33244</v>
      </c>
      <c r="V1103" s="10">
        <v>10</v>
      </c>
      <c r="W1103" s="10">
        <v>4</v>
      </c>
      <c r="X1103" s="10">
        <v>15</v>
      </c>
      <c r="Y1103" s="11">
        <v>0.34482758620689657</v>
      </c>
      <c r="Z1103" s="11">
        <v>0.13793103448275862</v>
      </c>
      <c r="AA1103" s="11">
        <v>0.51724137931034486</v>
      </c>
    </row>
    <row r="1104" spans="21:27" x14ac:dyDescent="0.25">
      <c r="U1104" s="37">
        <v>33251</v>
      </c>
      <c r="V1104" s="10">
        <v>13</v>
      </c>
      <c r="W1104" s="10">
        <v>12</v>
      </c>
      <c r="X1104" s="10">
        <v>21</v>
      </c>
      <c r="Y1104" s="11">
        <v>0.28260869565217389</v>
      </c>
      <c r="Z1104" s="11">
        <v>0.2608695652173913</v>
      </c>
      <c r="AA1104" s="11">
        <v>0.45652173913043476</v>
      </c>
    </row>
    <row r="1105" spans="21:27" x14ac:dyDescent="0.25">
      <c r="U1105" s="37">
        <v>33258</v>
      </c>
      <c r="V1105" s="10">
        <v>2</v>
      </c>
      <c r="W1105" s="10">
        <v>0</v>
      </c>
      <c r="X1105" s="10">
        <v>2</v>
      </c>
      <c r="Y1105" s="11">
        <v>0.5</v>
      </c>
      <c r="Z1105" s="11">
        <v>0</v>
      </c>
      <c r="AA1105" s="11">
        <v>0.5</v>
      </c>
    </row>
    <row r="1106" spans="21:27" x14ac:dyDescent="0.25">
      <c r="U1106" s="37">
        <v>33265</v>
      </c>
      <c r="V1106" s="10">
        <v>3</v>
      </c>
      <c r="W1106" s="10">
        <v>1</v>
      </c>
      <c r="X1106" s="10">
        <v>2</v>
      </c>
      <c r="Y1106" s="11">
        <v>0.5</v>
      </c>
      <c r="Z1106" s="11">
        <v>0.16666666666666666</v>
      </c>
      <c r="AA1106" s="11">
        <v>0.33333333333333331</v>
      </c>
    </row>
    <row r="1107" spans="21:27" x14ac:dyDescent="0.25">
      <c r="U1107" s="37">
        <v>33272</v>
      </c>
      <c r="V1107" s="10">
        <v>1</v>
      </c>
      <c r="W1107" s="10">
        <v>2</v>
      </c>
      <c r="X1107" s="10">
        <v>4</v>
      </c>
      <c r="Y1107" s="11">
        <v>0.14285714285714285</v>
      </c>
      <c r="Z1107" s="11">
        <v>0.2857142857142857</v>
      </c>
      <c r="AA1107" s="11">
        <v>0.5714285714285714</v>
      </c>
    </row>
    <row r="1108" spans="21:27" x14ac:dyDescent="0.25">
      <c r="U1108" s="37">
        <v>33279</v>
      </c>
      <c r="V1108" s="10">
        <v>13</v>
      </c>
      <c r="W1108" s="10">
        <v>9</v>
      </c>
      <c r="X1108" s="10">
        <v>9</v>
      </c>
      <c r="Y1108" s="11">
        <v>0.41935483870967744</v>
      </c>
      <c r="Z1108" s="11">
        <v>0.29032258064516131</v>
      </c>
      <c r="AA1108" s="11">
        <v>0.29032258064516131</v>
      </c>
    </row>
    <row r="1109" spans="21:27" x14ac:dyDescent="0.25">
      <c r="U1109" s="37">
        <v>33286</v>
      </c>
      <c r="V1109" s="10">
        <v>13</v>
      </c>
      <c r="W1109" s="10">
        <v>2</v>
      </c>
      <c r="X1109" s="10">
        <v>6</v>
      </c>
      <c r="Y1109" s="11">
        <v>0.61904761904761907</v>
      </c>
      <c r="Z1109" s="11">
        <v>9.5238095238095233E-2</v>
      </c>
      <c r="AA1109" s="11">
        <v>0.2857142857142857</v>
      </c>
    </row>
    <row r="1110" spans="21:27" x14ac:dyDescent="0.25">
      <c r="U1110" s="37">
        <v>33293</v>
      </c>
      <c r="V1110" s="10">
        <v>4</v>
      </c>
      <c r="W1110" s="10">
        <v>9</v>
      </c>
      <c r="X1110" s="10">
        <v>5</v>
      </c>
      <c r="Y1110" s="11">
        <v>0.22222222222222221</v>
      </c>
      <c r="Z1110" s="11">
        <v>0.5</v>
      </c>
      <c r="AA1110" s="11">
        <v>0.27777777777777779</v>
      </c>
    </row>
    <row r="1111" spans="21:27" x14ac:dyDescent="0.25">
      <c r="U1111" s="37">
        <v>33300</v>
      </c>
      <c r="V1111" s="10">
        <v>7</v>
      </c>
      <c r="W1111" s="10">
        <v>5</v>
      </c>
      <c r="X1111" s="10">
        <v>10</v>
      </c>
      <c r="Y1111" s="11">
        <v>0.31818181818181818</v>
      </c>
      <c r="Z1111" s="11">
        <v>0.22727272727272727</v>
      </c>
      <c r="AA1111" s="11">
        <v>0.45454545454545453</v>
      </c>
    </row>
    <row r="1112" spans="21:27" x14ac:dyDescent="0.25">
      <c r="U1112" s="37">
        <v>33307</v>
      </c>
      <c r="V1112" s="10">
        <v>3</v>
      </c>
      <c r="W1112" s="10">
        <v>2</v>
      </c>
      <c r="X1112" s="10">
        <v>3</v>
      </c>
      <c r="Y1112" s="11">
        <v>0.375</v>
      </c>
      <c r="Z1112" s="11">
        <v>0.25</v>
      </c>
      <c r="AA1112" s="11">
        <v>0.375</v>
      </c>
    </row>
    <row r="1113" spans="21:27" x14ac:dyDescent="0.25">
      <c r="U1113" s="37">
        <v>33314</v>
      </c>
      <c r="V1113" s="10">
        <v>2</v>
      </c>
      <c r="W1113" s="10">
        <v>3</v>
      </c>
      <c r="X1113" s="10">
        <v>2</v>
      </c>
      <c r="Y1113" s="11">
        <v>0.2857142857142857</v>
      </c>
      <c r="Z1113" s="11">
        <v>0.42857142857142855</v>
      </c>
      <c r="AA1113" s="11">
        <v>0.2857142857142857</v>
      </c>
    </row>
    <row r="1114" spans="21:27" x14ac:dyDescent="0.25">
      <c r="U1114" s="37">
        <v>33321</v>
      </c>
      <c r="V1114" s="10">
        <v>6</v>
      </c>
      <c r="W1114" s="10">
        <v>5</v>
      </c>
      <c r="X1114" s="10">
        <v>7</v>
      </c>
      <c r="Y1114" s="11">
        <v>0.33333333333333331</v>
      </c>
      <c r="Z1114" s="11">
        <v>0.27777777777777779</v>
      </c>
      <c r="AA1114" s="11">
        <v>0.3888888888888889</v>
      </c>
    </row>
    <row r="1115" spans="21:27" x14ac:dyDescent="0.25">
      <c r="U1115" s="37">
        <v>33328</v>
      </c>
      <c r="V1115" s="10">
        <v>6</v>
      </c>
      <c r="W1115" s="10">
        <v>6</v>
      </c>
      <c r="X1115" s="10">
        <v>8</v>
      </c>
      <c r="Y1115" s="11">
        <v>0.3</v>
      </c>
      <c r="Z1115" s="11">
        <v>0.3</v>
      </c>
      <c r="AA1115" s="11">
        <v>0.4</v>
      </c>
    </row>
    <row r="1116" spans="21:27" x14ac:dyDescent="0.25">
      <c r="U1116" s="37">
        <v>33335</v>
      </c>
      <c r="V1116" s="10">
        <v>4</v>
      </c>
      <c r="W1116" s="10">
        <v>5</v>
      </c>
      <c r="X1116" s="10">
        <v>3</v>
      </c>
      <c r="Y1116" s="11">
        <v>0.33333333333333331</v>
      </c>
      <c r="Z1116" s="11">
        <v>0.41666666666666669</v>
      </c>
      <c r="AA1116" s="11">
        <v>0.25</v>
      </c>
    </row>
    <row r="1117" spans="21:27" x14ac:dyDescent="0.25">
      <c r="U1117" s="37">
        <v>33342</v>
      </c>
      <c r="V1117" s="10">
        <v>15</v>
      </c>
      <c r="W1117" s="10">
        <v>3</v>
      </c>
      <c r="X1117" s="10">
        <v>17</v>
      </c>
      <c r="Y1117" s="11">
        <v>0.42857142857142855</v>
      </c>
      <c r="Z1117" s="11">
        <v>8.5714285714285715E-2</v>
      </c>
      <c r="AA1117" s="11">
        <v>0.48571428571428571</v>
      </c>
    </row>
    <row r="1118" spans="21:27" x14ac:dyDescent="0.25">
      <c r="U1118" s="37">
        <v>33349</v>
      </c>
      <c r="V1118" s="10">
        <v>10</v>
      </c>
      <c r="W1118" s="10">
        <v>3</v>
      </c>
      <c r="X1118" s="10">
        <v>10</v>
      </c>
      <c r="Y1118" s="11">
        <v>0.43478260869565216</v>
      </c>
      <c r="Z1118" s="11">
        <v>0.13043478260869565</v>
      </c>
      <c r="AA1118" s="11">
        <v>0.43478260869565216</v>
      </c>
    </row>
    <row r="1119" spans="21:27" x14ac:dyDescent="0.25">
      <c r="U1119" s="37">
        <v>33356</v>
      </c>
      <c r="V1119" s="10">
        <v>7</v>
      </c>
      <c r="W1119" s="10">
        <v>3</v>
      </c>
      <c r="X1119" s="10">
        <v>7</v>
      </c>
      <c r="Y1119" s="11">
        <v>0.41176470588235292</v>
      </c>
      <c r="Z1119" s="11">
        <v>0.17647058823529413</v>
      </c>
      <c r="AA1119" s="11">
        <v>0.41176470588235292</v>
      </c>
    </row>
    <row r="1120" spans="21:27" x14ac:dyDescent="0.25">
      <c r="U1120" s="37">
        <v>33363</v>
      </c>
      <c r="V1120" s="10">
        <v>6</v>
      </c>
      <c r="W1120" s="10">
        <v>5</v>
      </c>
      <c r="X1120" s="10">
        <v>9</v>
      </c>
      <c r="Y1120" s="11">
        <v>0.3</v>
      </c>
      <c r="Z1120" s="11">
        <v>0.25</v>
      </c>
      <c r="AA1120" s="11">
        <v>0.45</v>
      </c>
    </row>
    <row r="1121" spans="21:27" x14ac:dyDescent="0.25">
      <c r="U1121" s="37">
        <v>33370</v>
      </c>
      <c r="V1121" s="10">
        <v>9</v>
      </c>
      <c r="W1121" s="10">
        <v>4</v>
      </c>
      <c r="X1121" s="10">
        <v>17</v>
      </c>
      <c r="Y1121" s="11">
        <v>0.3</v>
      </c>
      <c r="Z1121" s="11">
        <v>0.13333333333333333</v>
      </c>
      <c r="AA1121" s="11">
        <v>0.56666666666666665</v>
      </c>
    </row>
    <row r="1122" spans="21:27" x14ac:dyDescent="0.25">
      <c r="U1122" s="37">
        <v>33377</v>
      </c>
      <c r="V1122" s="10">
        <v>8</v>
      </c>
      <c r="W1122" s="10">
        <v>3</v>
      </c>
      <c r="X1122" s="10">
        <v>11</v>
      </c>
      <c r="Y1122" s="11">
        <v>0.36363636363636365</v>
      </c>
      <c r="Z1122" s="11">
        <v>0.13636363636363635</v>
      </c>
      <c r="AA1122" s="11">
        <v>0.5</v>
      </c>
    </row>
    <row r="1123" spans="21:27" x14ac:dyDescent="0.25">
      <c r="U1123" s="37">
        <v>33384</v>
      </c>
      <c r="V1123" s="10">
        <v>12</v>
      </c>
      <c r="W1123" s="10">
        <v>3</v>
      </c>
      <c r="X1123" s="10">
        <v>15</v>
      </c>
      <c r="Y1123" s="11">
        <v>0.4</v>
      </c>
      <c r="Z1123" s="11">
        <v>0.1</v>
      </c>
      <c r="AA1123" s="11">
        <v>0.5</v>
      </c>
    </row>
    <row r="1124" spans="21:27" x14ac:dyDescent="0.25">
      <c r="U1124" s="37">
        <v>33391</v>
      </c>
      <c r="V1124" s="10">
        <v>5</v>
      </c>
      <c r="W1124" s="10">
        <v>5</v>
      </c>
      <c r="X1124" s="10">
        <v>9</v>
      </c>
      <c r="Y1124" s="11">
        <v>0.26315789473684209</v>
      </c>
      <c r="Z1124" s="11">
        <v>0.26315789473684209</v>
      </c>
      <c r="AA1124" s="11">
        <v>0.47368421052631576</v>
      </c>
    </row>
    <row r="1125" spans="21:27" x14ac:dyDescent="0.25">
      <c r="U1125" s="37">
        <v>33398</v>
      </c>
      <c r="V1125" s="10">
        <v>3</v>
      </c>
      <c r="W1125" s="10">
        <v>4</v>
      </c>
      <c r="X1125" s="10">
        <v>8</v>
      </c>
      <c r="Y1125" s="11">
        <v>0.2</v>
      </c>
      <c r="Z1125" s="11">
        <v>0.26666666666666666</v>
      </c>
      <c r="AA1125" s="11">
        <v>0.53333333333333333</v>
      </c>
    </row>
    <row r="1126" spans="21:27" x14ac:dyDescent="0.25">
      <c r="U1126" s="37">
        <v>33405</v>
      </c>
      <c r="V1126" s="10">
        <v>5</v>
      </c>
      <c r="W1126" s="10">
        <v>1</v>
      </c>
      <c r="X1126" s="10">
        <v>5</v>
      </c>
      <c r="Y1126" s="11">
        <v>0.45454545454545453</v>
      </c>
      <c r="Z1126" s="11">
        <v>9.0909090909090912E-2</v>
      </c>
      <c r="AA1126" s="11">
        <v>0.45454545454545453</v>
      </c>
    </row>
    <row r="1127" spans="21:27" x14ac:dyDescent="0.25">
      <c r="U1127" s="37">
        <v>33412</v>
      </c>
      <c r="V1127" s="10">
        <v>6</v>
      </c>
      <c r="W1127" s="10">
        <v>4</v>
      </c>
      <c r="X1127" s="10">
        <v>10</v>
      </c>
      <c r="Y1127" s="11">
        <v>0.3</v>
      </c>
      <c r="Z1127" s="11">
        <v>0.2</v>
      </c>
      <c r="AA1127" s="11">
        <v>0.5</v>
      </c>
    </row>
    <row r="1128" spans="21:27" x14ac:dyDescent="0.25">
      <c r="U1128" s="37">
        <v>33419</v>
      </c>
      <c r="V1128" s="10">
        <v>14</v>
      </c>
      <c r="W1128" s="10">
        <v>5</v>
      </c>
      <c r="X1128" s="10">
        <v>3</v>
      </c>
      <c r="Y1128" s="11">
        <v>0.63636363636363635</v>
      </c>
      <c r="Z1128" s="11">
        <v>0.22727272727272727</v>
      </c>
      <c r="AA1128" s="11">
        <v>0.13636363636363635</v>
      </c>
    </row>
    <row r="1129" spans="21:27" x14ac:dyDescent="0.25">
      <c r="U1129" s="37">
        <v>33426</v>
      </c>
      <c r="V1129" s="10">
        <v>6</v>
      </c>
      <c r="W1129" s="10">
        <v>4</v>
      </c>
      <c r="X1129" s="10">
        <v>7</v>
      </c>
      <c r="Y1129" s="11">
        <v>0.35294117647058826</v>
      </c>
      <c r="Z1129" s="11">
        <v>0.23529411764705882</v>
      </c>
      <c r="AA1129" s="11">
        <v>0.41176470588235292</v>
      </c>
    </row>
    <row r="1130" spans="21:27" x14ac:dyDescent="0.25">
      <c r="U1130" s="37">
        <v>33433</v>
      </c>
      <c r="V1130" s="10">
        <v>9</v>
      </c>
      <c r="W1130" s="10">
        <v>6</v>
      </c>
      <c r="X1130" s="10">
        <v>2</v>
      </c>
      <c r="Y1130" s="11">
        <v>0.52941176470588236</v>
      </c>
      <c r="Z1130" s="11">
        <v>0.35294117647058826</v>
      </c>
      <c r="AA1130" s="11">
        <v>0.11764705882352941</v>
      </c>
    </row>
    <row r="1131" spans="21:27" x14ac:dyDescent="0.25">
      <c r="U1131" s="37">
        <v>33440</v>
      </c>
      <c r="V1131" s="10">
        <v>4</v>
      </c>
      <c r="W1131" s="10">
        <v>4</v>
      </c>
      <c r="X1131" s="10">
        <v>8</v>
      </c>
      <c r="Y1131" s="11">
        <v>0.25</v>
      </c>
      <c r="Z1131" s="11">
        <v>0.25</v>
      </c>
      <c r="AA1131" s="11">
        <v>0.5</v>
      </c>
    </row>
    <row r="1132" spans="21:27" x14ac:dyDescent="0.25">
      <c r="U1132" s="37">
        <v>33447</v>
      </c>
      <c r="V1132" s="10">
        <v>7</v>
      </c>
      <c r="W1132" s="10">
        <v>3</v>
      </c>
      <c r="X1132" s="10">
        <v>6</v>
      </c>
      <c r="Y1132" s="11">
        <v>0.4375</v>
      </c>
      <c r="Z1132" s="11">
        <v>0.1875</v>
      </c>
      <c r="AA1132" s="11">
        <v>0.375</v>
      </c>
    </row>
    <row r="1133" spans="21:27" x14ac:dyDescent="0.25">
      <c r="U1133" s="37">
        <v>33454</v>
      </c>
      <c r="V1133" s="10">
        <v>11</v>
      </c>
      <c r="W1133" s="10">
        <v>7</v>
      </c>
      <c r="X1133" s="10">
        <v>8</v>
      </c>
      <c r="Y1133" s="11">
        <v>0.42307692307692307</v>
      </c>
      <c r="Z1133" s="11">
        <v>0.26923076923076922</v>
      </c>
      <c r="AA1133" s="11">
        <v>0.30769230769230771</v>
      </c>
    </row>
    <row r="1134" spans="21:27" x14ac:dyDescent="0.25">
      <c r="U1134" s="37">
        <v>33461</v>
      </c>
      <c r="V1134" s="10">
        <v>10</v>
      </c>
      <c r="W1134" s="10">
        <v>6</v>
      </c>
      <c r="X1134" s="10">
        <v>14</v>
      </c>
      <c r="Y1134" s="11">
        <v>0.33333333333333331</v>
      </c>
      <c r="Z1134" s="11">
        <v>0.2</v>
      </c>
      <c r="AA1134" s="11">
        <v>0.46666666666666667</v>
      </c>
    </row>
    <row r="1135" spans="21:27" x14ac:dyDescent="0.25">
      <c r="U1135" s="37">
        <v>33465</v>
      </c>
      <c r="V1135" s="10">
        <v>10</v>
      </c>
      <c r="W1135" s="10">
        <v>19</v>
      </c>
      <c r="X1135" s="10">
        <v>36</v>
      </c>
      <c r="Y1135" s="11">
        <v>0.15384615384615385</v>
      </c>
      <c r="Z1135" s="11">
        <v>0.29230769230769232</v>
      </c>
      <c r="AA1135" s="11">
        <v>0.55384615384615388</v>
      </c>
    </row>
    <row r="1136" spans="21:27" x14ac:dyDescent="0.25">
      <c r="U1136" s="37">
        <v>33468</v>
      </c>
      <c r="V1136" s="10">
        <v>11</v>
      </c>
      <c r="W1136" s="10">
        <v>4</v>
      </c>
      <c r="X1136" s="10">
        <v>7</v>
      </c>
      <c r="Y1136" s="11">
        <v>0.5</v>
      </c>
      <c r="Z1136" s="11">
        <v>0.18181818181818182</v>
      </c>
      <c r="AA1136" s="11">
        <v>0.31818181818181818</v>
      </c>
    </row>
    <row r="1137" spans="21:27" x14ac:dyDescent="0.25">
      <c r="U1137" s="37">
        <v>33475</v>
      </c>
      <c r="V1137" s="10">
        <v>8</v>
      </c>
      <c r="W1137" s="10">
        <v>7</v>
      </c>
      <c r="X1137" s="10">
        <v>14</v>
      </c>
      <c r="Y1137" s="11">
        <v>0.27586206896551724</v>
      </c>
      <c r="Z1137" s="11">
        <v>0.2413793103448276</v>
      </c>
      <c r="AA1137" s="11">
        <v>0.48275862068965519</v>
      </c>
    </row>
    <row r="1138" spans="21:27" x14ac:dyDescent="0.25">
      <c r="U1138" s="37">
        <v>33482</v>
      </c>
      <c r="V1138" s="10">
        <v>10</v>
      </c>
      <c r="W1138" s="10">
        <v>6</v>
      </c>
      <c r="X1138" s="10">
        <v>13</v>
      </c>
      <c r="Y1138" s="11">
        <v>0.34482758620689657</v>
      </c>
      <c r="Z1138" s="11">
        <v>0.20689655172413793</v>
      </c>
      <c r="AA1138" s="11">
        <v>0.44827586206896552</v>
      </c>
    </row>
    <row r="1139" spans="21:27" x14ac:dyDescent="0.25">
      <c r="U1139" s="37">
        <v>33489</v>
      </c>
      <c r="V1139" s="10">
        <v>4</v>
      </c>
      <c r="W1139" s="10">
        <v>3</v>
      </c>
      <c r="X1139" s="10">
        <v>4</v>
      </c>
      <c r="Y1139" s="11">
        <v>0.36363636363636365</v>
      </c>
      <c r="Z1139" s="11">
        <v>0.27272727272727271</v>
      </c>
      <c r="AA1139" s="11">
        <v>0.36363636363636365</v>
      </c>
    </row>
    <row r="1140" spans="21:27" x14ac:dyDescent="0.25">
      <c r="U1140" s="37">
        <v>33496</v>
      </c>
      <c r="V1140" s="10">
        <v>9</v>
      </c>
      <c r="W1140" s="10">
        <v>7</v>
      </c>
      <c r="X1140" s="10">
        <v>12</v>
      </c>
      <c r="Y1140" s="11">
        <v>0.32142857142857145</v>
      </c>
      <c r="Z1140" s="11">
        <v>0.25</v>
      </c>
      <c r="AA1140" s="11">
        <v>0.42857142857142855</v>
      </c>
    </row>
    <row r="1141" spans="21:27" x14ac:dyDescent="0.25">
      <c r="U1141" s="37">
        <v>33503</v>
      </c>
      <c r="V1141" s="10">
        <v>6</v>
      </c>
      <c r="W1141" s="10">
        <v>2</v>
      </c>
      <c r="X1141" s="10">
        <v>8</v>
      </c>
      <c r="Y1141" s="11">
        <v>0.375</v>
      </c>
      <c r="Z1141" s="11">
        <v>0.125</v>
      </c>
      <c r="AA1141" s="11">
        <v>0.5</v>
      </c>
    </row>
    <row r="1142" spans="21:27" x14ac:dyDescent="0.25">
      <c r="U1142" s="37">
        <v>33510</v>
      </c>
      <c r="V1142" s="10">
        <v>3</v>
      </c>
      <c r="W1142" s="10">
        <v>1</v>
      </c>
      <c r="X1142" s="10">
        <v>6</v>
      </c>
      <c r="Y1142" s="11">
        <v>0.3</v>
      </c>
      <c r="Z1142" s="11">
        <v>0.1</v>
      </c>
      <c r="AA1142" s="11">
        <v>0.6</v>
      </c>
    </row>
    <row r="1143" spans="21:27" x14ac:dyDescent="0.25">
      <c r="U1143" s="37">
        <v>33517</v>
      </c>
      <c r="V1143" s="10">
        <v>5</v>
      </c>
      <c r="W1143" s="10">
        <v>3</v>
      </c>
      <c r="X1143" s="10">
        <v>5</v>
      </c>
      <c r="Y1143" s="11">
        <v>0.38461538461538464</v>
      </c>
      <c r="Z1143" s="11">
        <v>0.23076923076923078</v>
      </c>
      <c r="AA1143" s="11">
        <v>0.38461538461538464</v>
      </c>
    </row>
    <row r="1144" spans="21:27" x14ac:dyDescent="0.25">
      <c r="U1144" s="37">
        <v>33524</v>
      </c>
      <c r="V1144" s="10">
        <v>2</v>
      </c>
      <c r="W1144" s="10">
        <v>6</v>
      </c>
      <c r="X1144" s="10">
        <v>14</v>
      </c>
      <c r="Y1144" s="11">
        <v>9.0909090909090912E-2</v>
      </c>
      <c r="Z1144" s="11">
        <v>0.27272727272727271</v>
      </c>
      <c r="AA1144" s="11">
        <v>0.63636363636363635</v>
      </c>
    </row>
    <row r="1145" spans="21:27" x14ac:dyDescent="0.25">
      <c r="U1145" s="37">
        <v>33531</v>
      </c>
      <c r="V1145" s="10">
        <v>3</v>
      </c>
      <c r="W1145" s="10">
        <v>2</v>
      </c>
      <c r="X1145" s="10">
        <v>9</v>
      </c>
      <c r="Y1145" s="11">
        <v>0.21428571428571427</v>
      </c>
      <c r="Z1145" s="11">
        <v>0.14285714285714285</v>
      </c>
      <c r="AA1145" s="11">
        <v>0.6428571428571429</v>
      </c>
    </row>
    <row r="1146" spans="21:27" x14ac:dyDescent="0.25">
      <c r="U1146" s="37">
        <v>33538</v>
      </c>
      <c r="V1146" s="10">
        <v>13</v>
      </c>
      <c r="W1146" s="10">
        <v>12</v>
      </c>
      <c r="X1146" s="10">
        <v>12</v>
      </c>
      <c r="Y1146" s="11">
        <v>0.35135135135135137</v>
      </c>
      <c r="Z1146" s="11">
        <v>0.32432432432432434</v>
      </c>
      <c r="AA1146" s="11">
        <v>0.32432432432432434</v>
      </c>
    </row>
    <row r="1147" spans="21:27" x14ac:dyDescent="0.25">
      <c r="U1147" s="37">
        <v>33543</v>
      </c>
      <c r="V1147" s="10">
        <v>0</v>
      </c>
      <c r="W1147" s="10">
        <v>2</v>
      </c>
      <c r="X1147" s="10">
        <v>10</v>
      </c>
      <c r="Y1147" s="11">
        <v>0</v>
      </c>
      <c r="Z1147" s="11">
        <v>0.16666666666666666</v>
      </c>
      <c r="AA1147" s="11">
        <v>0.83333333333333337</v>
      </c>
    </row>
    <row r="1148" spans="21:27" x14ac:dyDescent="0.25">
      <c r="U1148" s="37">
        <v>33545</v>
      </c>
      <c r="V1148" s="10">
        <v>12</v>
      </c>
      <c r="W1148" s="10">
        <v>5</v>
      </c>
      <c r="X1148" s="10">
        <v>5</v>
      </c>
      <c r="Y1148" s="11">
        <v>0.54545454545454541</v>
      </c>
      <c r="Z1148" s="11">
        <v>0.22727272727272727</v>
      </c>
      <c r="AA1148" s="11">
        <v>0.22727272727272727</v>
      </c>
    </row>
    <row r="1149" spans="21:27" x14ac:dyDescent="0.25">
      <c r="U1149" s="37">
        <v>33552</v>
      </c>
      <c r="V1149" s="10">
        <v>5</v>
      </c>
      <c r="W1149" s="10">
        <v>3</v>
      </c>
      <c r="X1149" s="10">
        <v>4</v>
      </c>
      <c r="Y1149" s="11">
        <v>0.41666666666666669</v>
      </c>
      <c r="Z1149" s="11">
        <v>0.25</v>
      </c>
      <c r="AA1149" s="11">
        <v>0.33333333333333331</v>
      </c>
    </row>
    <row r="1150" spans="21:27" x14ac:dyDescent="0.25">
      <c r="U1150" s="37">
        <v>33559</v>
      </c>
      <c r="V1150" s="10">
        <v>7</v>
      </c>
      <c r="W1150" s="10">
        <v>1</v>
      </c>
      <c r="X1150" s="10">
        <v>22</v>
      </c>
      <c r="Y1150" s="11">
        <v>0.23333333333333334</v>
      </c>
      <c r="Z1150" s="11">
        <v>3.3333333333333333E-2</v>
      </c>
      <c r="AA1150" s="11">
        <v>0.73333333333333328</v>
      </c>
    </row>
    <row r="1151" spans="21:27" x14ac:dyDescent="0.25">
      <c r="U1151" s="37">
        <v>33566</v>
      </c>
      <c r="V1151" s="10">
        <v>6</v>
      </c>
      <c r="W1151" s="10">
        <v>5</v>
      </c>
      <c r="X1151" s="10">
        <v>7</v>
      </c>
      <c r="Y1151" s="11">
        <v>0.33333333333333331</v>
      </c>
      <c r="Z1151" s="11">
        <v>0.27777777777777779</v>
      </c>
      <c r="AA1151" s="11">
        <v>0.3888888888888889</v>
      </c>
    </row>
    <row r="1152" spans="21:27" x14ac:dyDescent="0.25">
      <c r="U1152" s="37">
        <v>33573</v>
      </c>
      <c r="V1152" s="10">
        <v>4</v>
      </c>
      <c r="W1152" s="10">
        <v>0</v>
      </c>
      <c r="X1152" s="10">
        <v>12</v>
      </c>
      <c r="Y1152" s="11">
        <v>0.25</v>
      </c>
      <c r="Z1152" s="11">
        <v>0</v>
      </c>
      <c r="AA1152" s="11">
        <v>0.75</v>
      </c>
    </row>
    <row r="1153" spans="21:27" x14ac:dyDescent="0.25">
      <c r="U1153" s="37">
        <v>33580</v>
      </c>
      <c r="V1153" s="10">
        <v>4</v>
      </c>
      <c r="W1153" s="10">
        <v>1</v>
      </c>
      <c r="X1153" s="10">
        <v>8</v>
      </c>
      <c r="Y1153" s="11">
        <v>0.30769230769230771</v>
      </c>
      <c r="Z1153" s="11">
        <v>7.6923076923076927E-2</v>
      </c>
      <c r="AA1153" s="11">
        <v>0.61538461538461542</v>
      </c>
    </row>
    <row r="1154" spans="21:27" x14ac:dyDescent="0.25">
      <c r="U1154" s="37">
        <v>33587</v>
      </c>
      <c r="V1154" s="10">
        <v>4</v>
      </c>
      <c r="W1154" s="10">
        <v>4</v>
      </c>
      <c r="X1154" s="10">
        <v>10</v>
      </c>
      <c r="Y1154" s="11">
        <v>0.22222222222222221</v>
      </c>
      <c r="Z1154" s="11">
        <v>0.22222222222222221</v>
      </c>
      <c r="AA1154" s="11">
        <v>0.55555555555555558</v>
      </c>
    </row>
    <row r="1155" spans="21:27" x14ac:dyDescent="0.25">
      <c r="U1155" s="37">
        <v>33594</v>
      </c>
      <c r="V1155" s="10">
        <v>8</v>
      </c>
      <c r="W1155" s="10">
        <v>4</v>
      </c>
      <c r="X1155" s="10">
        <v>8</v>
      </c>
      <c r="Y1155" s="11">
        <v>0.4</v>
      </c>
      <c r="Z1155" s="11">
        <v>0.2</v>
      </c>
      <c r="AA1155" s="11">
        <v>0.4</v>
      </c>
    </row>
    <row r="1156" spans="21:27" x14ac:dyDescent="0.25">
      <c r="U1156" s="37">
        <v>33596</v>
      </c>
      <c r="V1156" s="10">
        <v>6</v>
      </c>
      <c r="W1156" s="10">
        <v>5</v>
      </c>
      <c r="X1156" s="10">
        <v>5</v>
      </c>
      <c r="Y1156" s="11">
        <v>0.375</v>
      </c>
      <c r="Z1156" s="11">
        <v>0.3125</v>
      </c>
      <c r="AA1156" s="11">
        <v>0.3125</v>
      </c>
    </row>
    <row r="1157" spans="21:27" x14ac:dyDescent="0.25">
      <c r="U1157" s="37">
        <v>33597</v>
      </c>
      <c r="V1157" s="10">
        <v>2</v>
      </c>
      <c r="W1157" s="10">
        <v>3</v>
      </c>
      <c r="X1157" s="10">
        <v>4</v>
      </c>
      <c r="Y1157" s="11">
        <v>0.22222222222222221</v>
      </c>
      <c r="Z1157" s="11">
        <v>0.33333333333333331</v>
      </c>
      <c r="AA1157" s="11">
        <v>0.44444444444444442</v>
      </c>
    </row>
    <row r="1158" spans="21:27" x14ac:dyDescent="0.25">
      <c r="U1158" s="37">
        <v>33601</v>
      </c>
      <c r="V1158" s="10">
        <v>3</v>
      </c>
      <c r="W1158" s="10">
        <v>4</v>
      </c>
      <c r="X1158" s="10">
        <v>9</v>
      </c>
      <c r="Y1158" s="11">
        <v>0.1875</v>
      </c>
      <c r="Z1158" s="11">
        <v>0.25</v>
      </c>
      <c r="AA1158" s="11">
        <v>0.5625</v>
      </c>
    </row>
    <row r="1159" spans="21:27" x14ac:dyDescent="0.25">
      <c r="U1159" s="37">
        <v>33608</v>
      </c>
      <c r="V1159" s="10">
        <v>3</v>
      </c>
      <c r="W1159" s="10">
        <v>3</v>
      </c>
      <c r="X1159" s="10">
        <v>5</v>
      </c>
      <c r="Y1159" s="11">
        <v>0.27272727272727271</v>
      </c>
      <c r="Z1159" s="11">
        <v>0.27272727272727271</v>
      </c>
      <c r="AA1159" s="11">
        <v>0.45454545454545453</v>
      </c>
    </row>
    <row r="1160" spans="21:27" x14ac:dyDescent="0.25">
      <c r="U1160" s="37">
        <v>33615</v>
      </c>
      <c r="V1160" s="10">
        <v>10</v>
      </c>
      <c r="W1160" s="10">
        <v>7</v>
      </c>
      <c r="X1160" s="10">
        <v>9</v>
      </c>
      <c r="Y1160" s="11">
        <v>0.38461538461538464</v>
      </c>
      <c r="Z1160" s="11">
        <v>0.26923076923076922</v>
      </c>
      <c r="AA1160" s="11">
        <v>0.34615384615384615</v>
      </c>
    </row>
    <row r="1161" spans="21:27" x14ac:dyDescent="0.25">
      <c r="U1161" s="37">
        <v>33622</v>
      </c>
      <c r="V1161" s="10">
        <v>4</v>
      </c>
      <c r="W1161" s="10">
        <v>5</v>
      </c>
      <c r="X1161" s="10">
        <v>8</v>
      </c>
      <c r="Y1161" s="11">
        <v>0.23529411764705882</v>
      </c>
      <c r="Z1161" s="11">
        <v>0.29411764705882354</v>
      </c>
      <c r="AA1161" s="11">
        <v>0.47058823529411764</v>
      </c>
    </row>
    <row r="1162" spans="21:27" x14ac:dyDescent="0.25">
      <c r="U1162" s="37">
        <v>33629</v>
      </c>
      <c r="V1162" s="10">
        <v>0</v>
      </c>
      <c r="W1162" s="10">
        <v>1</v>
      </c>
      <c r="X1162" s="10">
        <v>1</v>
      </c>
      <c r="Y1162" s="11">
        <v>0</v>
      </c>
      <c r="Z1162" s="11">
        <v>0.5</v>
      </c>
      <c r="AA1162" s="11">
        <v>0.5</v>
      </c>
    </row>
    <row r="1163" spans="21:27" x14ac:dyDescent="0.25">
      <c r="U1163" s="37">
        <v>33636</v>
      </c>
      <c r="V1163" s="10">
        <v>6</v>
      </c>
      <c r="W1163" s="10">
        <v>3</v>
      </c>
      <c r="X1163" s="10">
        <v>8</v>
      </c>
      <c r="Y1163" s="11">
        <v>0.35294117647058826</v>
      </c>
      <c r="Z1163" s="11">
        <v>0.17647058823529413</v>
      </c>
      <c r="AA1163" s="11">
        <v>0.47058823529411764</v>
      </c>
    </row>
    <row r="1164" spans="21:27" x14ac:dyDescent="0.25">
      <c r="U1164" s="37">
        <v>33643</v>
      </c>
      <c r="V1164" s="10">
        <v>8</v>
      </c>
      <c r="W1164" s="10">
        <v>2</v>
      </c>
      <c r="X1164" s="10">
        <v>3</v>
      </c>
      <c r="Y1164" s="11">
        <v>0.61538461538461542</v>
      </c>
      <c r="Z1164" s="11">
        <v>0.15384615384615385</v>
      </c>
      <c r="AA1164" s="11">
        <v>0.23076923076923078</v>
      </c>
    </row>
    <row r="1165" spans="21:27" x14ac:dyDescent="0.25">
      <c r="U1165" s="37">
        <v>33650</v>
      </c>
      <c r="V1165" s="10">
        <v>1</v>
      </c>
      <c r="W1165" s="10">
        <v>2</v>
      </c>
      <c r="X1165" s="10">
        <v>5</v>
      </c>
      <c r="Y1165" s="11">
        <v>0.125</v>
      </c>
      <c r="Z1165" s="11">
        <v>0.25</v>
      </c>
      <c r="AA1165" s="11">
        <v>0.625</v>
      </c>
    </row>
    <row r="1166" spans="21:27" x14ac:dyDescent="0.25">
      <c r="U1166" s="37">
        <v>33657</v>
      </c>
      <c r="V1166" s="10">
        <v>3</v>
      </c>
      <c r="W1166" s="10">
        <v>2</v>
      </c>
      <c r="X1166" s="10">
        <v>3</v>
      </c>
      <c r="Y1166" s="11">
        <v>0.375</v>
      </c>
      <c r="Z1166" s="11">
        <v>0.25</v>
      </c>
      <c r="AA1166" s="11">
        <v>0.375</v>
      </c>
    </row>
    <row r="1167" spans="21:27" x14ac:dyDescent="0.25">
      <c r="U1167" s="37">
        <v>33664</v>
      </c>
      <c r="V1167" s="10">
        <v>5</v>
      </c>
      <c r="W1167" s="10">
        <v>1</v>
      </c>
      <c r="X1167" s="10">
        <v>8</v>
      </c>
      <c r="Y1167" s="11">
        <v>0.35714285714285715</v>
      </c>
      <c r="Z1167" s="11">
        <v>7.1428571428571425E-2</v>
      </c>
      <c r="AA1167" s="11">
        <v>0.5714285714285714</v>
      </c>
    </row>
    <row r="1168" spans="21:27" x14ac:dyDescent="0.25">
      <c r="U1168" s="37">
        <v>33671</v>
      </c>
      <c r="V1168" s="10">
        <v>4</v>
      </c>
      <c r="W1168" s="10">
        <v>1</v>
      </c>
      <c r="X1168" s="10">
        <v>15</v>
      </c>
      <c r="Y1168" s="11">
        <v>0.2</v>
      </c>
      <c r="Z1168" s="11">
        <v>0.05</v>
      </c>
      <c r="AA1168" s="11">
        <v>0.75</v>
      </c>
    </row>
    <row r="1169" spans="21:27" x14ac:dyDescent="0.25">
      <c r="U1169" s="37">
        <v>33678</v>
      </c>
      <c r="V1169" s="10">
        <v>11</v>
      </c>
      <c r="W1169" s="10">
        <v>7</v>
      </c>
      <c r="X1169" s="10">
        <v>10</v>
      </c>
      <c r="Y1169" s="11">
        <v>0.39285714285714285</v>
      </c>
      <c r="Z1169" s="11">
        <v>0.25</v>
      </c>
      <c r="AA1169" s="11">
        <v>0.35714285714285715</v>
      </c>
    </row>
    <row r="1170" spans="21:27" x14ac:dyDescent="0.25">
      <c r="U1170" s="37">
        <v>33685</v>
      </c>
      <c r="V1170" s="10">
        <v>5</v>
      </c>
      <c r="W1170" s="10">
        <v>2</v>
      </c>
      <c r="X1170" s="10">
        <v>3</v>
      </c>
      <c r="Y1170" s="11">
        <v>0.5</v>
      </c>
      <c r="Z1170" s="11">
        <v>0.2</v>
      </c>
      <c r="AA1170" s="11">
        <v>0.3</v>
      </c>
    </row>
    <row r="1171" spans="21:27" x14ac:dyDescent="0.25">
      <c r="U1171" s="37">
        <v>33692</v>
      </c>
      <c r="V1171" s="10">
        <v>0</v>
      </c>
      <c r="W1171" s="10">
        <v>4</v>
      </c>
      <c r="X1171" s="10">
        <v>4</v>
      </c>
      <c r="Y1171" s="11">
        <v>0</v>
      </c>
      <c r="Z1171" s="11">
        <v>0.5</v>
      </c>
      <c r="AA1171" s="11">
        <v>0.5</v>
      </c>
    </row>
    <row r="1172" spans="21:27" x14ac:dyDescent="0.25">
      <c r="U1172" s="37">
        <v>33699</v>
      </c>
      <c r="V1172" s="10">
        <v>1</v>
      </c>
      <c r="W1172" s="10">
        <v>2</v>
      </c>
      <c r="X1172" s="10">
        <v>7</v>
      </c>
      <c r="Y1172" s="11">
        <v>0.1</v>
      </c>
      <c r="Z1172" s="11">
        <v>0.2</v>
      </c>
      <c r="AA1172" s="11">
        <v>0.7</v>
      </c>
    </row>
    <row r="1173" spans="21:27" x14ac:dyDescent="0.25">
      <c r="U1173" s="37">
        <v>33706</v>
      </c>
      <c r="V1173" s="10">
        <v>10</v>
      </c>
      <c r="W1173" s="10">
        <v>13</v>
      </c>
      <c r="X1173" s="10">
        <v>7</v>
      </c>
      <c r="Y1173" s="11">
        <v>0.33333333333333331</v>
      </c>
      <c r="Z1173" s="11">
        <v>0.43333333333333335</v>
      </c>
      <c r="AA1173" s="11">
        <v>0.23333333333333334</v>
      </c>
    </row>
    <row r="1174" spans="21:27" x14ac:dyDescent="0.25">
      <c r="U1174" s="37">
        <v>33713</v>
      </c>
      <c r="V1174" s="10">
        <v>5</v>
      </c>
      <c r="W1174" s="10">
        <v>1</v>
      </c>
      <c r="X1174" s="10">
        <v>2</v>
      </c>
      <c r="Y1174" s="11">
        <v>0.625</v>
      </c>
      <c r="Z1174" s="11">
        <v>0.125</v>
      </c>
      <c r="AA1174" s="11">
        <v>0.25</v>
      </c>
    </row>
    <row r="1175" spans="21:27" x14ac:dyDescent="0.25">
      <c r="U1175" s="37">
        <v>33720</v>
      </c>
      <c r="V1175" s="10">
        <v>8</v>
      </c>
      <c r="W1175" s="10">
        <v>6</v>
      </c>
      <c r="X1175" s="10">
        <v>7</v>
      </c>
      <c r="Y1175" s="11">
        <v>0.38095238095238093</v>
      </c>
      <c r="Z1175" s="11">
        <v>0.2857142857142857</v>
      </c>
      <c r="AA1175" s="11">
        <v>0.33333333333333331</v>
      </c>
    </row>
    <row r="1176" spans="21:27" x14ac:dyDescent="0.25">
      <c r="U1176" s="37">
        <v>33727</v>
      </c>
      <c r="V1176" s="10">
        <v>11</v>
      </c>
      <c r="W1176" s="10">
        <v>1</v>
      </c>
      <c r="X1176" s="10">
        <v>6</v>
      </c>
      <c r="Y1176" s="11">
        <v>0.61111111111111116</v>
      </c>
      <c r="Z1176" s="11">
        <v>5.5555555555555552E-2</v>
      </c>
      <c r="AA1176" s="11">
        <v>0.33333333333333331</v>
      </c>
    </row>
    <row r="1177" spans="21:27" x14ac:dyDescent="0.25">
      <c r="U1177" s="37">
        <v>33734</v>
      </c>
      <c r="V1177" s="10">
        <v>10</v>
      </c>
      <c r="W1177" s="10">
        <v>11</v>
      </c>
      <c r="X1177" s="10">
        <v>8</v>
      </c>
      <c r="Y1177" s="11">
        <v>0.34482758620689657</v>
      </c>
      <c r="Z1177" s="11">
        <v>0.37931034482758619</v>
      </c>
      <c r="AA1177" s="11">
        <v>0.27586206896551724</v>
      </c>
    </row>
    <row r="1178" spans="21:27" x14ac:dyDescent="0.25">
      <c r="U1178" s="37">
        <v>33741</v>
      </c>
      <c r="V1178" s="10">
        <v>12</v>
      </c>
      <c r="W1178" s="10">
        <v>2</v>
      </c>
      <c r="X1178" s="10">
        <v>8</v>
      </c>
      <c r="Y1178" s="11">
        <v>0.54545454545454541</v>
      </c>
      <c r="Z1178" s="11">
        <v>9.0909090909090912E-2</v>
      </c>
      <c r="AA1178" s="11">
        <v>0.36363636363636365</v>
      </c>
    </row>
    <row r="1179" spans="21:27" x14ac:dyDescent="0.25">
      <c r="U1179" s="37">
        <v>33748</v>
      </c>
      <c r="V1179" s="10">
        <v>10</v>
      </c>
      <c r="W1179" s="10">
        <v>6</v>
      </c>
      <c r="X1179" s="10">
        <v>4</v>
      </c>
      <c r="Y1179" s="11">
        <v>0.5</v>
      </c>
      <c r="Z1179" s="11">
        <v>0.3</v>
      </c>
      <c r="AA1179" s="11">
        <v>0.2</v>
      </c>
    </row>
    <row r="1180" spans="21:27" x14ac:dyDescent="0.25">
      <c r="U1180" s="37">
        <v>33755</v>
      </c>
      <c r="V1180" s="10">
        <v>5</v>
      </c>
      <c r="W1180" s="10">
        <v>5</v>
      </c>
      <c r="X1180" s="10">
        <v>21</v>
      </c>
      <c r="Y1180" s="11">
        <v>0.16129032258064516</v>
      </c>
      <c r="Z1180" s="11">
        <v>0.16129032258064516</v>
      </c>
      <c r="AA1180" s="11">
        <v>0.67741935483870963</v>
      </c>
    </row>
    <row r="1181" spans="21:27" x14ac:dyDescent="0.25">
      <c r="U1181" s="37">
        <v>33762</v>
      </c>
      <c r="V1181" s="10">
        <v>9</v>
      </c>
      <c r="W1181" s="10">
        <v>6</v>
      </c>
      <c r="X1181" s="10">
        <v>15</v>
      </c>
      <c r="Y1181" s="11">
        <v>0.3</v>
      </c>
      <c r="Z1181" s="11">
        <v>0.2</v>
      </c>
      <c r="AA1181" s="11">
        <v>0.5</v>
      </c>
    </row>
    <row r="1182" spans="21:27" x14ac:dyDescent="0.25">
      <c r="U1182" s="37">
        <v>33769</v>
      </c>
      <c r="V1182" s="10">
        <v>7</v>
      </c>
      <c r="W1182" s="10">
        <v>4</v>
      </c>
      <c r="X1182" s="10">
        <v>6</v>
      </c>
      <c r="Y1182" s="11">
        <v>0.41176470588235292</v>
      </c>
      <c r="Z1182" s="11">
        <v>0.23529411764705882</v>
      </c>
      <c r="AA1182" s="11">
        <v>0.35294117647058826</v>
      </c>
    </row>
    <row r="1183" spans="21:27" x14ac:dyDescent="0.25">
      <c r="U1183" s="37">
        <v>33776</v>
      </c>
      <c r="V1183" s="10">
        <v>4</v>
      </c>
      <c r="W1183" s="10">
        <v>2</v>
      </c>
      <c r="X1183" s="10">
        <v>11</v>
      </c>
      <c r="Y1183" s="11">
        <v>0.23529411764705882</v>
      </c>
      <c r="Z1183" s="11">
        <v>0.11764705882352941</v>
      </c>
      <c r="AA1183" s="11">
        <v>0.6470588235294118</v>
      </c>
    </row>
    <row r="1184" spans="21:27" x14ac:dyDescent="0.25">
      <c r="U1184" s="37">
        <v>33783</v>
      </c>
      <c r="V1184" s="10">
        <v>5</v>
      </c>
      <c r="W1184" s="10">
        <v>0</v>
      </c>
      <c r="X1184" s="10">
        <v>7</v>
      </c>
      <c r="Y1184" s="11">
        <v>0.41666666666666669</v>
      </c>
      <c r="Z1184" s="11">
        <v>0</v>
      </c>
      <c r="AA1184" s="11">
        <v>0.58333333333333337</v>
      </c>
    </row>
    <row r="1185" spans="21:27" x14ac:dyDescent="0.25">
      <c r="U1185" s="37">
        <v>33790</v>
      </c>
      <c r="V1185" s="10">
        <v>4</v>
      </c>
      <c r="W1185" s="10">
        <v>5</v>
      </c>
      <c r="X1185" s="10">
        <v>8</v>
      </c>
      <c r="Y1185" s="11">
        <v>0.23529411764705882</v>
      </c>
      <c r="Z1185" s="11">
        <v>0.29411764705882354</v>
      </c>
      <c r="AA1185" s="11">
        <v>0.47058823529411764</v>
      </c>
    </row>
    <row r="1186" spans="21:27" x14ac:dyDescent="0.25">
      <c r="U1186" s="37">
        <v>33797</v>
      </c>
      <c r="V1186" s="10">
        <v>11</v>
      </c>
      <c r="W1186" s="10">
        <v>9</v>
      </c>
      <c r="X1186" s="10">
        <v>8</v>
      </c>
      <c r="Y1186" s="11">
        <v>0.39285714285714285</v>
      </c>
      <c r="Z1186" s="11">
        <v>0.32142857142857145</v>
      </c>
      <c r="AA1186" s="11">
        <v>0.2857142857142857</v>
      </c>
    </row>
    <row r="1187" spans="21:27" x14ac:dyDescent="0.25">
      <c r="U1187" s="37">
        <v>33804</v>
      </c>
      <c r="V1187" s="10">
        <v>3</v>
      </c>
      <c r="W1187" s="10">
        <v>1</v>
      </c>
      <c r="X1187" s="10">
        <v>5</v>
      </c>
      <c r="Y1187" s="11">
        <v>0.33333333333333331</v>
      </c>
      <c r="Z1187" s="11">
        <v>0.1111111111111111</v>
      </c>
      <c r="AA1187" s="11">
        <v>0.55555555555555558</v>
      </c>
    </row>
    <row r="1188" spans="21:27" x14ac:dyDescent="0.25">
      <c r="U1188" s="37">
        <v>33811</v>
      </c>
      <c r="V1188" s="10">
        <v>4</v>
      </c>
      <c r="W1188" s="10">
        <v>7</v>
      </c>
      <c r="X1188" s="10">
        <v>9</v>
      </c>
      <c r="Y1188" s="11">
        <v>0.2</v>
      </c>
      <c r="Z1188" s="11">
        <v>0.35</v>
      </c>
      <c r="AA1188" s="11">
        <v>0.45</v>
      </c>
    </row>
    <row r="1189" spans="21:27" x14ac:dyDescent="0.25">
      <c r="U1189" s="37">
        <v>33818</v>
      </c>
      <c r="V1189" s="10">
        <v>4</v>
      </c>
      <c r="W1189" s="10">
        <v>3</v>
      </c>
      <c r="X1189" s="10">
        <v>9</v>
      </c>
      <c r="Y1189" s="11">
        <v>0.25</v>
      </c>
      <c r="Z1189" s="11">
        <v>0.1875</v>
      </c>
      <c r="AA1189" s="11">
        <v>0.5625</v>
      </c>
    </row>
    <row r="1190" spans="21:27" x14ac:dyDescent="0.25">
      <c r="U1190" s="37">
        <v>33825</v>
      </c>
      <c r="V1190" s="10">
        <v>5</v>
      </c>
      <c r="W1190" s="10">
        <v>2</v>
      </c>
      <c r="X1190" s="10">
        <v>3</v>
      </c>
      <c r="Y1190" s="11">
        <v>0.5</v>
      </c>
      <c r="Z1190" s="11">
        <v>0.2</v>
      </c>
      <c r="AA1190" s="11">
        <v>0.3</v>
      </c>
    </row>
    <row r="1191" spans="21:27" x14ac:dyDescent="0.25">
      <c r="U1191" s="37">
        <v>33831</v>
      </c>
      <c r="V1191" s="10">
        <v>1</v>
      </c>
      <c r="W1191" s="10">
        <v>0</v>
      </c>
      <c r="X1191" s="10">
        <v>9</v>
      </c>
      <c r="Y1191" s="11">
        <v>0.1</v>
      </c>
      <c r="Z1191" s="11">
        <v>0</v>
      </c>
      <c r="AA1191" s="11">
        <v>0.9</v>
      </c>
    </row>
    <row r="1192" spans="21:27" x14ac:dyDescent="0.25">
      <c r="U1192" s="37">
        <v>33832</v>
      </c>
      <c r="V1192" s="10">
        <v>9</v>
      </c>
      <c r="W1192" s="10">
        <v>4</v>
      </c>
      <c r="X1192" s="10">
        <v>6</v>
      </c>
      <c r="Y1192" s="11">
        <v>0.47368421052631576</v>
      </c>
      <c r="Z1192" s="11">
        <v>0.21052631578947367</v>
      </c>
      <c r="AA1192" s="11">
        <v>0.31578947368421051</v>
      </c>
    </row>
    <row r="1193" spans="21:27" x14ac:dyDescent="0.25">
      <c r="U1193" s="37">
        <v>33839</v>
      </c>
      <c r="V1193" s="10">
        <v>7</v>
      </c>
      <c r="W1193" s="10">
        <v>2</v>
      </c>
      <c r="X1193" s="10">
        <v>6</v>
      </c>
      <c r="Y1193" s="11">
        <v>0.46666666666666667</v>
      </c>
      <c r="Z1193" s="11">
        <v>0.13333333333333333</v>
      </c>
      <c r="AA1193" s="11">
        <v>0.4</v>
      </c>
    </row>
    <row r="1194" spans="21:27" x14ac:dyDescent="0.25">
      <c r="U1194" s="37">
        <v>33846</v>
      </c>
      <c r="V1194" s="10">
        <v>2</v>
      </c>
      <c r="W1194" s="10">
        <v>1</v>
      </c>
      <c r="X1194" s="10">
        <v>12</v>
      </c>
      <c r="Y1194" s="11">
        <v>0.13333333333333333</v>
      </c>
      <c r="Z1194" s="11">
        <v>6.6666666666666666E-2</v>
      </c>
      <c r="AA1194" s="11">
        <v>0.8</v>
      </c>
    </row>
    <row r="1195" spans="21:27" x14ac:dyDescent="0.25">
      <c r="U1195" s="37">
        <v>33853</v>
      </c>
      <c r="V1195" s="10">
        <v>5</v>
      </c>
      <c r="W1195" s="10">
        <v>0</v>
      </c>
      <c r="X1195" s="10">
        <v>6</v>
      </c>
      <c r="Y1195" s="11">
        <v>0.45454545454545453</v>
      </c>
      <c r="Z1195" s="11">
        <v>0</v>
      </c>
      <c r="AA1195" s="11">
        <v>0.54545454545454541</v>
      </c>
    </row>
    <row r="1196" spans="21:27" x14ac:dyDescent="0.25">
      <c r="U1196" s="37">
        <v>33860</v>
      </c>
      <c r="V1196" s="10">
        <v>5</v>
      </c>
      <c r="W1196" s="10">
        <v>3</v>
      </c>
      <c r="X1196" s="10">
        <v>2</v>
      </c>
      <c r="Y1196" s="11">
        <v>0.5</v>
      </c>
      <c r="Z1196" s="11">
        <v>0.3</v>
      </c>
      <c r="AA1196" s="11">
        <v>0.2</v>
      </c>
    </row>
    <row r="1197" spans="21:27" x14ac:dyDescent="0.25">
      <c r="U1197" s="37">
        <v>33867</v>
      </c>
      <c r="V1197" s="10">
        <v>9</v>
      </c>
      <c r="W1197" s="10">
        <v>4</v>
      </c>
      <c r="X1197" s="10">
        <v>9</v>
      </c>
      <c r="Y1197" s="11">
        <v>0.40909090909090912</v>
      </c>
      <c r="Z1197" s="11">
        <v>0.18181818181818182</v>
      </c>
      <c r="AA1197" s="11">
        <v>0.40909090909090912</v>
      </c>
    </row>
    <row r="1198" spans="21:27" x14ac:dyDescent="0.25">
      <c r="U1198" s="37">
        <v>33874</v>
      </c>
      <c r="V1198" s="10">
        <v>1</v>
      </c>
      <c r="W1198" s="10">
        <v>5</v>
      </c>
      <c r="X1198" s="10">
        <v>9</v>
      </c>
      <c r="Y1198" s="11">
        <v>6.6666666666666666E-2</v>
      </c>
      <c r="Z1198" s="11">
        <v>0.33333333333333331</v>
      </c>
      <c r="AA1198" s="11">
        <v>0.6</v>
      </c>
    </row>
    <row r="1199" spans="21:27" x14ac:dyDescent="0.25">
      <c r="U1199" s="37">
        <v>33881</v>
      </c>
      <c r="V1199" s="10">
        <v>2</v>
      </c>
      <c r="W1199" s="10">
        <v>2</v>
      </c>
      <c r="X1199" s="10">
        <v>13</v>
      </c>
      <c r="Y1199" s="11">
        <v>0.11764705882352941</v>
      </c>
      <c r="Z1199" s="11">
        <v>0.11764705882352941</v>
      </c>
      <c r="AA1199" s="11">
        <v>0.76470588235294112</v>
      </c>
    </row>
    <row r="1200" spans="21:27" x14ac:dyDescent="0.25">
      <c r="U1200" s="37">
        <v>33888</v>
      </c>
      <c r="V1200" s="10">
        <v>13</v>
      </c>
      <c r="W1200" s="10">
        <v>13</v>
      </c>
      <c r="X1200" s="10">
        <v>17</v>
      </c>
      <c r="Y1200" s="11">
        <v>0.30232558139534882</v>
      </c>
      <c r="Z1200" s="11">
        <v>0.30232558139534882</v>
      </c>
      <c r="AA1200" s="11">
        <v>0.39534883720930231</v>
      </c>
    </row>
    <row r="1201" spans="21:27" x14ac:dyDescent="0.25">
      <c r="U1201" s="37">
        <v>33895</v>
      </c>
      <c r="V1201" s="10">
        <v>3</v>
      </c>
      <c r="W1201" s="10">
        <v>1</v>
      </c>
      <c r="X1201" s="10">
        <v>8</v>
      </c>
      <c r="Y1201" s="11">
        <v>0.25</v>
      </c>
      <c r="Z1201" s="11">
        <v>8.3333333333333329E-2</v>
      </c>
      <c r="AA1201" s="11">
        <v>0.66666666666666663</v>
      </c>
    </row>
    <row r="1202" spans="21:27" x14ac:dyDescent="0.25">
      <c r="U1202" s="37">
        <v>33902</v>
      </c>
      <c r="V1202" s="10">
        <v>13</v>
      </c>
      <c r="W1202" s="10">
        <v>5</v>
      </c>
      <c r="X1202" s="10">
        <v>4</v>
      </c>
      <c r="Y1202" s="11">
        <v>0.59090909090909094</v>
      </c>
      <c r="Z1202" s="11">
        <v>0.22727272727272727</v>
      </c>
      <c r="AA1202" s="11">
        <v>0.18181818181818182</v>
      </c>
    </row>
    <row r="1203" spans="21:27" x14ac:dyDescent="0.25">
      <c r="U1203" s="37">
        <v>33909</v>
      </c>
      <c r="V1203" s="10">
        <v>5</v>
      </c>
      <c r="W1203" s="10">
        <v>6</v>
      </c>
      <c r="X1203" s="10">
        <v>13</v>
      </c>
      <c r="Y1203" s="11">
        <v>0.20833333333333334</v>
      </c>
      <c r="Z1203" s="11">
        <v>0.25</v>
      </c>
      <c r="AA1203" s="11">
        <v>0.54166666666666663</v>
      </c>
    </row>
    <row r="1204" spans="21:27" x14ac:dyDescent="0.25">
      <c r="U1204" s="37">
        <v>33916</v>
      </c>
      <c r="V1204" s="10">
        <v>6</v>
      </c>
      <c r="W1204" s="10">
        <v>6</v>
      </c>
      <c r="X1204" s="10">
        <v>5</v>
      </c>
      <c r="Y1204" s="11">
        <v>0.35294117647058826</v>
      </c>
      <c r="Z1204" s="11">
        <v>0.35294117647058826</v>
      </c>
      <c r="AA1204" s="11">
        <v>0.29411764705882354</v>
      </c>
    </row>
    <row r="1205" spans="21:27" x14ac:dyDescent="0.25">
      <c r="U1205" s="37">
        <v>33923</v>
      </c>
      <c r="V1205" s="10">
        <v>10</v>
      </c>
      <c r="W1205" s="10">
        <v>4</v>
      </c>
      <c r="X1205" s="10">
        <v>10</v>
      </c>
      <c r="Y1205" s="11">
        <v>0.41666666666666669</v>
      </c>
      <c r="Z1205" s="11">
        <v>0.16666666666666666</v>
      </c>
      <c r="AA1205" s="11">
        <v>0.41666666666666669</v>
      </c>
    </row>
    <row r="1206" spans="21:27" x14ac:dyDescent="0.25">
      <c r="U1206" s="37">
        <v>33930</v>
      </c>
      <c r="V1206" s="10">
        <v>0</v>
      </c>
      <c r="W1206" s="10">
        <v>4</v>
      </c>
      <c r="X1206" s="10">
        <v>4</v>
      </c>
      <c r="Y1206" s="11">
        <v>0</v>
      </c>
      <c r="Z1206" s="11">
        <v>0.5</v>
      </c>
      <c r="AA1206" s="11">
        <v>0.5</v>
      </c>
    </row>
    <row r="1207" spans="21:27" x14ac:dyDescent="0.25">
      <c r="U1207" s="37">
        <v>33937</v>
      </c>
      <c r="V1207" s="10">
        <v>4</v>
      </c>
      <c r="W1207" s="10">
        <v>1</v>
      </c>
      <c r="X1207" s="10">
        <v>4</v>
      </c>
      <c r="Y1207" s="11">
        <v>0.44444444444444442</v>
      </c>
      <c r="Z1207" s="11">
        <v>0.1111111111111111</v>
      </c>
      <c r="AA1207" s="11">
        <v>0.44444444444444442</v>
      </c>
    </row>
    <row r="1208" spans="21:27" x14ac:dyDescent="0.25">
      <c r="U1208" s="37">
        <v>33944</v>
      </c>
      <c r="V1208" s="10">
        <v>3</v>
      </c>
      <c r="W1208" s="10">
        <v>3</v>
      </c>
      <c r="X1208" s="10">
        <v>3</v>
      </c>
      <c r="Y1208" s="11">
        <v>0.33333333333333331</v>
      </c>
      <c r="Z1208" s="11">
        <v>0.33333333333333331</v>
      </c>
      <c r="AA1208" s="11">
        <v>0.33333333333333331</v>
      </c>
    </row>
    <row r="1209" spans="21:27" x14ac:dyDescent="0.25">
      <c r="U1209" s="37">
        <v>33951</v>
      </c>
      <c r="V1209" s="10">
        <v>6</v>
      </c>
      <c r="W1209" s="10">
        <v>8</v>
      </c>
      <c r="X1209" s="10">
        <v>5</v>
      </c>
      <c r="Y1209" s="11">
        <v>0.31578947368421051</v>
      </c>
      <c r="Z1209" s="11">
        <v>0.42105263157894735</v>
      </c>
      <c r="AA1209" s="11">
        <v>0.26315789473684209</v>
      </c>
    </row>
    <row r="1210" spans="21:27" x14ac:dyDescent="0.25">
      <c r="U1210" s="37">
        <v>33958</v>
      </c>
      <c r="V1210" s="10">
        <v>10</v>
      </c>
      <c r="W1210" s="10">
        <v>8</v>
      </c>
      <c r="X1210" s="10">
        <v>12</v>
      </c>
      <c r="Y1210" s="11">
        <v>0.33333333333333331</v>
      </c>
      <c r="Z1210" s="11">
        <v>0.26666666666666666</v>
      </c>
      <c r="AA1210" s="11">
        <v>0.4</v>
      </c>
    </row>
    <row r="1211" spans="21:27" x14ac:dyDescent="0.25">
      <c r="U1211" s="37">
        <v>33962</v>
      </c>
      <c r="V1211" s="10">
        <v>1</v>
      </c>
      <c r="W1211" s="10">
        <v>3</v>
      </c>
      <c r="X1211" s="10">
        <v>4</v>
      </c>
      <c r="Y1211" s="11">
        <v>0.125</v>
      </c>
      <c r="Z1211" s="11">
        <v>0.375</v>
      </c>
      <c r="AA1211" s="11">
        <v>0.5</v>
      </c>
    </row>
    <row r="1212" spans="21:27" x14ac:dyDescent="0.25">
      <c r="U1212" s="37">
        <v>33963</v>
      </c>
      <c r="V1212" s="10">
        <v>11</v>
      </c>
      <c r="W1212" s="10">
        <v>4</v>
      </c>
      <c r="X1212" s="10">
        <v>6</v>
      </c>
      <c r="Y1212" s="11">
        <v>0.52380952380952384</v>
      </c>
      <c r="Z1212" s="11">
        <v>0.19047619047619047</v>
      </c>
      <c r="AA1212" s="11">
        <v>0.2857142857142857</v>
      </c>
    </row>
    <row r="1213" spans="21:27" x14ac:dyDescent="0.25">
      <c r="U1213" s="37">
        <v>33965</v>
      </c>
      <c r="V1213" s="10">
        <v>3</v>
      </c>
      <c r="W1213" s="10">
        <v>1</v>
      </c>
      <c r="X1213" s="10">
        <v>7</v>
      </c>
      <c r="Y1213" s="11">
        <v>0.27272727272727271</v>
      </c>
      <c r="Z1213" s="11">
        <v>9.0909090909090912E-2</v>
      </c>
      <c r="AA1213" s="11">
        <v>0.63636363636363635</v>
      </c>
    </row>
    <row r="1214" spans="21:27" x14ac:dyDescent="0.25">
      <c r="U1214" s="37">
        <v>33972</v>
      </c>
      <c r="V1214" s="10">
        <v>18</v>
      </c>
      <c r="W1214" s="10">
        <v>3</v>
      </c>
      <c r="X1214" s="10">
        <v>4</v>
      </c>
      <c r="Y1214" s="11">
        <v>0.72</v>
      </c>
      <c r="Z1214" s="11">
        <v>0.12</v>
      </c>
      <c r="AA1214" s="11">
        <v>0.16</v>
      </c>
    </row>
    <row r="1215" spans="21:27" x14ac:dyDescent="0.25">
      <c r="U1215" s="37">
        <v>33979</v>
      </c>
      <c r="V1215" s="10">
        <v>7</v>
      </c>
      <c r="W1215" s="10">
        <v>1</v>
      </c>
      <c r="X1215" s="10">
        <v>13</v>
      </c>
      <c r="Y1215" s="11">
        <v>0.33333333333333331</v>
      </c>
      <c r="Z1215" s="11">
        <v>4.7619047619047616E-2</v>
      </c>
      <c r="AA1215" s="11">
        <v>0.61904761904761907</v>
      </c>
    </row>
    <row r="1216" spans="21:27" x14ac:dyDescent="0.25">
      <c r="U1216" s="37">
        <v>33986</v>
      </c>
      <c r="V1216" s="10">
        <v>9</v>
      </c>
      <c r="W1216" s="10">
        <v>5</v>
      </c>
      <c r="X1216" s="10">
        <v>7</v>
      </c>
      <c r="Y1216" s="11">
        <v>0.42857142857142855</v>
      </c>
      <c r="Z1216" s="11">
        <v>0.23809523809523808</v>
      </c>
      <c r="AA1216" s="11">
        <v>0.33333333333333331</v>
      </c>
    </row>
    <row r="1217" spans="21:27" x14ac:dyDescent="0.25">
      <c r="U1217" s="37">
        <v>33993</v>
      </c>
      <c r="V1217" s="10">
        <v>1</v>
      </c>
      <c r="W1217" s="10">
        <v>1</v>
      </c>
      <c r="X1217" s="10">
        <v>7</v>
      </c>
      <c r="Y1217" s="11">
        <v>0.1111111111111111</v>
      </c>
      <c r="Z1217" s="11">
        <v>0.1111111111111111</v>
      </c>
      <c r="AA1217" s="11">
        <v>0.77777777777777779</v>
      </c>
    </row>
    <row r="1218" spans="21:27" x14ac:dyDescent="0.25">
      <c r="U1218" s="37">
        <v>34000</v>
      </c>
      <c r="V1218" s="10">
        <v>7</v>
      </c>
      <c r="W1218" s="10">
        <v>2</v>
      </c>
      <c r="X1218" s="10">
        <v>4</v>
      </c>
      <c r="Y1218" s="11">
        <v>0.53846153846153844</v>
      </c>
      <c r="Z1218" s="11">
        <v>0.15384615384615385</v>
      </c>
      <c r="AA1218" s="11">
        <v>0.30769230769230771</v>
      </c>
    </row>
    <row r="1219" spans="21:27" x14ac:dyDescent="0.25">
      <c r="U1219" s="37">
        <v>34007</v>
      </c>
      <c r="V1219" s="10">
        <v>4</v>
      </c>
      <c r="W1219" s="10">
        <v>3</v>
      </c>
      <c r="X1219" s="10">
        <v>9</v>
      </c>
      <c r="Y1219" s="11">
        <v>0.25</v>
      </c>
      <c r="Z1219" s="11">
        <v>0.1875</v>
      </c>
      <c r="AA1219" s="11">
        <v>0.5625</v>
      </c>
    </row>
    <row r="1220" spans="21:27" x14ac:dyDescent="0.25">
      <c r="U1220" s="37">
        <v>34014</v>
      </c>
      <c r="V1220" s="10">
        <v>9</v>
      </c>
      <c r="W1220" s="10">
        <v>4</v>
      </c>
      <c r="X1220" s="10">
        <v>12</v>
      </c>
      <c r="Y1220" s="11">
        <v>0.36</v>
      </c>
      <c r="Z1220" s="11">
        <v>0.16</v>
      </c>
      <c r="AA1220" s="11">
        <v>0.48</v>
      </c>
    </row>
    <row r="1221" spans="21:27" x14ac:dyDescent="0.25">
      <c r="U1221" s="37">
        <v>34021</v>
      </c>
      <c r="V1221" s="10">
        <v>6</v>
      </c>
      <c r="W1221" s="10">
        <v>7</v>
      </c>
      <c r="X1221" s="10">
        <v>6</v>
      </c>
      <c r="Y1221" s="11">
        <v>0.31578947368421051</v>
      </c>
      <c r="Z1221" s="11">
        <v>0.36842105263157893</v>
      </c>
      <c r="AA1221" s="11">
        <v>0.31578947368421051</v>
      </c>
    </row>
    <row r="1222" spans="21:27" x14ac:dyDescent="0.25">
      <c r="U1222" s="37">
        <v>34028</v>
      </c>
      <c r="V1222" s="10">
        <v>5</v>
      </c>
      <c r="W1222" s="10">
        <v>0</v>
      </c>
      <c r="X1222" s="10">
        <v>16</v>
      </c>
      <c r="Y1222" s="11">
        <v>0.23809523809523808</v>
      </c>
      <c r="Z1222" s="11">
        <v>0</v>
      </c>
      <c r="AA1222" s="11">
        <v>0.76190476190476186</v>
      </c>
    </row>
    <row r="1223" spans="21:27" x14ac:dyDescent="0.25">
      <c r="U1223" s="37">
        <v>34035</v>
      </c>
      <c r="V1223" s="10">
        <v>3</v>
      </c>
      <c r="W1223" s="10">
        <v>1</v>
      </c>
      <c r="X1223" s="10">
        <v>5</v>
      </c>
      <c r="Y1223" s="11">
        <v>0.33333333333333331</v>
      </c>
      <c r="Z1223" s="11">
        <v>0.1111111111111111</v>
      </c>
      <c r="AA1223" s="11">
        <v>0.55555555555555558</v>
      </c>
    </row>
    <row r="1224" spans="21:27" x14ac:dyDescent="0.25">
      <c r="U1224" s="37">
        <v>34042</v>
      </c>
      <c r="V1224" s="10">
        <v>5</v>
      </c>
      <c r="W1224" s="10">
        <v>6</v>
      </c>
      <c r="X1224" s="10">
        <v>12</v>
      </c>
      <c r="Y1224" s="11">
        <v>0.21739130434782608</v>
      </c>
      <c r="Z1224" s="11">
        <v>0.2608695652173913</v>
      </c>
      <c r="AA1224" s="11">
        <v>0.52173913043478259</v>
      </c>
    </row>
    <row r="1225" spans="21:27" x14ac:dyDescent="0.25">
      <c r="U1225" s="37">
        <v>34049</v>
      </c>
      <c r="V1225" s="10">
        <v>6</v>
      </c>
      <c r="W1225" s="10">
        <v>5</v>
      </c>
      <c r="X1225" s="10">
        <v>14</v>
      </c>
      <c r="Y1225" s="11">
        <v>0.24</v>
      </c>
      <c r="Z1225" s="11">
        <v>0.2</v>
      </c>
      <c r="AA1225" s="11">
        <v>0.56000000000000005</v>
      </c>
    </row>
    <row r="1226" spans="21:27" x14ac:dyDescent="0.25">
      <c r="U1226" s="37">
        <v>34056</v>
      </c>
      <c r="V1226" s="10">
        <v>1</v>
      </c>
      <c r="W1226" s="10">
        <v>3</v>
      </c>
      <c r="X1226" s="10">
        <v>1</v>
      </c>
      <c r="Y1226" s="11">
        <v>0.2</v>
      </c>
      <c r="Z1226" s="11">
        <v>0.6</v>
      </c>
      <c r="AA1226" s="11">
        <v>0.2</v>
      </c>
    </row>
    <row r="1227" spans="21:27" x14ac:dyDescent="0.25">
      <c r="U1227" s="37">
        <v>34063</v>
      </c>
      <c r="V1227" s="10">
        <v>12</v>
      </c>
      <c r="W1227" s="10">
        <v>3</v>
      </c>
      <c r="X1227" s="10">
        <v>11</v>
      </c>
      <c r="Y1227" s="11">
        <v>0.46153846153846156</v>
      </c>
      <c r="Z1227" s="11">
        <v>0.11538461538461539</v>
      </c>
      <c r="AA1227" s="11">
        <v>0.42307692307692307</v>
      </c>
    </row>
    <row r="1228" spans="21:27" x14ac:dyDescent="0.25">
      <c r="U1228" s="37">
        <v>34070</v>
      </c>
      <c r="V1228" s="10">
        <v>4</v>
      </c>
      <c r="W1228" s="10">
        <v>3</v>
      </c>
      <c r="X1228" s="10">
        <v>19</v>
      </c>
      <c r="Y1228" s="11">
        <v>0.15384615384615385</v>
      </c>
      <c r="Z1228" s="11">
        <v>0.11538461538461539</v>
      </c>
      <c r="AA1228" s="11">
        <v>0.73076923076923073</v>
      </c>
    </row>
    <row r="1229" spans="21:27" x14ac:dyDescent="0.25">
      <c r="U1229" s="37">
        <v>34077</v>
      </c>
      <c r="V1229" s="10">
        <v>6</v>
      </c>
      <c r="W1229" s="10">
        <v>6</v>
      </c>
      <c r="X1229" s="10">
        <v>9</v>
      </c>
      <c r="Y1229" s="11">
        <v>0.2857142857142857</v>
      </c>
      <c r="Z1229" s="11">
        <v>0.2857142857142857</v>
      </c>
      <c r="AA1229" s="11">
        <v>0.42857142857142855</v>
      </c>
    </row>
    <row r="1230" spans="21:27" x14ac:dyDescent="0.25">
      <c r="U1230" s="37">
        <v>34084</v>
      </c>
      <c r="V1230" s="10">
        <v>4</v>
      </c>
      <c r="W1230" s="10">
        <v>2</v>
      </c>
      <c r="X1230" s="10">
        <v>6</v>
      </c>
      <c r="Y1230" s="11">
        <v>0.33333333333333331</v>
      </c>
      <c r="Z1230" s="11">
        <v>0.16666666666666666</v>
      </c>
      <c r="AA1230" s="11">
        <v>0.5</v>
      </c>
    </row>
    <row r="1231" spans="21:27" x14ac:dyDescent="0.25">
      <c r="U1231" s="37">
        <v>34091</v>
      </c>
      <c r="V1231" s="10">
        <v>9</v>
      </c>
      <c r="W1231" s="10">
        <v>12</v>
      </c>
      <c r="X1231" s="10">
        <v>6</v>
      </c>
      <c r="Y1231" s="11">
        <v>0.33333333333333331</v>
      </c>
      <c r="Z1231" s="11">
        <v>0.44444444444444442</v>
      </c>
      <c r="AA1231" s="11">
        <v>0.22222222222222221</v>
      </c>
    </row>
    <row r="1232" spans="21:27" x14ac:dyDescent="0.25">
      <c r="U1232" s="37">
        <v>34098</v>
      </c>
      <c r="V1232" s="10">
        <v>5</v>
      </c>
      <c r="W1232" s="10">
        <v>2</v>
      </c>
      <c r="X1232" s="10">
        <v>6</v>
      </c>
      <c r="Y1232" s="11">
        <v>0.38461538461538464</v>
      </c>
      <c r="Z1232" s="11">
        <v>0.15384615384615385</v>
      </c>
      <c r="AA1232" s="11">
        <v>0.46153846153846156</v>
      </c>
    </row>
    <row r="1233" spans="21:27" x14ac:dyDescent="0.25">
      <c r="U1233" s="37">
        <v>34105</v>
      </c>
      <c r="V1233" s="10">
        <v>7</v>
      </c>
      <c r="W1233" s="10">
        <v>5</v>
      </c>
      <c r="X1233" s="10">
        <v>7</v>
      </c>
      <c r="Y1233" s="11">
        <v>0.36842105263157893</v>
      </c>
      <c r="Z1233" s="11">
        <v>0.26315789473684209</v>
      </c>
      <c r="AA1233" s="11">
        <v>0.36842105263157893</v>
      </c>
    </row>
    <row r="1234" spans="21:27" x14ac:dyDescent="0.25">
      <c r="U1234" s="37">
        <v>34112</v>
      </c>
      <c r="V1234" s="10">
        <v>4</v>
      </c>
      <c r="W1234" s="10">
        <v>3</v>
      </c>
      <c r="X1234" s="10">
        <v>16</v>
      </c>
      <c r="Y1234" s="11">
        <v>0.17391304347826086</v>
      </c>
      <c r="Z1234" s="11">
        <v>0.13043478260869565</v>
      </c>
      <c r="AA1234" s="11">
        <v>0.69565217391304346</v>
      </c>
    </row>
    <row r="1235" spans="21:27" x14ac:dyDescent="0.25">
      <c r="U1235" s="37">
        <v>34119</v>
      </c>
      <c r="V1235" s="10">
        <v>11</v>
      </c>
      <c r="W1235" s="10">
        <v>9</v>
      </c>
      <c r="X1235" s="10">
        <v>19</v>
      </c>
      <c r="Y1235" s="11">
        <v>0.28205128205128205</v>
      </c>
      <c r="Z1235" s="11">
        <v>0.23076923076923078</v>
      </c>
      <c r="AA1235" s="11">
        <v>0.48717948717948717</v>
      </c>
    </row>
    <row r="1236" spans="21:27" x14ac:dyDescent="0.25">
      <c r="U1236" s="37">
        <v>34126</v>
      </c>
      <c r="V1236" s="10">
        <v>20</v>
      </c>
      <c r="W1236" s="10">
        <v>11</v>
      </c>
      <c r="X1236" s="10">
        <v>10</v>
      </c>
      <c r="Y1236" s="11">
        <v>0.48780487804878048</v>
      </c>
      <c r="Z1236" s="11">
        <v>0.26829268292682928</v>
      </c>
      <c r="AA1236" s="11">
        <v>0.24390243902439024</v>
      </c>
    </row>
    <row r="1237" spans="21:27" x14ac:dyDescent="0.25">
      <c r="U1237" s="37">
        <v>34133</v>
      </c>
      <c r="V1237" s="10">
        <v>5</v>
      </c>
      <c r="W1237" s="10">
        <v>2</v>
      </c>
      <c r="X1237" s="10">
        <v>18</v>
      </c>
      <c r="Y1237" s="11">
        <v>0.2</v>
      </c>
      <c r="Z1237" s="11">
        <v>0.08</v>
      </c>
      <c r="AA1237" s="11">
        <v>0.72</v>
      </c>
    </row>
    <row r="1238" spans="21:27" x14ac:dyDescent="0.25">
      <c r="U1238" s="37">
        <v>34140</v>
      </c>
      <c r="V1238" s="10">
        <v>3</v>
      </c>
      <c r="W1238" s="10">
        <v>1</v>
      </c>
      <c r="X1238" s="10">
        <v>7</v>
      </c>
      <c r="Y1238" s="11">
        <v>0.27272727272727271</v>
      </c>
      <c r="Z1238" s="11">
        <v>9.0909090909090912E-2</v>
      </c>
      <c r="AA1238" s="11">
        <v>0.63636363636363635</v>
      </c>
    </row>
    <row r="1239" spans="21:27" x14ac:dyDescent="0.25">
      <c r="U1239" s="37">
        <v>34147</v>
      </c>
      <c r="V1239" s="10">
        <v>2</v>
      </c>
      <c r="W1239" s="10">
        <v>3</v>
      </c>
      <c r="X1239" s="10">
        <v>1</v>
      </c>
      <c r="Y1239" s="11">
        <v>0.33333333333333331</v>
      </c>
      <c r="Z1239" s="11">
        <v>0.5</v>
      </c>
      <c r="AA1239" s="11">
        <v>0.16666666666666666</v>
      </c>
    </row>
    <row r="1240" spans="21:27" x14ac:dyDescent="0.25">
      <c r="U1240" s="37">
        <v>34154</v>
      </c>
      <c r="V1240" s="10">
        <v>9</v>
      </c>
      <c r="W1240" s="10">
        <v>9</v>
      </c>
      <c r="X1240" s="10">
        <v>11</v>
      </c>
      <c r="Y1240" s="11">
        <v>0.31034482758620691</v>
      </c>
      <c r="Z1240" s="11">
        <v>0.31034482758620691</v>
      </c>
      <c r="AA1240" s="11">
        <v>0.37931034482758619</v>
      </c>
    </row>
    <row r="1241" spans="21:27" x14ac:dyDescent="0.25">
      <c r="U1241" s="37">
        <v>34161</v>
      </c>
      <c r="V1241" s="10">
        <v>9</v>
      </c>
      <c r="W1241" s="10">
        <v>0</v>
      </c>
      <c r="X1241" s="10">
        <v>7</v>
      </c>
      <c r="Y1241" s="11">
        <v>0.5625</v>
      </c>
      <c r="Z1241" s="11">
        <v>0</v>
      </c>
      <c r="AA1241" s="11">
        <v>0.4375</v>
      </c>
    </row>
    <row r="1242" spans="21:27" x14ac:dyDescent="0.25">
      <c r="U1242" s="37">
        <v>34168</v>
      </c>
      <c r="V1242" s="10">
        <v>5</v>
      </c>
      <c r="W1242" s="10">
        <v>3</v>
      </c>
      <c r="X1242" s="10">
        <v>1</v>
      </c>
      <c r="Y1242" s="11">
        <v>0.55555555555555558</v>
      </c>
      <c r="Z1242" s="11">
        <v>0.33333333333333331</v>
      </c>
      <c r="AA1242" s="11">
        <v>0.1111111111111111</v>
      </c>
    </row>
    <row r="1243" spans="21:27" x14ac:dyDescent="0.25">
      <c r="U1243" s="37">
        <v>34175</v>
      </c>
      <c r="V1243" s="10">
        <v>8</v>
      </c>
      <c r="W1243" s="10">
        <v>0</v>
      </c>
      <c r="X1243" s="10">
        <v>5</v>
      </c>
      <c r="Y1243" s="11">
        <v>0.61538461538461542</v>
      </c>
      <c r="Z1243" s="11">
        <v>0</v>
      </c>
      <c r="AA1243" s="11">
        <v>0.38461538461538464</v>
      </c>
    </row>
    <row r="1244" spans="21:27" x14ac:dyDescent="0.25">
      <c r="U1244" s="37">
        <v>34182</v>
      </c>
      <c r="V1244" s="10">
        <v>8</v>
      </c>
      <c r="W1244" s="10">
        <v>5</v>
      </c>
      <c r="X1244" s="10">
        <v>6</v>
      </c>
      <c r="Y1244" s="11">
        <v>0.42105263157894735</v>
      </c>
      <c r="Z1244" s="11">
        <v>0.26315789473684209</v>
      </c>
      <c r="AA1244" s="11">
        <v>0.31578947368421051</v>
      </c>
    </row>
    <row r="1245" spans="21:27" x14ac:dyDescent="0.25">
      <c r="U1245" s="37">
        <v>34189</v>
      </c>
      <c r="V1245" s="10">
        <v>5</v>
      </c>
      <c r="W1245" s="10">
        <v>1</v>
      </c>
      <c r="X1245" s="10">
        <v>6</v>
      </c>
      <c r="Y1245" s="11">
        <v>0.41666666666666669</v>
      </c>
      <c r="Z1245" s="11">
        <v>8.3333333333333329E-2</v>
      </c>
      <c r="AA1245" s="11">
        <v>0.5</v>
      </c>
    </row>
    <row r="1246" spans="21:27" x14ac:dyDescent="0.25">
      <c r="U1246" s="37">
        <v>34196</v>
      </c>
      <c r="V1246" s="10">
        <v>7</v>
      </c>
      <c r="W1246" s="10">
        <v>6</v>
      </c>
      <c r="X1246" s="10">
        <v>12</v>
      </c>
      <c r="Y1246" s="11">
        <v>0.28000000000000003</v>
      </c>
      <c r="Z1246" s="11">
        <v>0.24</v>
      </c>
      <c r="AA1246" s="11">
        <v>0.48</v>
      </c>
    </row>
    <row r="1247" spans="21:27" x14ac:dyDescent="0.25">
      <c r="U1247" s="37">
        <v>34203</v>
      </c>
      <c r="V1247" s="10">
        <v>10</v>
      </c>
      <c r="W1247" s="10">
        <v>5</v>
      </c>
      <c r="X1247" s="10">
        <v>12</v>
      </c>
      <c r="Y1247" s="11">
        <v>0.37037037037037035</v>
      </c>
      <c r="Z1247" s="11">
        <v>0.18518518518518517</v>
      </c>
      <c r="AA1247" s="11">
        <v>0.44444444444444442</v>
      </c>
    </row>
    <row r="1248" spans="21:27" x14ac:dyDescent="0.25">
      <c r="U1248" s="37">
        <v>34210</v>
      </c>
      <c r="V1248" s="10">
        <v>4</v>
      </c>
      <c r="W1248" s="10">
        <v>9</v>
      </c>
      <c r="X1248" s="10">
        <v>10</v>
      </c>
      <c r="Y1248" s="11">
        <v>0.17391304347826086</v>
      </c>
      <c r="Z1248" s="11">
        <v>0.39130434782608697</v>
      </c>
      <c r="AA1248" s="11">
        <v>0.43478260869565216</v>
      </c>
    </row>
    <row r="1249" spans="21:27" x14ac:dyDescent="0.25">
      <c r="U1249" s="37">
        <v>34217</v>
      </c>
      <c r="V1249" s="10">
        <v>6</v>
      </c>
      <c r="W1249" s="10">
        <v>3</v>
      </c>
      <c r="X1249" s="10">
        <v>6</v>
      </c>
      <c r="Y1249" s="11">
        <v>0.4</v>
      </c>
      <c r="Z1249" s="11">
        <v>0.2</v>
      </c>
      <c r="AA1249" s="11">
        <v>0.4</v>
      </c>
    </row>
    <row r="1250" spans="21:27" x14ac:dyDescent="0.25">
      <c r="U1250" s="37">
        <v>34224</v>
      </c>
      <c r="V1250" s="10">
        <v>8</v>
      </c>
      <c r="W1250" s="10">
        <v>4</v>
      </c>
      <c r="X1250" s="10">
        <v>11</v>
      </c>
      <c r="Y1250" s="11">
        <v>0.34782608695652173</v>
      </c>
      <c r="Z1250" s="11">
        <v>0.17391304347826086</v>
      </c>
      <c r="AA1250" s="11">
        <v>0.47826086956521741</v>
      </c>
    </row>
    <row r="1251" spans="21:27" x14ac:dyDescent="0.25">
      <c r="U1251" s="37">
        <v>34231</v>
      </c>
      <c r="V1251" s="10">
        <v>10</v>
      </c>
      <c r="W1251" s="10">
        <v>8</v>
      </c>
      <c r="X1251" s="10">
        <v>11</v>
      </c>
      <c r="Y1251" s="11">
        <v>0.34482758620689657</v>
      </c>
      <c r="Z1251" s="11">
        <v>0.27586206896551724</v>
      </c>
      <c r="AA1251" s="11">
        <v>0.37931034482758619</v>
      </c>
    </row>
    <row r="1252" spans="21:27" x14ac:dyDescent="0.25">
      <c r="U1252" s="37">
        <v>34238</v>
      </c>
      <c r="V1252" s="10">
        <v>3</v>
      </c>
      <c r="W1252" s="10">
        <v>4</v>
      </c>
      <c r="X1252" s="10">
        <v>1</v>
      </c>
      <c r="Y1252" s="11">
        <v>0.375</v>
      </c>
      <c r="Z1252" s="11">
        <v>0.5</v>
      </c>
      <c r="AA1252" s="11">
        <v>0.125</v>
      </c>
    </row>
    <row r="1253" spans="21:27" x14ac:dyDescent="0.25">
      <c r="U1253" s="37">
        <v>34245</v>
      </c>
      <c r="V1253" s="10">
        <v>7</v>
      </c>
      <c r="W1253" s="10">
        <v>7</v>
      </c>
      <c r="X1253" s="10">
        <v>11</v>
      </c>
      <c r="Y1253" s="11">
        <v>0.28000000000000003</v>
      </c>
      <c r="Z1253" s="11">
        <v>0.28000000000000003</v>
      </c>
      <c r="AA1253" s="11">
        <v>0.44</v>
      </c>
    </row>
    <row r="1254" spans="21:27" x14ac:dyDescent="0.25">
      <c r="U1254" s="37">
        <v>34252</v>
      </c>
      <c r="V1254" s="10">
        <v>3</v>
      </c>
      <c r="W1254" s="10">
        <v>6</v>
      </c>
      <c r="X1254" s="10">
        <v>4</v>
      </c>
      <c r="Y1254" s="11">
        <v>0.23076923076923078</v>
      </c>
      <c r="Z1254" s="11">
        <v>0.46153846153846156</v>
      </c>
      <c r="AA1254" s="11">
        <v>0.30769230769230771</v>
      </c>
    </row>
    <row r="1255" spans="21:27" x14ac:dyDescent="0.25">
      <c r="U1255" s="37">
        <v>34259</v>
      </c>
      <c r="V1255" s="10">
        <v>2</v>
      </c>
      <c r="W1255" s="10">
        <v>2</v>
      </c>
      <c r="X1255" s="10">
        <v>5</v>
      </c>
      <c r="Y1255" s="11">
        <v>0.22222222222222221</v>
      </c>
      <c r="Z1255" s="11">
        <v>0.22222222222222221</v>
      </c>
      <c r="AA1255" s="11">
        <v>0.55555555555555558</v>
      </c>
    </row>
    <row r="1256" spans="21:27" x14ac:dyDescent="0.25">
      <c r="U1256" s="37">
        <v>34266</v>
      </c>
      <c r="V1256" s="10">
        <v>6</v>
      </c>
      <c r="W1256" s="10">
        <v>12</v>
      </c>
      <c r="X1256" s="10">
        <v>15</v>
      </c>
      <c r="Y1256" s="11">
        <v>0.18181818181818182</v>
      </c>
      <c r="Z1256" s="11">
        <v>0.36363636363636365</v>
      </c>
      <c r="AA1256" s="11">
        <v>0.45454545454545453</v>
      </c>
    </row>
    <row r="1257" spans="21:27" x14ac:dyDescent="0.25">
      <c r="U1257" s="37">
        <v>34273</v>
      </c>
      <c r="V1257" s="10">
        <v>1</v>
      </c>
      <c r="W1257" s="10">
        <v>1</v>
      </c>
      <c r="X1257" s="10">
        <v>10</v>
      </c>
      <c r="Y1257" s="11">
        <v>8.3333333333333329E-2</v>
      </c>
      <c r="Z1257" s="11">
        <v>8.3333333333333329E-2</v>
      </c>
      <c r="AA1257" s="11">
        <v>0.83333333333333337</v>
      </c>
    </row>
    <row r="1258" spans="21:27" x14ac:dyDescent="0.25">
      <c r="U1258" s="37">
        <v>34274</v>
      </c>
      <c r="V1258" s="10">
        <v>7</v>
      </c>
      <c r="W1258" s="10">
        <v>2</v>
      </c>
      <c r="X1258" s="10">
        <v>15</v>
      </c>
      <c r="Y1258" s="11">
        <v>0.29166666666666669</v>
      </c>
      <c r="Z1258" s="11">
        <v>8.3333333333333329E-2</v>
      </c>
      <c r="AA1258" s="11">
        <v>0.625</v>
      </c>
    </row>
    <row r="1259" spans="21:27" x14ac:dyDescent="0.25">
      <c r="U1259" s="37">
        <v>34280</v>
      </c>
      <c r="V1259" s="10">
        <v>6</v>
      </c>
      <c r="W1259" s="10">
        <v>7</v>
      </c>
      <c r="X1259" s="10">
        <v>8</v>
      </c>
      <c r="Y1259" s="11">
        <v>0.2857142857142857</v>
      </c>
      <c r="Z1259" s="11">
        <v>0.33333333333333331</v>
      </c>
      <c r="AA1259" s="11">
        <v>0.38095238095238093</v>
      </c>
    </row>
    <row r="1260" spans="21:27" x14ac:dyDescent="0.25">
      <c r="U1260" s="37">
        <v>34287</v>
      </c>
      <c r="V1260" s="10">
        <v>9</v>
      </c>
      <c r="W1260" s="10">
        <v>3</v>
      </c>
      <c r="X1260" s="10">
        <v>13</v>
      </c>
      <c r="Y1260" s="11">
        <v>0.36</v>
      </c>
      <c r="Z1260" s="11">
        <v>0.12</v>
      </c>
      <c r="AA1260" s="11">
        <v>0.52</v>
      </c>
    </row>
    <row r="1261" spans="21:27" x14ac:dyDescent="0.25">
      <c r="U1261" s="37">
        <v>34294</v>
      </c>
      <c r="V1261" s="10">
        <v>4</v>
      </c>
      <c r="W1261" s="10">
        <v>1</v>
      </c>
      <c r="X1261" s="10">
        <v>3</v>
      </c>
      <c r="Y1261" s="11">
        <v>0.5</v>
      </c>
      <c r="Z1261" s="11">
        <v>0.125</v>
      </c>
      <c r="AA1261" s="11">
        <v>0.375</v>
      </c>
    </row>
    <row r="1262" spans="21:27" x14ac:dyDescent="0.25">
      <c r="U1262" s="37">
        <v>34301</v>
      </c>
      <c r="V1262" s="10">
        <v>2</v>
      </c>
      <c r="W1262" s="10">
        <v>1</v>
      </c>
      <c r="X1262" s="10">
        <v>9</v>
      </c>
      <c r="Y1262" s="11">
        <v>0.16666666666666666</v>
      </c>
      <c r="Z1262" s="11">
        <v>8.3333333333333329E-2</v>
      </c>
      <c r="AA1262" s="11">
        <v>0.75</v>
      </c>
    </row>
    <row r="1263" spans="21:27" x14ac:dyDescent="0.25">
      <c r="U1263" s="37">
        <v>34308</v>
      </c>
      <c r="V1263" s="10">
        <v>2</v>
      </c>
      <c r="W1263" s="10">
        <v>6</v>
      </c>
      <c r="X1263" s="10">
        <v>10</v>
      </c>
      <c r="Y1263" s="11">
        <v>0.1111111111111111</v>
      </c>
      <c r="Z1263" s="11">
        <v>0.33333333333333331</v>
      </c>
      <c r="AA1263" s="11">
        <v>0.55555555555555558</v>
      </c>
    </row>
    <row r="1264" spans="21:27" x14ac:dyDescent="0.25">
      <c r="U1264" s="37">
        <v>34315</v>
      </c>
      <c r="V1264" s="10">
        <v>6</v>
      </c>
      <c r="W1264" s="10">
        <v>5</v>
      </c>
      <c r="X1264" s="10">
        <v>3</v>
      </c>
      <c r="Y1264" s="11">
        <v>0.42857142857142855</v>
      </c>
      <c r="Z1264" s="11">
        <v>0.35714285714285715</v>
      </c>
      <c r="AA1264" s="11">
        <v>0.21428571428571427</v>
      </c>
    </row>
    <row r="1265" spans="21:27" x14ac:dyDescent="0.25">
      <c r="U1265" s="37">
        <v>34322</v>
      </c>
      <c r="V1265" s="10">
        <v>8</v>
      </c>
      <c r="W1265" s="10">
        <v>6</v>
      </c>
      <c r="X1265" s="10">
        <v>18</v>
      </c>
      <c r="Y1265" s="11">
        <v>0.25</v>
      </c>
      <c r="Z1265" s="11">
        <v>0.1875</v>
      </c>
      <c r="AA1265" s="11">
        <v>0.5625</v>
      </c>
    </row>
    <row r="1266" spans="21:27" x14ac:dyDescent="0.25">
      <c r="U1266" s="37">
        <v>34327</v>
      </c>
      <c r="V1266" s="10">
        <v>7</v>
      </c>
      <c r="W1266" s="10">
        <v>3</v>
      </c>
      <c r="X1266" s="10">
        <v>6</v>
      </c>
      <c r="Y1266" s="11">
        <v>0.4375</v>
      </c>
      <c r="Z1266" s="11">
        <v>0.1875</v>
      </c>
      <c r="AA1266" s="11">
        <v>0.375</v>
      </c>
    </row>
    <row r="1267" spans="21:27" x14ac:dyDescent="0.25">
      <c r="U1267" s="37">
        <v>34328</v>
      </c>
      <c r="V1267" s="10">
        <v>10</v>
      </c>
      <c r="W1267" s="10">
        <v>0</v>
      </c>
      <c r="X1267" s="10">
        <v>7</v>
      </c>
      <c r="Y1267" s="11">
        <v>0.58823529411764708</v>
      </c>
      <c r="Z1267" s="11">
        <v>0</v>
      </c>
      <c r="AA1267" s="11">
        <v>0.41176470588235292</v>
      </c>
    </row>
    <row r="1268" spans="21:27" x14ac:dyDescent="0.25">
      <c r="U1268" s="37">
        <v>34329</v>
      </c>
      <c r="V1268" s="10">
        <v>16</v>
      </c>
      <c r="W1268" s="10">
        <v>0</v>
      </c>
      <c r="X1268" s="10">
        <v>7</v>
      </c>
      <c r="Y1268" s="11">
        <v>0.69565217391304346</v>
      </c>
      <c r="Z1268" s="11">
        <v>0</v>
      </c>
      <c r="AA1268" s="11">
        <v>0.30434782608695654</v>
      </c>
    </row>
    <row r="1269" spans="21:27" x14ac:dyDescent="0.25">
      <c r="U1269" s="37">
        <v>34336</v>
      </c>
      <c r="V1269" s="10">
        <v>14</v>
      </c>
      <c r="W1269" s="10">
        <v>3</v>
      </c>
      <c r="X1269" s="10">
        <v>12</v>
      </c>
      <c r="Y1269" s="11">
        <v>0.48275862068965519</v>
      </c>
      <c r="Z1269" s="11">
        <v>0.10344827586206896</v>
      </c>
      <c r="AA1269" s="11">
        <v>0.41379310344827586</v>
      </c>
    </row>
    <row r="1270" spans="21:27" x14ac:dyDescent="0.25">
      <c r="U1270" s="37">
        <v>34343</v>
      </c>
      <c r="V1270" s="10">
        <v>10</v>
      </c>
      <c r="W1270" s="10">
        <v>3</v>
      </c>
      <c r="X1270" s="10">
        <v>4</v>
      </c>
      <c r="Y1270" s="11">
        <v>0.58823529411764708</v>
      </c>
      <c r="Z1270" s="11">
        <v>0.17647058823529413</v>
      </c>
      <c r="AA1270" s="11">
        <v>0.23529411764705882</v>
      </c>
    </row>
    <row r="1271" spans="21:27" x14ac:dyDescent="0.25">
      <c r="U1271" s="37">
        <v>34350</v>
      </c>
      <c r="V1271" s="10">
        <v>9</v>
      </c>
      <c r="W1271" s="10">
        <v>5</v>
      </c>
      <c r="X1271" s="10">
        <v>5</v>
      </c>
      <c r="Y1271" s="11">
        <v>0.47368421052631576</v>
      </c>
      <c r="Z1271" s="11">
        <v>0.26315789473684209</v>
      </c>
      <c r="AA1271" s="11">
        <v>0.26315789473684209</v>
      </c>
    </row>
    <row r="1272" spans="21:27" x14ac:dyDescent="0.25">
      <c r="U1272" s="37">
        <v>34357</v>
      </c>
      <c r="V1272" s="10">
        <v>3</v>
      </c>
      <c r="W1272" s="10">
        <v>1</v>
      </c>
      <c r="X1272" s="10">
        <v>4</v>
      </c>
      <c r="Y1272" s="11">
        <v>0.375</v>
      </c>
      <c r="Z1272" s="11">
        <v>0.125</v>
      </c>
      <c r="AA1272" s="11">
        <v>0.5</v>
      </c>
    </row>
    <row r="1273" spans="21:27" x14ac:dyDescent="0.25">
      <c r="U1273" s="37">
        <v>34364</v>
      </c>
      <c r="V1273" s="10">
        <v>11</v>
      </c>
      <c r="W1273" s="10">
        <v>2</v>
      </c>
      <c r="X1273" s="10">
        <v>15</v>
      </c>
      <c r="Y1273" s="11">
        <v>0.39285714285714285</v>
      </c>
      <c r="Z1273" s="11">
        <v>7.1428571428571425E-2</v>
      </c>
      <c r="AA1273" s="11">
        <v>0.5357142857142857</v>
      </c>
    </row>
    <row r="1274" spans="21:27" x14ac:dyDescent="0.25">
      <c r="U1274" s="37">
        <v>34371</v>
      </c>
      <c r="V1274" s="10">
        <v>7</v>
      </c>
      <c r="W1274" s="10">
        <v>6</v>
      </c>
      <c r="X1274" s="10">
        <v>6</v>
      </c>
      <c r="Y1274" s="11">
        <v>0.36842105263157893</v>
      </c>
      <c r="Z1274" s="11">
        <v>0.31578947368421051</v>
      </c>
      <c r="AA1274" s="11">
        <v>0.31578947368421051</v>
      </c>
    </row>
    <row r="1275" spans="21:27" x14ac:dyDescent="0.25">
      <c r="U1275" s="37">
        <v>34378</v>
      </c>
      <c r="V1275" s="10">
        <v>11</v>
      </c>
      <c r="W1275" s="10">
        <v>5</v>
      </c>
      <c r="X1275" s="10">
        <v>5</v>
      </c>
      <c r="Y1275" s="11">
        <v>0.52380952380952384</v>
      </c>
      <c r="Z1275" s="11">
        <v>0.23809523809523808</v>
      </c>
      <c r="AA1275" s="11">
        <v>0.23809523809523808</v>
      </c>
    </row>
    <row r="1276" spans="21:27" x14ac:dyDescent="0.25">
      <c r="U1276" s="37">
        <v>34385</v>
      </c>
      <c r="V1276" s="10">
        <v>7</v>
      </c>
      <c r="W1276" s="10">
        <v>0</v>
      </c>
      <c r="X1276" s="10">
        <v>3</v>
      </c>
      <c r="Y1276" s="11">
        <v>0.7</v>
      </c>
      <c r="Z1276" s="11">
        <v>0</v>
      </c>
      <c r="AA1276" s="11">
        <v>0.3</v>
      </c>
    </row>
    <row r="1277" spans="21:27" x14ac:dyDescent="0.25">
      <c r="U1277" s="37">
        <v>34392</v>
      </c>
      <c r="V1277" s="10">
        <v>4</v>
      </c>
      <c r="W1277" s="10">
        <v>11</v>
      </c>
      <c r="X1277" s="10">
        <v>16</v>
      </c>
      <c r="Y1277" s="11">
        <v>0.12903225806451613</v>
      </c>
      <c r="Z1277" s="11">
        <v>0.35483870967741937</v>
      </c>
      <c r="AA1277" s="11">
        <v>0.5161290322580645</v>
      </c>
    </row>
    <row r="1278" spans="21:27" x14ac:dyDescent="0.25">
      <c r="U1278" s="37">
        <v>34399</v>
      </c>
      <c r="V1278" s="10">
        <v>10</v>
      </c>
      <c r="W1278" s="10">
        <v>3</v>
      </c>
      <c r="X1278" s="10">
        <v>6</v>
      </c>
      <c r="Y1278" s="11">
        <v>0.52631578947368418</v>
      </c>
      <c r="Z1278" s="11">
        <v>0.15789473684210525</v>
      </c>
      <c r="AA1278" s="11">
        <v>0.31578947368421051</v>
      </c>
    </row>
    <row r="1279" spans="21:27" x14ac:dyDescent="0.25">
      <c r="U1279" s="37">
        <v>34406</v>
      </c>
      <c r="V1279" s="10">
        <v>10</v>
      </c>
      <c r="W1279" s="10">
        <v>6</v>
      </c>
      <c r="X1279" s="10">
        <v>22</v>
      </c>
      <c r="Y1279" s="11">
        <v>0.26315789473684209</v>
      </c>
      <c r="Z1279" s="11">
        <v>0.15789473684210525</v>
      </c>
      <c r="AA1279" s="11">
        <v>0.57894736842105265</v>
      </c>
    </row>
    <row r="1280" spans="21:27" x14ac:dyDescent="0.25">
      <c r="U1280" s="37">
        <v>34413</v>
      </c>
      <c r="V1280" s="10">
        <v>2</v>
      </c>
      <c r="W1280" s="10">
        <v>5</v>
      </c>
      <c r="X1280" s="10">
        <v>4</v>
      </c>
      <c r="Y1280" s="11">
        <v>0.18181818181818182</v>
      </c>
      <c r="Z1280" s="11">
        <v>0.45454545454545453</v>
      </c>
      <c r="AA1280" s="11">
        <v>0.36363636363636365</v>
      </c>
    </row>
    <row r="1281" spans="21:27" x14ac:dyDescent="0.25">
      <c r="U1281" s="37">
        <v>34420</v>
      </c>
      <c r="V1281" s="10">
        <v>7</v>
      </c>
      <c r="W1281" s="10">
        <v>1</v>
      </c>
      <c r="X1281" s="10">
        <v>5</v>
      </c>
      <c r="Y1281" s="11">
        <v>0.53846153846153844</v>
      </c>
      <c r="Z1281" s="11">
        <v>7.6923076923076927E-2</v>
      </c>
      <c r="AA1281" s="11">
        <v>0.38461538461538464</v>
      </c>
    </row>
    <row r="1282" spans="21:27" x14ac:dyDescent="0.25">
      <c r="U1282" s="37">
        <v>34427</v>
      </c>
      <c r="V1282" s="10">
        <v>6</v>
      </c>
      <c r="W1282" s="10">
        <v>3</v>
      </c>
      <c r="X1282" s="10">
        <v>0</v>
      </c>
      <c r="Y1282" s="11">
        <v>0.66666666666666663</v>
      </c>
      <c r="Z1282" s="11">
        <v>0.33333333333333331</v>
      </c>
      <c r="AA1282" s="11">
        <v>0</v>
      </c>
    </row>
    <row r="1283" spans="21:27" x14ac:dyDescent="0.25">
      <c r="U1283" s="37">
        <v>34434</v>
      </c>
      <c r="V1283" s="10">
        <v>7</v>
      </c>
      <c r="W1283" s="10">
        <v>1</v>
      </c>
      <c r="X1283" s="10">
        <v>5</v>
      </c>
      <c r="Y1283" s="11">
        <v>0.53846153846153844</v>
      </c>
      <c r="Z1283" s="11">
        <v>7.6923076923076927E-2</v>
      </c>
      <c r="AA1283" s="11">
        <v>0.38461538461538464</v>
      </c>
    </row>
    <row r="1284" spans="21:27" x14ac:dyDescent="0.25">
      <c r="U1284" s="37">
        <v>34441</v>
      </c>
      <c r="V1284" s="10">
        <v>10</v>
      </c>
      <c r="W1284" s="10">
        <v>8</v>
      </c>
      <c r="X1284" s="10">
        <v>16</v>
      </c>
      <c r="Y1284" s="11">
        <v>0.29411764705882354</v>
      </c>
      <c r="Z1284" s="11">
        <v>0.23529411764705882</v>
      </c>
      <c r="AA1284" s="11">
        <v>0.47058823529411764</v>
      </c>
    </row>
    <row r="1285" spans="21:27" x14ac:dyDescent="0.25">
      <c r="U1285" s="37">
        <v>34448</v>
      </c>
      <c r="V1285" s="10">
        <v>6</v>
      </c>
      <c r="W1285" s="10">
        <v>10</v>
      </c>
      <c r="X1285" s="10">
        <v>13</v>
      </c>
      <c r="Y1285" s="11">
        <v>0.20689655172413793</v>
      </c>
      <c r="Z1285" s="11">
        <v>0.34482758620689657</v>
      </c>
      <c r="AA1285" s="11">
        <v>0.44827586206896552</v>
      </c>
    </row>
    <row r="1286" spans="21:27" x14ac:dyDescent="0.25">
      <c r="U1286" s="37">
        <v>34455</v>
      </c>
      <c r="V1286" s="10">
        <v>11</v>
      </c>
      <c r="W1286" s="10">
        <v>8</v>
      </c>
      <c r="X1286" s="10">
        <v>12</v>
      </c>
      <c r="Y1286" s="11">
        <v>0.35483870967741937</v>
      </c>
      <c r="Z1286" s="11">
        <v>0.25806451612903225</v>
      </c>
      <c r="AA1286" s="11">
        <v>0.38709677419354838</v>
      </c>
    </row>
    <row r="1287" spans="21:27" x14ac:dyDescent="0.25">
      <c r="U1287" s="37">
        <v>34462</v>
      </c>
      <c r="V1287" s="10">
        <v>8</v>
      </c>
      <c r="W1287" s="10">
        <v>1</v>
      </c>
      <c r="X1287" s="10">
        <v>4</v>
      </c>
      <c r="Y1287" s="11">
        <v>0.61538461538461542</v>
      </c>
      <c r="Z1287" s="11">
        <v>7.6923076923076927E-2</v>
      </c>
      <c r="AA1287" s="11">
        <v>0.30769230769230771</v>
      </c>
    </row>
    <row r="1288" spans="21:27" x14ac:dyDescent="0.25">
      <c r="U1288" s="37">
        <v>34466</v>
      </c>
      <c r="V1288" s="10">
        <v>3</v>
      </c>
      <c r="W1288" s="10">
        <v>2</v>
      </c>
      <c r="X1288" s="10">
        <v>2</v>
      </c>
      <c r="Y1288" s="11">
        <v>0.42857142857142855</v>
      </c>
      <c r="Z1288" s="11">
        <v>0.2857142857142857</v>
      </c>
      <c r="AA1288" s="11">
        <v>0.2857142857142857</v>
      </c>
    </row>
    <row r="1289" spans="21:27" x14ac:dyDescent="0.25">
      <c r="U1289" s="37">
        <v>34469</v>
      </c>
      <c r="V1289" s="10">
        <v>11</v>
      </c>
      <c r="W1289" s="10">
        <v>9</v>
      </c>
      <c r="X1289" s="10">
        <v>11</v>
      </c>
      <c r="Y1289" s="11">
        <v>0.35483870967741937</v>
      </c>
      <c r="Z1289" s="11">
        <v>0.29032258064516131</v>
      </c>
      <c r="AA1289" s="11">
        <v>0.35483870967741937</v>
      </c>
    </row>
    <row r="1290" spans="21:27" x14ac:dyDescent="0.25">
      <c r="U1290" s="37">
        <v>34476</v>
      </c>
      <c r="V1290" s="10">
        <v>11</v>
      </c>
      <c r="W1290" s="10">
        <v>3</v>
      </c>
      <c r="X1290" s="10">
        <v>11</v>
      </c>
      <c r="Y1290" s="11">
        <v>0.44</v>
      </c>
      <c r="Z1290" s="11">
        <v>0.12</v>
      </c>
      <c r="AA1290" s="11">
        <v>0.44</v>
      </c>
    </row>
    <row r="1291" spans="21:27" x14ac:dyDescent="0.25">
      <c r="U1291" s="37">
        <v>34483</v>
      </c>
      <c r="V1291" s="10">
        <v>13</v>
      </c>
      <c r="W1291" s="10">
        <v>13</v>
      </c>
      <c r="X1291" s="10">
        <v>20</v>
      </c>
      <c r="Y1291" s="11">
        <v>0.28260869565217389</v>
      </c>
      <c r="Z1291" s="11">
        <v>0.28260869565217389</v>
      </c>
      <c r="AA1291" s="11">
        <v>0.43478260869565216</v>
      </c>
    </row>
    <row r="1292" spans="21:27" x14ac:dyDescent="0.25">
      <c r="U1292" s="37">
        <v>34490</v>
      </c>
      <c r="V1292" s="10">
        <v>1</v>
      </c>
      <c r="W1292" s="10">
        <v>0</v>
      </c>
      <c r="X1292" s="10">
        <v>6</v>
      </c>
      <c r="Y1292" s="11">
        <v>0.14285714285714285</v>
      </c>
      <c r="Z1292" s="11">
        <v>0</v>
      </c>
      <c r="AA1292" s="11">
        <v>0.8571428571428571</v>
      </c>
    </row>
    <row r="1293" spans="21:27" x14ac:dyDescent="0.25">
      <c r="U1293" s="37">
        <v>34497</v>
      </c>
      <c r="V1293" s="10">
        <v>8</v>
      </c>
      <c r="W1293" s="10">
        <v>4</v>
      </c>
      <c r="X1293" s="10">
        <v>15</v>
      </c>
      <c r="Y1293" s="11">
        <v>0.29629629629629628</v>
      </c>
      <c r="Z1293" s="11">
        <v>0.14814814814814814</v>
      </c>
      <c r="AA1293" s="11">
        <v>0.55555555555555558</v>
      </c>
    </row>
    <row r="1294" spans="21:27" x14ac:dyDescent="0.25">
      <c r="U1294" s="37">
        <v>34504</v>
      </c>
      <c r="V1294" s="10">
        <v>11</v>
      </c>
      <c r="W1294" s="10">
        <v>9</v>
      </c>
      <c r="X1294" s="10">
        <v>13</v>
      </c>
      <c r="Y1294" s="11">
        <v>0.33333333333333331</v>
      </c>
      <c r="Z1294" s="11">
        <v>0.27272727272727271</v>
      </c>
      <c r="AA1294" s="11">
        <v>0.39393939393939392</v>
      </c>
    </row>
    <row r="1295" spans="21:27" x14ac:dyDescent="0.25">
      <c r="U1295" s="37">
        <v>34511</v>
      </c>
      <c r="V1295" s="10">
        <v>14</v>
      </c>
      <c r="W1295" s="10">
        <v>14</v>
      </c>
      <c r="X1295" s="10">
        <v>8</v>
      </c>
      <c r="Y1295" s="11">
        <v>0.3888888888888889</v>
      </c>
      <c r="Z1295" s="11">
        <v>0.3888888888888889</v>
      </c>
      <c r="AA1295" s="11">
        <v>0.22222222222222221</v>
      </c>
    </row>
    <row r="1296" spans="21:27" x14ac:dyDescent="0.25">
      <c r="U1296" s="37">
        <v>34518</v>
      </c>
      <c r="V1296" s="10">
        <v>20</v>
      </c>
      <c r="W1296" s="10">
        <v>6</v>
      </c>
      <c r="X1296" s="10">
        <v>13</v>
      </c>
      <c r="Y1296" s="11">
        <v>0.51282051282051277</v>
      </c>
      <c r="Z1296" s="11">
        <v>0.15384615384615385</v>
      </c>
      <c r="AA1296" s="11">
        <v>0.33333333333333331</v>
      </c>
    </row>
    <row r="1297" spans="21:27" x14ac:dyDescent="0.25">
      <c r="U1297" s="37">
        <v>34525</v>
      </c>
      <c r="V1297" s="10">
        <v>7</v>
      </c>
      <c r="W1297" s="10">
        <v>4</v>
      </c>
      <c r="X1297" s="10">
        <v>9</v>
      </c>
      <c r="Y1297" s="11">
        <v>0.35</v>
      </c>
      <c r="Z1297" s="11">
        <v>0.2</v>
      </c>
      <c r="AA1297" s="11">
        <v>0.45</v>
      </c>
    </row>
    <row r="1298" spans="21:27" x14ac:dyDescent="0.25">
      <c r="U1298" s="37">
        <v>34532</v>
      </c>
      <c r="V1298" s="10">
        <v>6</v>
      </c>
      <c r="W1298" s="10">
        <v>7</v>
      </c>
      <c r="X1298" s="10">
        <v>5</v>
      </c>
      <c r="Y1298" s="11">
        <v>0.33333333333333331</v>
      </c>
      <c r="Z1298" s="11">
        <v>0.3888888888888889</v>
      </c>
      <c r="AA1298" s="11">
        <v>0.27777777777777779</v>
      </c>
    </row>
    <row r="1299" spans="21:27" x14ac:dyDescent="0.25">
      <c r="U1299" s="37">
        <v>34539</v>
      </c>
      <c r="V1299" s="10">
        <v>8</v>
      </c>
      <c r="W1299" s="10">
        <v>1</v>
      </c>
      <c r="X1299" s="10">
        <v>9</v>
      </c>
      <c r="Y1299" s="11">
        <v>0.44444444444444442</v>
      </c>
      <c r="Z1299" s="11">
        <v>5.5555555555555552E-2</v>
      </c>
      <c r="AA1299" s="11">
        <v>0.5</v>
      </c>
    </row>
    <row r="1300" spans="21:27" x14ac:dyDescent="0.25">
      <c r="U1300" s="37">
        <v>34546</v>
      </c>
      <c r="V1300" s="10">
        <v>3</v>
      </c>
      <c r="W1300" s="10">
        <v>2</v>
      </c>
      <c r="X1300" s="10">
        <v>7</v>
      </c>
      <c r="Y1300" s="11">
        <v>0.25</v>
      </c>
      <c r="Z1300" s="11">
        <v>0.16666666666666666</v>
      </c>
      <c r="AA1300" s="11">
        <v>0.58333333333333337</v>
      </c>
    </row>
    <row r="1301" spans="21:27" x14ac:dyDescent="0.25">
      <c r="U1301" s="37">
        <v>34553</v>
      </c>
      <c r="V1301" s="10">
        <v>2</v>
      </c>
      <c r="W1301" s="10">
        <v>2</v>
      </c>
      <c r="X1301" s="10">
        <v>5</v>
      </c>
      <c r="Y1301" s="11">
        <v>0.22222222222222221</v>
      </c>
      <c r="Z1301" s="11">
        <v>0.22222222222222221</v>
      </c>
      <c r="AA1301" s="11">
        <v>0.55555555555555558</v>
      </c>
    </row>
    <row r="1302" spans="21:27" x14ac:dyDescent="0.25">
      <c r="U1302" s="37">
        <v>34560</v>
      </c>
      <c r="V1302" s="10">
        <v>7</v>
      </c>
      <c r="W1302" s="10">
        <v>6</v>
      </c>
      <c r="X1302" s="10">
        <v>8</v>
      </c>
      <c r="Y1302" s="11">
        <v>0.33333333333333331</v>
      </c>
      <c r="Z1302" s="11">
        <v>0.2857142857142857</v>
      </c>
      <c r="AA1302" s="11">
        <v>0.38095238095238093</v>
      </c>
    </row>
    <row r="1303" spans="21:27" x14ac:dyDescent="0.25">
      <c r="U1303" s="37">
        <v>34561</v>
      </c>
      <c r="V1303" s="10">
        <v>5</v>
      </c>
      <c r="W1303" s="10">
        <v>6</v>
      </c>
      <c r="X1303" s="10">
        <v>12</v>
      </c>
      <c r="Y1303" s="11">
        <v>0.21739130434782608</v>
      </c>
      <c r="Z1303" s="11">
        <v>0.2608695652173913</v>
      </c>
      <c r="AA1303" s="11">
        <v>0.52173913043478259</v>
      </c>
    </row>
    <row r="1304" spans="21:27" x14ac:dyDescent="0.25">
      <c r="U1304" s="37">
        <v>34567</v>
      </c>
      <c r="V1304" s="10">
        <v>5</v>
      </c>
      <c r="W1304" s="10">
        <v>4</v>
      </c>
      <c r="X1304" s="10">
        <v>17</v>
      </c>
      <c r="Y1304" s="11">
        <v>0.19230769230769232</v>
      </c>
      <c r="Z1304" s="11">
        <v>0.15384615384615385</v>
      </c>
      <c r="AA1304" s="11">
        <v>0.65384615384615385</v>
      </c>
    </row>
    <row r="1305" spans="21:27" x14ac:dyDescent="0.25">
      <c r="U1305" s="37">
        <v>34574</v>
      </c>
      <c r="V1305" s="10">
        <v>9</v>
      </c>
      <c r="W1305" s="10">
        <v>6</v>
      </c>
      <c r="X1305" s="10">
        <v>10</v>
      </c>
      <c r="Y1305" s="11">
        <v>0.36</v>
      </c>
      <c r="Z1305" s="11">
        <v>0.24</v>
      </c>
      <c r="AA1305" s="11">
        <v>0.4</v>
      </c>
    </row>
    <row r="1306" spans="21:27" x14ac:dyDescent="0.25">
      <c r="U1306" s="37">
        <v>34581</v>
      </c>
      <c r="V1306" s="10">
        <v>10</v>
      </c>
      <c r="W1306" s="10">
        <v>4</v>
      </c>
      <c r="X1306" s="10">
        <v>12</v>
      </c>
      <c r="Y1306" s="11">
        <v>0.38461538461538464</v>
      </c>
      <c r="Z1306" s="11">
        <v>0.15384615384615385</v>
      </c>
      <c r="AA1306" s="11">
        <v>0.46153846153846156</v>
      </c>
    </row>
    <row r="1307" spans="21:27" x14ac:dyDescent="0.25">
      <c r="U1307" s="37">
        <v>34588</v>
      </c>
      <c r="V1307" s="10">
        <v>11</v>
      </c>
      <c r="W1307" s="10">
        <v>6</v>
      </c>
      <c r="X1307" s="10">
        <v>25</v>
      </c>
      <c r="Y1307" s="11">
        <v>0.26190476190476192</v>
      </c>
      <c r="Z1307" s="11">
        <v>0.14285714285714285</v>
      </c>
      <c r="AA1307" s="11">
        <v>0.59523809523809523</v>
      </c>
    </row>
    <row r="1308" spans="21:27" x14ac:dyDescent="0.25">
      <c r="U1308" s="37">
        <v>34595</v>
      </c>
      <c r="V1308" s="10">
        <v>11</v>
      </c>
      <c r="W1308" s="10">
        <v>8</v>
      </c>
      <c r="X1308" s="10">
        <v>8</v>
      </c>
      <c r="Y1308" s="11">
        <v>0.40740740740740738</v>
      </c>
      <c r="Z1308" s="11">
        <v>0.29629629629629628</v>
      </c>
      <c r="AA1308" s="11">
        <v>0.29629629629629628</v>
      </c>
    </row>
    <row r="1309" spans="21:27" x14ac:dyDescent="0.25">
      <c r="U1309" s="37">
        <v>34602</v>
      </c>
      <c r="V1309" s="10">
        <v>10</v>
      </c>
      <c r="W1309" s="10">
        <v>8</v>
      </c>
      <c r="X1309" s="10">
        <v>10</v>
      </c>
      <c r="Y1309" s="11">
        <v>0.35714285714285715</v>
      </c>
      <c r="Z1309" s="11">
        <v>0.2857142857142857</v>
      </c>
      <c r="AA1309" s="11">
        <v>0.35714285714285715</v>
      </c>
    </row>
    <row r="1310" spans="21:27" x14ac:dyDescent="0.25">
      <c r="U1310" s="37">
        <v>34609</v>
      </c>
      <c r="V1310" s="10">
        <v>1</v>
      </c>
      <c r="W1310" s="10">
        <v>2</v>
      </c>
      <c r="X1310" s="10">
        <v>4</v>
      </c>
      <c r="Y1310" s="11">
        <v>0.14285714285714285</v>
      </c>
      <c r="Z1310" s="11">
        <v>0.2857142857142857</v>
      </c>
      <c r="AA1310" s="11">
        <v>0.5714285714285714</v>
      </c>
    </row>
    <row r="1311" spans="21:27" x14ac:dyDescent="0.25">
      <c r="U1311" s="37">
        <v>34616</v>
      </c>
      <c r="V1311" s="10">
        <v>8</v>
      </c>
      <c r="W1311" s="10">
        <v>6</v>
      </c>
      <c r="X1311" s="10">
        <v>6</v>
      </c>
      <c r="Y1311" s="11">
        <v>0.4</v>
      </c>
      <c r="Z1311" s="11">
        <v>0.3</v>
      </c>
      <c r="AA1311" s="11">
        <v>0.3</v>
      </c>
    </row>
    <row r="1312" spans="21:27" x14ac:dyDescent="0.25">
      <c r="U1312" s="37">
        <v>34623</v>
      </c>
      <c r="V1312" s="10">
        <v>4</v>
      </c>
      <c r="W1312" s="10">
        <v>1</v>
      </c>
      <c r="X1312" s="10">
        <v>3</v>
      </c>
      <c r="Y1312" s="11">
        <v>0.5</v>
      </c>
      <c r="Z1312" s="11">
        <v>0.125</v>
      </c>
      <c r="AA1312" s="11">
        <v>0.375</v>
      </c>
    </row>
    <row r="1313" spans="21:27" x14ac:dyDescent="0.25">
      <c r="U1313" s="37">
        <v>34630</v>
      </c>
      <c r="V1313" s="10">
        <v>5</v>
      </c>
      <c r="W1313" s="10">
        <v>6</v>
      </c>
      <c r="X1313" s="10">
        <v>3</v>
      </c>
      <c r="Y1313" s="11">
        <v>0.35714285714285715</v>
      </c>
      <c r="Z1313" s="11">
        <v>0.42857142857142855</v>
      </c>
      <c r="AA1313" s="11">
        <v>0.21428571428571427</v>
      </c>
    </row>
    <row r="1314" spans="21:27" x14ac:dyDescent="0.25">
      <c r="U1314" s="37">
        <v>34637</v>
      </c>
      <c r="V1314" s="10">
        <v>6</v>
      </c>
      <c r="W1314" s="10">
        <v>6</v>
      </c>
      <c r="X1314" s="10">
        <v>2</v>
      </c>
      <c r="Y1314" s="11">
        <v>0.42857142857142855</v>
      </c>
      <c r="Z1314" s="11">
        <v>0.42857142857142855</v>
      </c>
      <c r="AA1314" s="11">
        <v>0.14285714285714285</v>
      </c>
    </row>
    <row r="1315" spans="21:27" x14ac:dyDescent="0.25">
      <c r="U1315" s="37">
        <v>34639</v>
      </c>
      <c r="V1315" s="10">
        <v>6</v>
      </c>
      <c r="W1315" s="10">
        <v>0</v>
      </c>
      <c r="X1315" s="10">
        <v>4</v>
      </c>
      <c r="Y1315" s="11">
        <v>0.6</v>
      </c>
      <c r="Z1315" s="11">
        <v>0</v>
      </c>
      <c r="AA1315" s="11">
        <v>0.4</v>
      </c>
    </row>
    <row r="1316" spans="21:27" x14ac:dyDescent="0.25">
      <c r="U1316" s="37">
        <v>34644</v>
      </c>
      <c r="V1316" s="10">
        <v>3</v>
      </c>
      <c r="W1316" s="10">
        <v>1</v>
      </c>
      <c r="X1316" s="10">
        <v>7</v>
      </c>
      <c r="Y1316" s="11">
        <v>0.27272727272727271</v>
      </c>
      <c r="Z1316" s="11">
        <v>9.0909090909090912E-2</v>
      </c>
      <c r="AA1316" s="11">
        <v>0.63636363636363635</v>
      </c>
    </row>
    <row r="1317" spans="21:27" x14ac:dyDescent="0.25">
      <c r="U1317" s="37">
        <v>34651</v>
      </c>
      <c r="V1317" s="10">
        <v>7</v>
      </c>
      <c r="W1317" s="10">
        <v>8</v>
      </c>
      <c r="X1317" s="10">
        <v>18</v>
      </c>
      <c r="Y1317" s="11">
        <v>0.21212121212121213</v>
      </c>
      <c r="Z1317" s="11">
        <v>0.24242424242424243</v>
      </c>
      <c r="AA1317" s="11">
        <v>0.54545454545454541</v>
      </c>
    </row>
    <row r="1318" spans="21:27" x14ac:dyDescent="0.25">
      <c r="U1318" s="37">
        <v>34658</v>
      </c>
      <c r="V1318" s="10">
        <v>2</v>
      </c>
      <c r="W1318" s="10">
        <v>1</v>
      </c>
      <c r="X1318" s="10">
        <v>5</v>
      </c>
      <c r="Y1318" s="11">
        <v>0.25</v>
      </c>
      <c r="Z1318" s="11">
        <v>0.125</v>
      </c>
      <c r="AA1318" s="11">
        <v>0.625</v>
      </c>
    </row>
    <row r="1319" spans="21:27" x14ac:dyDescent="0.25">
      <c r="U1319" s="37">
        <v>34665</v>
      </c>
      <c r="V1319" s="10">
        <v>7</v>
      </c>
      <c r="W1319" s="10">
        <v>1</v>
      </c>
      <c r="X1319" s="10">
        <v>5</v>
      </c>
      <c r="Y1319" s="11">
        <v>0.53846153846153844</v>
      </c>
      <c r="Z1319" s="11">
        <v>7.6923076923076927E-2</v>
      </c>
      <c r="AA1319" s="11">
        <v>0.38461538461538464</v>
      </c>
    </row>
    <row r="1320" spans="21:27" x14ac:dyDescent="0.25">
      <c r="U1320" s="37">
        <v>34672</v>
      </c>
      <c r="V1320" s="10">
        <v>1</v>
      </c>
      <c r="W1320" s="10">
        <v>1</v>
      </c>
      <c r="X1320" s="10">
        <v>11</v>
      </c>
      <c r="Y1320" s="11">
        <v>7.6923076923076927E-2</v>
      </c>
      <c r="Z1320" s="11">
        <v>7.6923076923076927E-2</v>
      </c>
      <c r="AA1320" s="11">
        <v>0.84615384615384615</v>
      </c>
    </row>
    <row r="1321" spans="21:27" x14ac:dyDescent="0.25">
      <c r="U1321" s="37">
        <v>34679</v>
      </c>
      <c r="V1321" s="10">
        <v>4</v>
      </c>
      <c r="W1321" s="10">
        <v>5</v>
      </c>
      <c r="X1321" s="10">
        <v>1</v>
      </c>
      <c r="Y1321" s="11">
        <v>0.4</v>
      </c>
      <c r="Z1321" s="11">
        <v>0.5</v>
      </c>
      <c r="AA1321" s="11">
        <v>0.1</v>
      </c>
    </row>
    <row r="1322" spans="21:27" x14ac:dyDescent="0.25">
      <c r="U1322" s="37">
        <v>34686</v>
      </c>
      <c r="V1322" s="10">
        <v>7</v>
      </c>
      <c r="W1322" s="10">
        <v>6</v>
      </c>
      <c r="X1322" s="10">
        <v>12</v>
      </c>
      <c r="Y1322" s="11">
        <v>0.28000000000000003</v>
      </c>
      <c r="Z1322" s="11">
        <v>0.24</v>
      </c>
      <c r="AA1322" s="11">
        <v>0.48</v>
      </c>
    </row>
    <row r="1323" spans="21:27" x14ac:dyDescent="0.25">
      <c r="U1323" s="37">
        <v>34692</v>
      </c>
      <c r="V1323" s="10">
        <v>7</v>
      </c>
      <c r="W1323" s="10">
        <v>4</v>
      </c>
      <c r="X1323" s="10">
        <v>7</v>
      </c>
      <c r="Y1323" s="11">
        <v>0.3888888888888889</v>
      </c>
      <c r="Z1323" s="11">
        <v>0.22222222222222221</v>
      </c>
      <c r="AA1323" s="11">
        <v>0.3888888888888889</v>
      </c>
    </row>
    <row r="1324" spans="21:27" x14ac:dyDescent="0.25">
      <c r="U1324" s="37">
        <v>34693</v>
      </c>
      <c r="V1324" s="10">
        <v>15</v>
      </c>
      <c r="W1324" s="10">
        <v>2</v>
      </c>
      <c r="X1324" s="10">
        <v>7</v>
      </c>
      <c r="Y1324" s="11">
        <v>0.625</v>
      </c>
      <c r="Z1324" s="11">
        <v>8.3333333333333329E-2</v>
      </c>
      <c r="AA1324" s="11">
        <v>0.29166666666666669</v>
      </c>
    </row>
    <row r="1325" spans="21:27" x14ac:dyDescent="0.25">
      <c r="U1325" s="37">
        <v>34700</v>
      </c>
      <c r="V1325" s="10">
        <v>3</v>
      </c>
      <c r="W1325" s="10">
        <v>2</v>
      </c>
      <c r="X1325" s="10">
        <v>3</v>
      </c>
      <c r="Y1325" s="11">
        <v>0.375</v>
      </c>
      <c r="Z1325" s="11">
        <v>0.25</v>
      </c>
      <c r="AA1325" s="11">
        <v>0.375</v>
      </c>
    </row>
    <row r="1326" spans="21:27" x14ac:dyDescent="0.25">
      <c r="U1326" s="37">
        <v>34707</v>
      </c>
      <c r="V1326" s="10">
        <v>1</v>
      </c>
      <c r="W1326" s="10">
        <v>3</v>
      </c>
      <c r="X1326" s="10">
        <v>25</v>
      </c>
      <c r="Y1326" s="11">
        <v>3.4482758620689655E-2</v>
      </c>
      <c r="Z1326" s="11">
        <v>0.10344827586206896</v>
      </c>
      <c r="AA1326" s="11">
        <v>0.86206896551724133</v>
      </c>
    </row>
    <row r="1327" spans="21:27" x14ac:dyDescent="0.25">
      <c r="U1327" s="37">
        <v>34714</v>
      </c>
      <c r="V1327" s="10">
        <v>12</v>
      </c>
      <c r="W1327" s="10">
        <v>6</v>
      </c>
      <c r="X1327" s="10">
        <v>6</v>
      </c>
      <c r="Y1327" s="11">
        <v>0.5</v>
      </c>
      <c r="Z1327" s="11">
        <v>0.25</v>
      </c>
      <c r="AA1327" s="11">
        <v>0.25</v>
      </c>
    </row>
    <row r="1328" spans="21:27" x14ac:dyDescent="0.25">
      <c r="U1328" s="37">
        <v>34721</v>
      </c>
      <c r="V1328" s="10">
        <v>7</v>
      </c>
      <c r="W1328" s="10">
        <v>10</v>
      </c>
      <c r="X1328" s="10">
        <v>6</v>
      </c>
      <c r="Y1328" s="11">
        <v>0.30434782608695654</v>
      </c>
      <c r="Z1328" s="11">
        <v>0.43478260869565216</v>
      </c>
      <c r="AA1328" s="11">
        <v>0.2608695652173913</v>
      </c>
    </row>
    <row r="1329" spans="21:27" x14ac:dyDescent="0.25">
      <c r="U1329" s="37">
        <v>34728</v>
      </c>
      <c r="V1329" s="10">
        <v>13</v>
      </c>
      <c r="W1329" s="10">
        <v>7</v>
      </c>
      <c r="X1329" s="10">
        <v>7</v>
      </c>
      <c r="Y1329" s="11">
        <v>0.48148148148148145</v>
      </c>
      <c r="Z1329" s="11">
        <v>0.25925925925925924</v>
      </c>
      <c r="AA1329" s="11">
        <v>0.25925925925925924</v>
      </c>
    </row>
    <row r="1330" spans="21:27" x14ac:dyDescent="0.25">
      <c r="U1330" s="37">
        <v>34735</v>
      </c>
      <c r="V1330" s="10">
        <v>6</v>
      </c>
      <c r="W1330" s="10">
        <v>1</v>
      </c>
      <c r="X1330" s="10">
        <v>8</v>
      </c>
      <c r="Y1330" s="11">
        <v>0.4</v>
      </c>
      <c r="Z1330" s="11">
        <v>6.6666666666666666E-2</v>
      </c>
      <c r="AA1330" s="11">
        <v>0.53333333333333333</v>
      </c>
    </row>
    <row r="1331" spans="21:27" x14ac:dyDescent="0.25">
      <c r="U1331" s="37">
        <v>34742</v>
      </c>
      <c r="V1331" s="10">
        <v>1</v>
      </c>
      <c r="W1331" s="10">
        <v>0</v>
      </c>
      <c r="X1331" s="10">
        <v>1</v>
      </c>
      <c r="Y1331" s="11">
        <v>0.5</v>
      </c>
      <c r="Z1331" s="11">
        <v>0</v>
      </c>
      <c r="AA1331" s="11">
        <v>0.5</v>
      </c>
    </row>
    <row r="1332" spans="21:27" x14ac:dyDescent="0.25">
      <c r="U1332" s="37">
        <v>34749</v>
      </c>
      <c r="V1332" s="10">
        <v>8</v>
      </c>
      <c r="W1332" s="10">
        <v>5</v>
      </c>
      <c r="X1332" s="10">
        <v>10</v>
      </c>
      <c r="Y1332" s="11">
        <v>0.34782608695652173</v>
      </c>
      <c r="Z1332" s="11">
        <v>0.21739130434782608</v>
      </c>
      <c r="AA1332" s="11">
        <v>0.43478260869565216</v>
      </c>
    </row>
    <row r="1333" spans="21:27" x14ac:dyDescent="0.25">
      <c r="U1333" s="37">
        <v>34756</v>
      </c>
      <c r="V1333" s="10">
        <v>3</v>
      </c>
      <c r="W1333" s="10">
        <v>1</v>
      </c>
      <c r="X1333" s="10">
        <v>5</v>
      </c>
      <c r="Y1333" s="11">
        <v>0.33333333333333331</v>
      </c>
      <c r="Z1333" s="11">
        <v>0.1111111111111111</v>
      </c>
      <c r="AA1333" s="11">
        <v>0.55555555555555558</v>
      </c>
    </row>
    <row r="1334" spans="21:27" x14ac:dyDescent="0.25">
      <c r="U1334" s="37">
        <v>34763</v>
      </c>
      <c r="V1334" s="10">
        <v>5</v>
      </c>
      <c r="W1334" s="10">
        <v>3</v>
      </c>
      <c r="X1334" s="10">
        <v>2</v>
      </c>
      <c r="Y1334" s="11">
        <v>0.5</v>
      </c>
      <c r="Z1334" s="11">
        <v>0.3</v>
      </c>
      <c r="AA1334" s="11">
        <v>0.2</v>
      </c>
    </row>
    <row r="1335" spans="21:27" x14ac:dyDescent="0.25">
      <c r="U1335" s="37">
        <v>34770</v>
      </c>
      <c r="V1335" s="10">
        <v>4</v>
      </c>
      <c r="W1335" s="10">
        <v>2</v>
      </c>
      <c r="X1335" s="10">
        <v>2</v>
      </c>
      <c r="Y1335" s="11">
        <v>0.5</v>
      </c>
      <c r="Z1335" s="11">
        <v>0.25</v>
      </c>
      <c r="AA1335" s="11">
        <v>0.25</v>
      </c>
    </row>
    <row r="1336" spans="21:27" x14ac:dyDescent="0.25">
      <c r="U1336" s="37">
        <v>34777</v>
      </c>
      <c r="V1336" s="10">
        <v>3</v>
      </c>
      <c r="W1336" s="10">
        <v>0</v>
      </c>
      <c r="X1336" s="10">
        <v>4</v>
      </c>
      <c r="Y1336" s="11">
        <v>0.42857142857142855</v>
      </c>
      <c r="Z1336" s="11">
        <v>0</v>
      </c>
      <c r="AA1336" s="11">
        <v>0.5714285714285714</v>
      </c>
    </row>
    <row r="1337" spans="21:27" x14ac:dyDescent="0.25">
      <c r="U1337" s="37">
        <v>34784</v>
      </c>
      <c r="V1337" s="10">
        <v>8</v>
      </c>
      <c r="W1337" s="10">
        <v>0</v>
      </c>
      <c r="X1337" s="10">
        <v>2</v>
      </c>
      <c r="Y1337" s="11">
        <v>0.8</v>
      </c>
      <c r="Z1337" s="11">
        <v>0</v>
      </c>
      <c r="AA1337" s="11">
        <v>0.2</v>
      </c>
    </row>
    <row r="1338" spans="21:27" x14ac:dyDescent="0.25">
      <c r="U1338" s="37">
        <v>34791</v>
      </c>
      <c r="V1338" s="10">
        <v>8</v>
      </c>
      <c r="W1338" s="10">
        <v>7</v>
      </c>
      <c r="X1338" s="10">
        <v>11</v>
      </c>
      <c r="Y1338" s="11">
        <v>0.30769230769230771</v>
      </c>
      <c r="Z1338" s="11">
        <v>0.26923076923076922</v>
      </c>
      <c r="AA1338" s="11">
        <v>0.42307692307692307</v>
      </c>
    </row>
    <row r="1339" spans="21:27" x14ac:dyDescent="0.25">
      <c r="U1339" s="37">
        <v>34798</v>
      </c>
      <c r="V1339" s="10">
        <v>2</v>
      </c>
      <c r="W1339" s="10">
        <v>2</v>
      </c>
      <c r="X1339" s="10">
        <v>7</v>
      </c>
      <c r="Y1339" s="11">
        <v>0.18181818181818182</v>
      </c>
      <c r="Z1339" s="11">
        <v>0.18181818181818182</v>
      </c>
      <c r="AA1339" s="11">
        <v>0.63636363636363635</v>
      </c>
    </row>
    <row r="1340" spans="21:27" x14ac:dyDescent="0.25">
      <c r="U1340" s="37">
        <v>34805</v>
      </c>
      <c r="V1340" s="10">
        <v>3</v>
      </c>
      <c r="W1340" s="10">
        <v>1</v>
      </c>
      <c r="X1340" s="10">
        <v>6</v>
      </c>
      <c r="Y1340" s="11">
        <v>0.3</v>
      </c>
      <c r="Z1340" s="11">
        <v>0.1</v>
      </c>
      <c r="AA1340" s="11">
        <v>0.6</v>
      </c>
    </row>
    <row r="1341" spans="21:27" x14ac:dyDescent="0.25">
      <c r="U1341" s="37">
        <v>34812</v>
      </c>
      <c r="V1341" s="10">
        <v>4</v>
      </c>
      <c r="W1341" s="10">
        <v>3</v>
      </c>
      <c r="X1341" s="10">
        <v>7</v>
      </c>
      <c r="Y1341" s="11">
        <v>0.2857142857142857</v>
      </c>
      <c r="Z1341" s="11">
        <v>0.21428571428571427</v>
      </c>
      <c r="AA1341" s="11">
        <v>0.5</v>
      </c>
    </row>
    <row r="1342" spans="21:27" x14ac:dyDescent="0.25">
      <c r="U1342" s="37">
        <v>34819</v>
      </c>
      <c r="V1342" s="10">
        <v>16</v>
      </c>
      <c r="W1342" s="10">
        <v>2</v>
      </c>
      <c r="X1342" s="10">
        <v>3</v>
      </c>
      <c r="Y1342" s="11">
        <v>0.76190476190476186</v>
      </c>
      <c r="Z1342" s="11">
        <v>9.5238095238095233E-2</v>
      </c>
      <c r="AA1342" s="11">
        <v>0.14285714285714285</v>
      </c>
    </row>
    <row r="1343" spans="21:27" x14ac:dyDescent="0.25">
      <c r="U1343" s="37">
        <v>34826</v>
      </c>
      <c r="V1343" s="10">
        <v>20</v>
      </c>
      <c r="W1343" s="10">
        <v>6</v>
      </c>
      <c r="X1343" s="10">
        <v>12</v>
      </c>
      <c r="Y1343" s="11">
        <v>0.52631578947368418</v>
      </c>
      <c r="Z1343" s="11">
        <v>0.15789473684210525</v>
      </c>
      <c r="AA1343" s="11">
        <v>0.31578947368421051</v>
      </c>
    </row>
    <row r="1344" spans="21:27" x14ac:dyDescent="0.25">
      <c r="U1344" s="37">
        <v>34833</v>
      </c>
      <c r="V1344" s="10">
        <v>4</v>
      </c>
      <c r="W1344" s="10">
        <v>7</v>
      </c>
      <c r="X1344" s="10">
        <v>9</v>
      </c>
      <c r="Y1344" s="11">
        <v>0.2</v>
      </c>
      <c r="Z1344" s="11">
        <v>0.35</v>
      </c>
      <c r="AA1344" s="11">
        <v>0.45</v>
      </c>
    </row>
    <row r="1345" spans="21:27" x14ac:dyDescent="0.25">
      <c r="U1345" s="37">
        <v>34840</v>
      </c>
      <c r="V1345" s="10">
        <v>11</v>
      </c>
      <c r="W1345" s="10">
        <v>7</v>
      </c>
      <c r="X1345" s="10">
        <v>13</v>
      </c>
      <c r="Y1345" s="11">
        <v>0.35483870967741937</v>
      </c>
      <c r="Z1345" s="11">
        <v>0.22580645161290322</v>
      </c>
      <c r="AA1345" s="11">
        <v>0.41935483870967744</v>
      </c>
    </row>
    <row r="1346" spans="21:27" x14ac:dyDescent="0.25">
      <c r="U1346" s="37">
        <v>34844</v>
      </c>
      <c r="V1346" s="10">
        <v>9</v>
      </c>
      <c r="W1346" s="10">
        <v>8</v>
      </c>
      <c r="X1346" s="10">
        <v>19</v>
      </c>
      <c r="Y1346" s="11">
        <v>0.25</v>
      </c>
      <c r="Z1346" s="11">
        <v>0.22222222222222221</v>
      </c>
      <c r="AA1346" s="11">
        <v>0.52777777777777779</v>
      </c>
    </row>
    <row r="1347" spans="21:27" x14ac:dyDescent="0.25">
      <c r="U1347" s="37">
        <v>34847</v>
      </c>
      <c r="V1347" s="10">
        <v>14</v>
      </c>
      <c r="W1347" s="10">
        <v>3</v>
      </c>
      <c r="X1347" s="10">
        <v>5</v>
      </c>
      <c r="Y1347" s="11">
        <v>0.63636363636363635</v>
      </c>
      <c r="Z1347" s="11">
        <v>0.13636363636363635</v>
      </c>
      <c r="AA1347" s="11">
        <v>0.22727272727272727</v>
      </c>
    </row>
    <row r="1348" spans="21:27" x14ac:dyDescent="0.25">
      <c r="U1348" s="37">
        <v>34854</v>
      </c>
      <c r="V1348" s="10">
        <v>7</v>
      </c>
      <c r="W1348" s="10">
        <v>2</v>
      </c>
      <c r="X1348" s="10">
        <v>11</v>
      </c>
      <c r="Y1348" s="11">
        <v>0.35</v>
      </c>
      <c r="Z1348" s="11">
        <v>0.1</v>
      </c>
      <c r="AA1348" s="11">
        <v>0.55000000000000004</v>
      </c>
    </row>
    <row r="1349" spans="21:27" x14ac:dyDescent="0.25">
      <c r="U1349" s="37">
        <v>34861</v>
      </c>
      <c r="V1349" s="10">
        <v>19</v>
      </c>
      <c r="W1349" s="10">
        <v>5</v>
      </c>
      <c r="X1349" s="10">
        <v>13</v>
      </c>
      <c r="Y1349" s="11">
        <v>0.51351351351351349</v>
      </c>
      <c r="Z1349" s="11">
        <v>0.13513513513513514</v>
      </c>
      <c r="AA1349" s="11">
        <v>0.35135135135135137</v>
      </c>
    </row>
    <row r="1350" spans="21:27" x14ac:dyDescent="0.25">
      <c r="U1350" s="37">
        <v>34868</v>
      </c>
      <c r="V1350" s="10">
        <v>0</v>
      </c>
      <c r="W1350" s="10">
        <v>8</v>
      </c>
      <c r="X1350" s="10">
        <v>9</v>
      </c>
      <c r="Y1350" s="11">
        <v>0</v>
      </c>
      <c r="Z1350" s="11">
        <v>0.47058823529411764</v>
      </c>
      <c r="AA1350" s="11">
        <v>0.52941176470588236</v>
      </c>
    </row>
    <row r="1351" spans="21:27" x14ac:dyDescent="0.25">
      <c r="U1351" s="37">
        <v>34875</v>
      </c>
      <c r="V1351" s="10">
        <v>8</v>
      </c>
      <c r="W1351" s="10">
        <v>6</v>
      </c>
      <c r="X1351" s="10">
        <v>22</v>
      </c>
      <c r="Y1351" s="11">
        <v>0.22222222222222221</v>
      </c>
      <c r="Z1351" s="11">
        <v>0.16666666666666666</v>
      </c>
      <c r="AA1351" s="11">
        <v>0.61111111111111116</v>
      </c>
    </row>
    <row r="1352" spans="21:27" x14ac:dyDescent="0.25">
      <c r="U1352" s="37">
        <v>34882</v>
      </c>
      <c r="V1352" s="10">
        <v>1</v>
      </c>
      <c r="W1352" s="10">
        <v>0</v>
      </c>
      <c r="X1352" s="10">
        <v>5</v>
      </c>
      <c r="Y1352" s="11">
        <v>0.16666666666666666</v>
      </c>
      <c r="Z1352" s="11">
        <v>0</v>
      </c>
      <c r="AA1352" s="11">
        <v>0.83333333333333337</v>
      </c>
    </row>
    <row r="1353" spans="21:27" x14ac:dyDescent="0.25">
      <c r="U1353" s="37">
        <v>34889</v>
      </c>
      <c r="V1353" s="10">
        <v>6</v>
      </c>
      <c r="W1353" s="10">
        <v>3</v>
      </c>
      <c r="X1353" s="10">
        <v>5</v>
      </c>
      <c r="Y1353" s="11">
        <v>0.42857142857142855</v>
      </c>
      <c r="Z1353" s="11">
        <v>0.21428571428571427</v>
      </c>
      <c r="AA1353" s="11">
        <v>0.35714285714285715</v>
      </c>
    </row>
    <row r="1354" spans="21:27" x14ac:dyDescent="0.25">
      <c r="U1354" s="37">
        <v>34896</v>
      </c>
      <c r="V1354" s="10">
        <v>6</v>
      </c>
      <c r="W1354" s="10">
        <v>3</v>
      </c>
      <c r="X1354" s="10">
        <v>3</v>
      </c>
      <c r="Y1354" s="11">
        <v>0.5</v>
      </c>
      <c r="Z1354" s="11">
        <v>0.25</v>
      </c>
      <c r="AA1354" s="11">
        <v>0.25</v>
      </c>
    </row>
    <row r="1355" spans="21:27" x14ac:dyDescent="0.25">
      <c r="U1355" s="37">
        <v>34903</v>
      </c>
      <c r="V1355" s="10">
        <v>5</v>
      </c>
      <c r="W1355" s="10">
        <v>2</v>
      </c>
      <c r="X1355" s="10">
        <v>3</v>
      </c>
      <c r="Y1355" s="11">
        <v>0.5</v>
      </c>
      <c r="Z1355" s="11">
        <v>0.2</v>
      </c>
      <c r="AA1355" s="11">
        <v>0.3</v>
      </c>
    </row>
    <row r="1356" spans="21:27" x14ac:dyDescent="0.25">
      <c r="U1356" s="37">
        <v>34910</v>
      </c>
      <c r="V1356" s="10">
        <v>0</v>
      </c>
      <c r="W1356" s="10">
        <v>3</v>
      </c>
      <c r="X1356" s="10">
        <v>3</v>
      </c>
      <c r="Y1356" s="11">
        <v>0</v>
      </c>
      <c r="Z1356" s="11">
        <v>0.5</v>
      </c>
      <c r="AA1356" s="11">
        <v>0.5</v>
      </c>
    </row>
    <row r="1357" spans="21:27" x14ac:dyDescent="0.25">
      <c r="U1357" s="37">
        <v>34917</v>
      </c>
      <c r="V1357" s="10">
        <v>5</v>
      </c>
      <c r="W1357" s="10">
        <v>3</v>
      </c>
      <c r="X1357" s="10">
        <v>13</v>
      </c>
      <c r="Y1357" s="11">
        <v>0.23809523809523808</v>
      </c>
      <c r="Z1357" s="11">
        <v>0.14285714285714285</v>
      </c>
      <c r="AA1357" s="11">
        <v>0.61904761904761907</v>
      </c>
    </row>
    <row r="1358" spans="21:27" x14ac:dyDescent="0.25">
      <c r="U1358" s="37">
        <v>34924</v>
      </c>
      <c r="V1358" s="10">
        <v>9</v>
      </c>
      <c r="W1358" s="10">
        <v>7</v>
      </c>
      <c r="X1358" s="10">
        <v>17</v>
      </c>
      <c r="Y1358" s="11">
        <v>0.27272727272727271</v>
      </c>
      <c r="Z1358" s="11">
        <v>0.21212121212121213</v>
      </c>
      <c r="AA1358" s="11">
        <v>0.51515151515151514</v>
      </c>
    </row>
    <row r="1359" spans="21:27" x14ac:dyDescent="0.25">
      <c r="U1359" s="37">
        <v>34926</v>
      </c>
      <c r="V1359" s="10">
        <v>3</v>
      </c>
      <c r="W1359" s="10">
        <v>3</v>
      </c>
      <c r="X1359" s="10">
        <v>19</v>
      </c>
      <c r="Y1359" s="11">
        <v>0.12</v>
      </c>
      <c r="Z1359" s="11">
        <v>0.12</v>
      </c>
      <c r="AA1359" s="11">
        <v>0.76</v>
      </c>
    </row>
    <row r="1360" spans="21:27" x14ac:dyDescent="0.25">
      <c r="U1360" s="37">
        <v>34931</v>
      </c>
      <c r="V1360" s="10">
        <v>13</v>
      </c>
      <c r="W1360" s="10">
        <v>6</v>
      </c>
      <c r="X1360" s="10">
        <v>16</v>
      </c>
      <c r="Y1360" s="11">
        <v>0.37142857142857144</v>
      </c>
      <c r="Z1360" s="11">
        <v>0.17142857142857143</v>
      </c>
      <c r="AA1360" s="11">
        <v>0.45714285714285713</v>
      </c>
    </row>
    <row r="1361" spans="21:27" x14ac:dyDescent="0.25">
      <c r="U1361" s="37">
        <v>34938</v>
      </c>
      <c r="V1361" s="10">
        <v>11</v>
      </c>
      <c r="W1361" s="10">
        <v>7</v>
      </c>
      <c r="X1361" s="10">
        <v>8</v>
      </c>
      <c r="Y1361" s="11">
        <v>0.42307692307692307</v>
      </c>
      <c r="Z1361" s="11">
        <v>0.26923076923076922</v>
      </c>
      <c r="AA1361" s="11">
        <v>0.30769230769230771</v>
      </c>
    </row>
    <row r="1362" spans="21:27" x14ac:dyDescent="0.25">
      <c r="U1362" s="37">
        <v>34945</v>
      </c>
      <c r="V1362" s="10">
        <v>5</v>
      </c>
      <c r="W1362" s="10">
        <v>3</v>
      </c>
      <c r="X1362" s="10">
        <v>10</v>
      </c>
      <c r="Y1362" s="11">
        <v>0.27777777777777779</v>
      </c>
      <c r="Z1362" s="11">
        <v>0.16666666666666666</v>
      </c>
      <c r="AA1362" s="11">
        <v>0.55555555555555558</v>
      </c>
    </row>
    <row r="1363" spans="21:27" x14ac:dyDescent="0.25">
      <c r="U1363" s="37">
        <v>34952</v>
      </c>
      <c r="V1363" s="10">
        <v>4</v>
      </c>
      <c r="W1363" s="10">
        <v>7</v>
      </c>
      <c r="X1363" s="10">
        <v>17</v>
      </c>
      <c r="Y1363" s="11">
        <v>0.14285714285714285</v>
      </c>
      <c r="Z1363" s="11">
        <v>0.25</v>
      </c>
      <c r="AA1363" s="11">
        <v>0.6071428571428571</v>
      </c>
    </row>
    <row r="1364" spans="21:27" x14ac:dyDescent="0.25">
      <c r="U1364" s="37">
        <v>34959</v>
      </c>
      <c r="V1364" s="10">
        <v>9</v>
      </c>
      <c r="W1364" s="10">
        <v>3</v>
      </c>
      <c r="X1364" s="10">
        <v>5</v>
      </c>
      <c r="Y1364" s="11">
        <v>0.52941176470588236</v>
      </c>
      <c r="Z1364" s="11">
        <v>0.17647058823529413</v>
      </c>
      <c r="AA1364" s="11">
        <v>0.29411764705882354</v>
      </c>
    </row>
    <row r="1365" spans="21:27" x14ac:dyDescent="0.25">
      <c r="U1365" s="37">
        <v>34966</v>
      </c>
      <c r="V1365" s="10">
        <v>14</v>
      </c>
      <c r="W1365" s="10">
        <v>3</v>
      </c>
      <c r="X1365" s="10">
        <v>7</v>
      </c>
      <c r="Y1365" s="11">
        <v>0.58333333333333337</v>
      </c>
      <c r="Z1365" s="11">
        <v>0.125</v>
      </c>
      <c r="AA1365" s="11">
        <v>0.29166666666666669</v>
      </c>
    </row>
    <row r="1366" spans="21:27" x14ac:dyDescent="0.25">
      <c r="U1366" s="37">
        <v>34973</v>
      </c>
      <c r="V1366" s="10">
        <v>7</v>
      </c>
      <c r="W1366" s="10">
        <v>2</v>
      </c>
      <c r="X1366" s="10">
        <v>3</v>
      </c>
      <c r="Y1366" s="11">
        <v>0.58333333333333337</v>
      </c>
      <c r="Z1366" s="11">
        <v>0.16666666666666666</v>
      </c>
      <c r="AA1366" s="11">
        <v>0.25</v>
      </c>
    </row>
    <row r="1367" spans="21:27" x14ac:dyDescent="0.25">
      <c r="U1367" s="37">
        <v>34980</v>
      </c>
      <c r="V1367" s="10">
        <v>3</v>
      </c>
      <c r="W1367" s="10">
        <v>6</v>
      </c>
      <c r="X1367" s="10">
        <v>12</v>
      </c>
      <c r="Y1367" s="11">
        <v>0.14285714285714285</v>
      </c>
      <c r="Z1367" s="11">
        <v>0.2857142857142857</v>
      </c>
      <c r="AA1367" s="11">
        <v>0.5714285714285714</v>
      </c>
    </row>
    <row r="1368" spans="21:27" x14ac:dyDescent="0.25">
      <c r="U1368" s="37">
        <v>34987</v>
      </c>
      <c r="V1368" s="10">
        <v>9</v>
      </c>
      <c r="W1368" s="10">
        <v>12</v>
      </c>
      <c r="X1368" s="10">
        <v>15</v>
      </c>
      <c r="Y1368" s="11">
        <v>0.25</v>
      </c>
      <c r="Z1368" s="11">
        <v>0.33333333333333331</v>
      </c>
      <c r="AA1368" s="11">
        <v>0.41666666666666669</v>
      </c>
    </row>
    <row r="1369" spans="21:27" x14ac:dyDescent="0.25">
      <c r="U1369" s="37">
        <v>34994</v>
      </c>
      <c r="V1369" s="10">
        <v>9</v>
      </c>
      <c r="W1369" s="10">
        <v>4</v>
      </c>
      <c r="X1369" s="10">
        <v>7</v>
      </c>
      <c r="Y1369" s="11">
        <v>0.45</v>
      </c>
      <c r="Z1369" s="11">
        <v>0.2</v>
      </c>
      <c r="AA1369" s="11">
        <v>0.35</v>
      </c>
    </row>
    <row r="1370" spans="21:27" x14ac:dyDescent="0.25">
      <c r="U1370" s="37">
        <v>35001</v>
      </c>
      <c r="V1370" s="10">
        <v>4</v>
      </c>
      <c r="W1370" s="10">
        <v>4</v>
      </c>
      <c r="X1370" s="10">
        <v>4</v>
      </c>
      <c r="Y1370" s="11">
        <v>0.33333333333333331</v>
      </c>
      <c r="Z1370" s="11">
        <v>0.33333333333333331</v>
      </c>
      <c r="AA1370" s="11">
        <v>0.33333333333333331</v>
      </c>
    </row>
    <row r="1371" spans="21:27" x14ac:dyDescent="0.25">
      <c r="U1371" s="37">
        <v>35004</v>
      </c>
      <c r="V1371" s="10">
        <v>1</v>
      </c>
      <c r="W1371" s="10">
        <v>2</v>
      </c>
      <c r="X1371" s="10">
        <v>8</v>
      </c>
      <c r="Y1371" s="11">
        <v>9.0909090909090912E-2</v>
      </c>
      <c r="Z1371" s="11">
        <v>0.18181818181818182</v>
      </c>
      <c r="AA1371" s="11">
        <v>0.72727272727272729</v>
      </c>
    </row>
    <row r="1372" spans="21:27" x14ac:dyDescent="0.25">
      <c r="U1372" s="37">
        <v>35008</v>
      </c>
      <c r="V1372" s="10">
        <v>7</v>
      </c>
      <c r="W1372" s="10">
        <v>3</v>
      </c>
      <c r="X1372" s="10">
        <v>5</v>
      </c>
      <c r="Y1372" s="11">
        <v>0.46666666666666667</v>
      </c>
      <c r="Z1372" s="11">
        <v>0.2</v>
      </c>
      <c r="AA1372" s="11">
        <v>0.33333333333333331</v>
      </c>
    </row>
    <row r="1373" spans="21:27" x14ac:dyDescent="0.25">
      <c r="U1373" s="37">
        <v>35015</v>
      </c>
      <c r="V1373" s="10">
        <v>9</v>
      </c>
      <c r="W1373" s="10">
        <v>6</v>
      </c>
      <c r="X1373" s="10">
        <v>16</v>
      </c>
      <c r="Y1373" s="11">
        <v>0.29032258064516131</v>
      </c>
      <c r="Z1373" s="11">
        <v>0.19354838709677419</v>
      </c>
      <c r="AA1373" s="11">
        <v>0.5161290322580645</v>
      </c>
    </row>
    <row r="1374" spans="21:27" x14ac:dyDescent="0.25">
      <c r="U1374" s="37">
        <v>35022</v>
      </c>
      <c r="V1374" s="10">
        <v>5</v>
      </c>
      <c r="W1374" s="10">
        <v>3</v>
      </c>
      <c r="X1374" s="10">
        <v>9</v>
      </c>
      <c r="Y1374" s="11">
        <v>0.29411764705882354</v>
      </c>
      <c r="Z1374" s="11">
        <v>0.17647058823529413</v>
      </c>
      <c r="AA1374" s="11">
        <v>0.52941176470588236</v>
      </c>
    </row>
    <row r="1375" spans="21:27" x14ac:dyDescent="0.25">
      <c r="U1375" s="37">
        <v>35029</v>
      </c>
      <c r="V1375" s="10">
        <v>4</v>
      </c>
      <c r="W1375" s="10">
        <v>6</v>
      </c>
      <c r="X1375" s="10">
        <v>11</v>
      </c>
      <c r="Y1375" s="11">
        <v>0.19047619047619047</v>
      </c>
      <c r="Z1375" s="11">
        <v>0.2857142857142857</v>
      </c>
      <c r="AA1375" s="11">
        <v>0.52380952380952384</v>
      </c>
    </row>
    <row r="1376" spans="21:27" x14ac:dyDescent="0.25">
      <c r="U1376" s="37">
        <v>35036</v>
      </c>
      <c r="V1376" s="10">
        <v>8</v>
      </c>
      <c r="W1376" s="10">
        <v>3</v>
      </c>
      <c r="X1376" s="10">
        <v>4</v>
      </c>
      <c r="Y1376" s="11">
        <v>0.53333333333333333</v>
      </c>
      <c r="Z1376" s="11">
        <v>0.2</v>
      </c>
      <c r="AA1376" s="11">
        <v>0.26666666666666666</v>
      </c>
    </row>
    <row r="1377" spans="21:27" x14ac:dyDescent="0.25">
      <c r="U1377" s="37">
        <v>35043</v>
      </c>
      <c r="V1377" s="10">
        <v>6</v>
      </c>
      <c r="W1377" s="10">
        <v>1</v>
      </c>
      <c r="X1377" s="10">
        <v>12</v>
      </c>
      <c r="Y1377" s="11">
        <v>0.31578947368421051</v>
      </c>
      <c r="Z1377" s="11">
        <v>5.2631578947368418E-2</v>
      </c>
      <c r="AA1377" s="11">
        <v>0.63157894736842102</v>
      </c>
    </row>
    <row r="1378" spans="21:27" x14ac:dyDescent="0.25">
      <c r="U1378" s="37">
        <v>35050</v>
      </c>
      <c r="V1378" s="10">
        <v>10</v>
      </c>
      <c r="W1378" s="10">
        <v>6</v>
      </c>
      <c r="X1378" s="10">
        <v>3</v>
      </c>
      <c r="Y1378" s="11">
        <v>0.52631578947368418</v>
      </c>
      <c r="Z1378" s="11">
        <v>0.31578947368421051</v>
      </c>
      <c r="AA1378" s="11">
        <v>0.15789473684210525</v>
      </c>
    </row>
    <row r="1379" spans="21:27" x14ac:dyDescent="0.25">
      <c r="U1379" s="37">
        <v>35057</v>
      </c>
      <c r="V1379" s="10">
        <v>5</v>
      </c>
      <c r="W1379" s="10">
        <v>0</v>
      </c>
      <c r="X1379" s="10">
        <v>6</v>
      </c>
      <c r="Y1379" s="11">
        <v>0.45454545454545453</v>
      </c>
      <c r="Z1379" s="11">
        <v>0</v>
      </c>
      <c r="AA1379" s="11">
        <v>0.54545454545454541</v>
      </c>
    </row>
    <row r="1380" spans="21:27" x14ac:dyDescent="0.25">
      <c r="U1380" s="37">
        <v>35057</v>
      </c>
      <c r="V1380" s="10">
        <v>4</v>
      </c>
      <c r="W1380" s="10">
        <v>1</v>
      </c>
      <c r="X1380" s="10">
        <v>6</v>
      </c>
      <c r="Y1380" s="11">
        <v>0.36363636363636365</v>
      </c>
      <c r="Z1380" s="11">
        <v>9.0909090909090912E-2</v>
      </c>
      <c r="AA1380" s="11">
        <v>0.54545454545454541</v>
      </c>
    </row>
    <row r="1381" spans="21:27" x14ac:dyDescent="0.25">
      <c r="U1381" s="37">
        <v>35058</v>
      </c>
      <c r="V1381" s="10">
        <v>2</v>
      </c>
      <c r="W1381" s="10">
        <v>4</v>
      </c>
      <c r="X1381" s="10">
        <v>4</v>
      </c>
      <c r="Y1381" s="11">
        <v>0.2</v>
      </c>
      <c r="Z1381" s="11">
        <v>0.4</v>
      </c>
      <c r="AA1381" s="11">
        <v>0.4</v>
      </c>
    </row>
    <row r="1382" spans="21:27" x14ac:dyDescent="0.25">
      <c r="U1382" s="37">
        <v>35064</v>
      </c>
      <c r="V1382" s="10">
        <v>0</v>
      </c>
      <c r="W1382" s="10">
        <v>3</v>
      </c>
      <c r="X1382" s="10">
        <v>7</v>
      </c>
      <c r="Y1382" s="11">
        <v>0</v>
      </c>
      <c r="Z1382" s="11">
        <v>0.3</v>
      </c>
      <c r="AA1382" s="11">
        <v>0.7</v>
      </c>
    </row>
    <row r="1383" spans="21:27" x14ac:dyDescent="0.25">
      <c r="U1383" s="37">
        <v>35071</v>
      </c>
      <c r="V1383" s="10">
        <v>2</v>
      </c>
      <c r="W1383" s="10">
        <v>3</v>
      </c>
      <c r="X1383" s="10">
        <v>9</v>
      </c>
      <c r="Y1383" s="11">
        <v>0.14285714285714285</v>
      </c>
      <c r="Z1383" s="11">
        <v>0.21428571428571427</v>
      </c>
      <c r="AA1383" s="11">
        <v>0.6428571428571429</v>
      </c>
    </row>
    <row r="1384" spans="21:27" x14ac:dyDescent="0.25">
      <c r="U1384" s="37">
        <v>35078</v>
      </c>
      <c r="V1384" s="10">
        <v>2</v>
      </c>
      <c r="W1384" s="10">
        <v>3</v>
      </c>
      <c r="X1384" s="10">
        <v>7</v>
      </c>
      <c r="Y1384" s="11">
        <v>0.16666666666666666</v>
      </c>
      <c r="Z1384" s="11">
        <v>0.25</v>
      </c>
      <c r="AA1384" s="11">
        <v>0.58333333333333337</v>
      </c>
    </row>
    <row r="1385" spans="21:27" x14ac:dyDescent="0.25">
      <c r="U1385" s="37">
        <v>35085</v>
      </c>
      <c r="V1385" s="10">
        <v>7</v>
      </c>
      <c r="W1385" s="10">
        <v>2</v>
      </c>
      <c r="X1385" s="10">
        <v>8</v>
      </c>
      <c r="Y1385" s="11">
        <v>0.41176470588235292</v>
      </c>
      <c r="Z1385" s="11">
        <v>0.11764705882352941</v>
      </c>
      <c r="AA1385" s="11">
        <v>0.47058823529411764</v>
      </c>
    </row>
    <row r="1386" spans="21:27" x14ac:dyDescent="0.25">
      <c r="U1386" s="37">
        <v>35092</v>
      </c>
      <c r="V1386" s="10">
        <v>4</v>
      </c>
      <c r="W1386" s="10">
        <v>1</v>
      </c>
      <c r="X1386" s="10">
        <v>5</v>
      </c>
      <c r="Y1386" s="11">
        <v>0.4</v>
      </c>
      <c r="Z1386" s="11">
        <v>0.1</v>
      </c>
      <c r="AA1386" s="11">
        <v>0.5</v>
      </c>
    </row>
    <row r="1387" spans="21:27" x14ac:dyDescent="0.25">
      <c r="U1387" s="37">
        <v>35099</v>
      </c>
      <c r="V1387" s="10">
        <v>8</v>
      </c>
      <c r="W1387" s="10">
        <v>2</v>
      </c>
      <c r="X1387" s="10">
        <v>7</v>
      </c>
      <c r="Y1387" s="11">
        <v>0.47058823529411764</v>
      </c>
      <c r="Z1387" s="11">
        <v>0.11764705882352941</v>
      </c>
      <c r="AA1387" s="11">
        <v>0.41176470588235292</v>
      </c>
    </row>
    <row r="1388" spans="21:27" x14ac:dyDescent="0.25">
      <c r="U1388" s="37">
        <v>35106</v>
      </c>
      <c r="V1388" s="10">
        <v>7</v>
      </c>
      <c r="W1388" s="10">
        <v>3</v>
      </c>
      <c r="X1388" s="10">
        <v>5</v>
      </c>
      <c r="Y1388" s="11">
        <v>0.46666666666666667</v>
      </c>
      <c r="Z1388" s="11">
        <v>0.2</v>
      </c>
      <c r="AA1388" s="11">
        <v>0.33333333333333331</v>
      </c>
    </row>
    <row r="1389" spans="21:27" x14ac:dyDescent="0.25">
      <c r="U1389" s="37">
        <v>35113</v>
      </c>
      <c r="V1389" s="10">
        <v>3</v>
      </c>
      <c r="W1389" s="10">
        <v>0</v>
      </c>
      <c r="X1389" s="10">
        <v>2</v>
      </c>
      <c r="Y1389" s="11">
        <v>0.6</v>
      </c>
      <c r="Z1389" s="11">
        <v>0</v>
      </c>
      <c r="AA1389" s="11">
        <v>0.4</v>
      </c>
    </row>
    <row r="1390" spans="21:27" x14ac:dyDescent="0.25">
      <c r="U1390" s="37">
        <v>35120</v>
      </c>
      <c r="V1390" s="10">
        <v>7</v>
      </c>
      <c r="W1390" s="10">
        <v>0</v>
      </c>
      <c r="X1390" s="10">
        <v>6</v>
      </c>
      <c r="Y1390" s="11">
        <v>0.53846153846153844</v>
      </c>
      <c r="Z1390" s="11">
        <v>0</v>
      </c>
      <c r="AA1390" s="11">
        <v>0.46153846153846156</v>
      </c>
    </row>
    <row r="1391" spans="21:27" x14ac:dyDescent="0.25">
      <c r="U1391" s="37">
        <v>35127</v>
      </c>
      <c r="V1391" s="10">
        <v>11</v>
      </c>
      <c r="W1391" s="10">
        <v>4</v>
      </c>
      <c r="X1391" s="10">
        <v>5</v>
      </c>
      <c r="Y1391" s="11">
        <v>0.55000000000000004</v>
      </c>
      <c r="Z1391" s="11">
        <v>0.2</v>
      </c>
      <c r="AA1391" s="11">
        <v>0.25</v>
      </c>
    </row>
    <row r="1392" spans="21:27" x14ac:dyDescent="0.25">
      <c r="U1392" s="37">
        <v>35134</v>
      </c>
      <c r="V1392" s="10">
        <v>9</v>
      </c>
      <c r="W1392" s="10">
        <v>3</v>
      </c>
      <c r="X1392" s="10">
        <v>6</v>
      </c>
      <c r="Y1392" s="11">
        <v>0.5</v>
      </c>
      <c r="Z1392" s="11">
        <v>0.16666666666666666</v>
      </c>
      <c r="AA1392" s="11">
        <v>0.33333333333333331</v>
      </c>
    </row>
    <row r="1393" spans="21:27" x14ac:dyDescent="0.25">
      <c r="U1393" s="37">
        <v>35141</v>
      </c>
      <c r="V1393" s="10">
        <v>15</v>
      </c>
      <c r="W1393" s="10">
        <v>2</v>
      </c>
      <c r="X1393" s="10">
        <v>2</v>
      </c>
      <c r="Y1393" s="11">
        <v>0.78947368421052633</v>
      </c>
      <c r="Z1393" s="11">
        <v>0.10526315789473684</v>
      </c>
      <c r="AA1393" s="11">
        <v>0.10526315789473684</v>
      </c>
    </row>
    <row r="1394" spans="21:27" x14ac:dyDescent="0.25">
      <c r="U1394" s="37">
        <v>35148</v>
      </c>
      <c r="V1394" s="10">
        <v>22</v>
      </c>
      <c r="W1394" s="10">
        <v>9</v>
      </c>
      <c r="X1394" s="10">
        <v>12</v>
      </c>
      <c r="Y1394" s="11">
        <v>0.51162790697674421</v>
      </c>
      <c r="Z1394" s="11">
        <v>0.20930232558139536</v>
      </c>
      <c r="AA1394" s="11">
        <v>0.27906976744186046</v>
      </c>
    </row>
    <row r="1395" spans="21:27" x14ac:dyDescent="0.25">
      <c r="U1395" s="37">
        <v>35155</v>
      </c>
      <c r="V1395" s="10">
        <v>4</v>
      </c>
      <c r="W1395" s="10">
        <v>5</v>
      </c>
      <c r="X1395" s="10">
        <v>5</v>
      </c>
      <c r="Y1395" s="11">
        <v>0.2857142857142857</v>
      </c>
      <c r="Z1395" s="11">
        <v>0.35714285714285715</v>
      </c>
      <c r="AA1395" s="11">
        <v>0.35714285714285715</v>
      </c>
    </row>
    <row r="1396" spans="21:27" x14ac:dyDescent="0.25">
      <c r="U1396" s="37">
        <v>35162</v>
      </c>
      <c r="V1396" s="10">
        <v>2</v>
      </c>
      <c r="W1396" s="10">
        <v>2</v>
      </c>
      <c r="X1396" s="10">
        <v>3</v>
      </c>
      <c r="Y1396" s="11">
        <v>0.2857142857142857</v>
      </c>
      <c r="Z1396" s="11">
        <v>0.2857142857142857</v>
      </c>
      <c r="AA1396" s="11">
        <v>0.42857142857142855</v>
      </c>
    </row>
    <row r="1397" spans="21:27" x14ac:dyDescent="0.25">
      <c r="U1397" s="37">
        <v>35169</v>
      </c>
      <c r="V1397" s="10">
        <v>2</v>
      </c>
      <c r="W1397" s="10">
        <v>4</v>
      </c>
      <c r="X1397" s="10">
        <v>1</v>
      </c>
      <c r="Y1397" s="11">
        <v>0.2857142857142857</v>
      </c>
      <c r="Z1397" s="11">
        <v>0.5714285714285714</v>
      </c>
      <c r="AA1397" s="11">
        <v>0.14285714285714285</v>
      </c>
    </row>
    <row r="1398" spans="21:27" x14ac:dyDescent="0.25">
      <c r="U1398" s="37">
        <v>35176</v>
      </c>
      <c r="V1398" s="10">
        <v>9</v>
      </c>
      <c r="W1398" s="10">
        <v>4</v>
      </c>
      <c r="X1398" s="10">
        <v>2</v>
      </c>
      <c r="Y1398" s="11">
        <v>0.6</v>
      </c>
      <c r="Z1398" s="11">
        <v>0.26666666666666666</v>
      </c>
      <c r="AA1398" s="11">
        <v>0.13333333333333333</v>
      </c>
    </row>
    <row r="1399" spans="21:27" x14ac:dyDescent="0.25">
      <c r="U1399" s="37">
        <v>35183</v>
      </c>
      <c r="V1399" s="10">
        <v>1</v>
      </c>
      <c r="W1399" s="10">
        <v>1</v>
      </c>
      <c r="X1399" s="10">
        <v>1</v>
      </c>
      <c r="Y1399" s="11">
        <v>0.33333333333333331</v>
      </c>
      <c r="Z1399" s="11">
        <v>0.33333333333333331</v>
      </c>
      <c r="AA1399" s="11">
        <v>0.33333333333333331</v>
      </c>
    </row>
    <row r="1400" spans="21:27" x14ac:dyDescent="0.25">
      <c r="U1400" s="37">
        <v>35190</v>
      </c>
      <c r="V1400" s="10">
        <v>15</v>
      </c>
      <c r="W1400" s="10">
        <v>7</v>
      </c>
      <c r="X1400" s="10">
        <v>7</v>
      </c>
      <c r="Y1400" s="11">
        <v>0.51724137931034486</v>
      </c>
      <c r="Z1400" s="11">
        <v>0.2413793103448276</v>
      </c>
      <c r="AA1400" s="11">
        <v>0.2413793103448276</v>
      </c>
    </row>
    <row r="1401" spans="21:27" x14ac:dyDescent="0.25">
      <c r="U1401" s="37">
        <v>35197</v>
      </c>
      <c r="V1401" s="10">
        <v>13</v>
      </c>
      <c r="W1401" s="10">
        <v>8</v>
      </c>
      <c r="X1401" s="10">
        <v>13</v>
      </c>
      <c r="Y1401" s="11">
        <v>0.38235294117647056</v>
      </c>
      <c r="Z1401" s="11">
        <v>0.23529411764705882</v>
      </c>
      <c r="AA1401" s="11">
        <v>0.38235294117647056</v>
      </c>
    </row>
    <row r="1402" spans="21:27" x14ac:dyDescent="0.25">
      <c r="U1402" s="37">
        <v>35201</v>
      </c>
      <c r="V1402" s="10">
        <v>4</v>
      </c>
      <c r="W1402" s="10">
        <v>3</v>
      </c>
      <c r="X1402" s="10">
        <v>17</v>
      </c>
      <c r="Y1402" s="11">
        <v>0.16666666666666666</v>
      </c>
      <c r="Z1402" s="11">
        <v>0.125</v>
      </c>
      <c r="AA1402" s="11">
        <v>0.70833333333333337</v>
      </c>
    </row>
    <row r="1403" spans="21:27" x14ac:dyDescent="0.25">
      <c r="U1403" s="37">
        <v>35204</v>
      </c>
      <c r="V1403" s="10">
        <v>18</v>
      </c>
      <c r="W1403" s="10">
        <v>10</v>
      </c>
      <c r="X1403" s="10">
        <v>13</v>
      </c>
      <c r="Y1403" s="11">
        <v>0.43902439024390244</v>
      </c>
      <c r="Z1403" s="11">
        <v>0.24390243902439024</v>
      </c>
      <c r="AA1403" s="11">
        <v>0.31707317073170732</v>
      </c>
    </row>
    <row r="1404" spans="21:27" x14ac:dyDescent="0.25">
      <c r="U1404" s="37">
        <v>35211</v>
      </c>
      <c r="V1404" s="10">
        <v>5</v>
      </c>
      <c r="W1404" s="10">
        <v>9</v>
      </c>
      <c r="X1404" s="10">
        <v>20</v>
      </c>
      <c r="Y1404" s="11">
        <v>0.14705882352941177</v>
      </c>
      <c r="Z1404" s="11">
        <v>0.26470588235294118</v>
      </c>
      <c r="AA1404" s="11">
        <v>0.58823529411764708</v>
      </c>
    </row>
    <row r="1405" spans="21:27" x14ac:dyDescent="0.25">
      <c r="U1405" s="37">
        <v>35218</v>
      </c>
      <c r="V1405" s="10">
        <v>8</v>
      </c>
      <c r="W1405" s="10">
        <v>6</v>
      </c>
      <c r="X1405" s="10">
        <v>19</v>
      </c>
      <c r="Y1405" s="11">
        <v>0.24242424242424243</v>
      </c>
      <c r="Z1405" s="11">
        <v>0.18181818181818182</v>
      </c>
      <c r="AA1405" s="11">
        <v>0.5757575757575758</v>
      </c>
    </row>
    <row r="1406" spans="21:27" x14ac:dyDescent="0.25">
      <c r="U1406" s="37">
        <v>35225</v>
      </c>
      <c r="V1406" s="10">
        <v>5</v>
      </c>
      <c r="W1406" s="10">
        <v>1</v>
      </c>
      <c r="X1406" s="10">
        <v>12</v>
      </c>
      <c r="Y1406" s="11">
        <v>0.27777777777777779</v>
      </c>
      <c r="Z1406" s="11">
        <v>5.5555555555555552E-2</v>
      </c>
      <c r="AA1406" s="11">
        <v>0.66666666666666663</v>
      </c>
    </row>
    <row r="1407" spans="21:27" x14ac:dyDescent="0.25">
      <c r="U1407" s="37">
        <v>35232</v>
      </c>
      <c r="V1407" s="10">
        <v>5</v>
      </c>
      <c r="W1407" s="10">
        <v>7</v>
      </c>
      <c r="X1407" s="10">
        <v>10</v>
      </c>
      <c r="Y1407" s="11">
        <v>0.22727272727272727</v>
      </c>
      <c r="Z1407" s="11">
        <v>0.31818181818181818</v>
      </c>
      <c r="AA1407" s="11">
        <v>0.45454545454545453</v>
      </c>
    </row>
    <row r="1408" spans="21:27" x14ac:dyDescent="0.25">
      <c r="U1408" s="37">
        <v>35239</v>
      </c>
      <c r="V1408" s="10">
        <v>5</v>
      </c>
      <c r="W1408" s="10">
        <v>4</v>
      </c>
      <c r="X1408" s="10">
        <v>7</v>
      </c>
      <c r="Y1408" s="11">
        <v>0.3125</v>
      </c>
      <c r="Z1408" s="11">
        <v>0.25</v>
      </c>
      <c r="AA1408" s="11">
        <v>0.4375</v>
      </c>
    </row>
    <row r="1409" spans="21:27" x14ac:dyDescent="0.25">
      <c r="U1409" s="37">
        <v>35246</v>
      </c>
      <c r="V1409" s="10">
        <v>10</v>
      </c>
      <c r="W1409" s="10">
        <v>7</v>
      </c>
      <c r="X1409" s="10">
        <v>2</v>
      </c>
      <c r="Y1409" s="11">
        <v>0.52631578947368418</v>
      </c>
      <c r="Z1409" s="11">
        <v>0.36842105263157893</v>
      </c>
      <c r="AA1409" s="11">
        <v>0.10526315789473684</v>
      </c>
    </row>
    <row r="1410" spans="21:27" x14ac:dyDescent="0.25">
      <c r="U1410" s="37">
        <v>35253</v>
      </c>
      <c r="V1410" s="10">
        <v>6</v>
      </c>
      <c r="W1410" s="10">
        <v>3</v>
      </c>
      <c r="X1410" s="10">
        <v>10</v>
      </c>
      <c r="Y1410" s="11">
        <v>0.31578947368421051</v>
      </c>
      <c r="Z1410" s="11">
        <v>0.15789473684210525</v>
      </c>
      <c r="AA1410" s="11">
        <v>0.52631578947368418</v>
      </c>
    </row>
    <row r="1411" spans="21:27" x14ac:dyDescent="0.25">
      <c r="U1411" s="37">
        <v>35260</v>
      </c>
      <c r="V1411" s="10">
        <v>5</v>
      </c>
      <c r="W1411" s="10">
        <v>4</v>
      </c>
      <c r="X1411" s="10">
        <v>3</v>
      </c>
      <c r="Y1411" s="11">
        <v>0.41666666666666669</v>
      </c>
      <c r="Z1411" s="11">
        <v>0.33333333333333331</v>
      </c>
      <c r="AA1411" s="11">
        <v>0.25</v>
      </c>
    </row>
    <row r="1412" spans="21:27" x14ac:dyDescent="0.25">
      <c r="U1412" s="37">
        <v>35267</v>
      </c>
      <c r="V1412" s="10">
        <v>3</v>
      </c>
      <c r="W1412" s="10">
        <v>4</v>
      </c>
      <c r="X1412" s="10">
        <v>4</v>
      </c>
      <c r="Y1412" s="11">
        <v>0.27272727272727271</v>
      </c>
      <c r="Z1412" s="11">
        <v>0.36363636363636365</v>
      </c>
      <c r="AA1412" s="11">
        <v>0.36363636363636365</v>
      </c>
    </row>
    <row r="1413" spans="21:27" x14ac:dyDescent="0.25">
      <c r="U1413" s="37">
        <v>35274</v>
      </c>
      <c r="V1413" s="10">
        <v>2</v>
      </c>
      <c r="W1413" s="10">
        <v>0</v>
      </c>
      <c r="X1413" s="10">
        <v>4</v>
      </c>
      <c r="Y1413" s="11">
        <v>0.33333333333333331</v>
      </c>
      <c r="Z1413" s="11">
        <v>0</v>
      </c>
      <c r="AA1413" s="11">
        <v>0.66666666666666663</v>
      </c>
    </row>
    <row r="1414" spans="21:27" x14ac:dyDescent="0.25">
      <c r="U1414" s="37">
        <v>35281</v>
      </c>
      <c r="V1414" s="10">
        <v>4</v>
      </c>
      <c r="W1414" s="10">
        <v>1</v>
      </c>
      <c r="X1414" s="10">
        <v>2</v>
      </c>
      <c r="Y1414" s="11">
        <v>0.5714285714285714</v>
      </c>
      <c r="Z1414" s="11">
        <v>0.14285714285714285</v>
      </c>
      <c r="AA1414" s="11">
        <v>0.2857142857142857</v>
      </c>
    </row>
    <row r="1415" spans="21:27" x14ac:dyDescent="0.25">
      <c r="U1415" s="37">
        <v>35288</v>
      </c>
      <c r="V1415" s="10">
        <v>3</v>
      </c>
      <c r="W1415" s="10">
        <v>2</v>
      </c>
      <c r="X1415" s="10">
        <v>8</v>
      </c>
      <c r="Y1415" s="11">
        <v>0.23076923076923078</v>
      </c>
      <c r="Z1415" s="11">
        <v>0.15384615384615385</v>
      </c>
      <c r="AA1415" s="11">
        <v>0.61538461538461542</v>
      </c>
    </row>
    <row r="1416" spans="21:27" x14ac:dyDescent="0.25">
      <c r="U1416" s="37">
        <v>35292</v>
      </c>
      <c r="V1416" s="10">
        <v>2</v>
      </c>
      <c r="W1416" s="10">
        <v>2</v>
      </c>
      <c r="X1416" s="10">
        <v>7</v>
      </c>
      <c r="Y1416" s="11">
        <v>0.18181818181818182</v>
      </c>
      <c r="Z1416" s="11">
        <v>0.18181818181818182</v>
      </c>
      <c r="AA1416" s="11">
        <v>0.63636363636363635</v>
      </c>
    </row>
    <row r="1417" spans="21:27" x14ac:dyDescent="0.25">
      <c r="U1417" s="37">
        <v>35295</v>
      </c>
      <c r="V1417" s="10">
        <v>11</v>
      </c>
      <c r="W1417" s="10">
        <v>4</v>
      </c>
      <c r="X1417" s="10">
        <v>4</v>
      </c>
      <c r="Y1417" s="11">
        <v>0.57894736842105265</v>
      </c>
      <c r="Z1417" s="11">
        <v>0.21052631578947367</v>
      </c>
      <c r="AA1417" s="11">
        <v>0.21052631578947367</v>
      </c>
    </row>
    <row r="1418" spans="21:27" x14ac:dyDescent="0.25">
      <c r="U1418" s="37">
        <v>35302</v>
      </c>
      <c r="V1418" s="10">
        <v>9</v>
      </c>
      <c r="W1418" s="10">
        <v>2</v>
      </c>
      <c r="X1418" s="10">
        <v>17</v>
      </c>
      <c r="Y1418" s="11">
        <v>0.32142857142857145</v>
      </c>
      <c r="Z1418" s="11">
        <v>7.1428571428571425E-2</v>
      </c>
      <c r="AA1418" s="11">
        <v>0.6071428571428571</v>
      </c>
    </row>
    <row r="1419" spans="21:27" x14ac:dyDescent="0.25">
      <c r="U1419" s="37">
        <v>35309</v>
      </c>
      <c r="V1419" s="10">
        <v>8</v>
      </c>
      <c r="W1419" s="10">
        <v>7</v>
      </c>
      <c r="X1419" s="10">
        <v>13</v>
      </c>
      <c r="Y1419" s="11">
        <v>0.2857142857142857</v>
      </c>
      <c r="Z1419" s="11">
        <v>0.25</v>
      </c>
      <c r="AA1419" s="11">
        <v>0.4642857142857143</v>
      </c>
    </row>
    <row r="1420" spans="21:27" x14ac:dyDescent="0.25">
      <c r="U1420" s="37">
        <v>35316</v>
      </c>
      <c r="V1420" s="10">
        <v>5</v>
      </c>
      <c r="W1420" s="10">
        <v>0</v>
      </c>
      <c r="X1420" s="10">
        <v>7</v>
      </c>
      <c r="Y1420" s="11">
        <v>0.41666666666666669</v>
      </c>
      <c r="Z1420" s="11">
        <v>0</v>
      </c>
      <c r="AA1420" s="11">
        <v>0.58333333333333337</v>
      </c>
    </row>
    <row r="1421" spans="21:27" x14ac:dyDescent="0.25">
      <c r="U1421" s="37">
        <v>35323</v>
      </c>
      <c r="V1421" s="10">
        <v>8</v>
      </c>
      <c r="W1421" s="10">
        <v>4</v>
      </c>
      <c r="X1421" s="10">
        <v>11</v>
      </c>
      <c r="Y1421" s="11">
        <v>0.34782608695652173</v>
      </c>
      <c r="Z1421" s="11">
        <v>0.17391304347826086</v>
      </c>
      <c r="AA1421" s="11">
        <v>0.47826086956521741</v>
      </c>
    </row>
    <row r="1422" spans="21:27" x14ac:dyDescent="0.25">
      <c r="U1422" s="37">
        <v>35328</v>
      </c>
      <c r="V1422" s="10">
        <v>9</v>
      </c>
      <c r="W1422" s="10">
        <v>7</v>
      </c>
      <c r="X1422" s="10">
        <v>20</v>
      </c>
      <c r="Y1422" s="11">
        <v>0.25</v>
      </c>
      <c r="Z1422" s="11">
        <v>0.19444444444444445</v>
      </c>
      <c r="AA1422" s="11">
        <v>0.55555555555555558</v>
      </c>
    </row>
    <row r="1423" spans="21:27" x14ac:dyDescent="0.25">
      <c r="U1423" s="37">
        <v>35329</v>
      </c>
      <c r="V1423" s="10">
        <v>10</v>
      </c>
      <c r="W1423" s="10">
        <v>9</v>
      </c>
      <c r="X1423" s="10">
        <v>10</v>
      </c>
      <c r="Y1423" s="11">
        <v>0.34482758620689657</v>
      </c>
      <c r="Z1423" s="11">
        <v>0.31034482758620691</v>
      </c>
      <c r="AA1423" s="11">
        <v>0.34482758620689657</v>
      </c>
    </row>
    <row r="1424" spans="21:27" x14ac:dyDescent="0.25">
      <c r="U1424" s="37">
        <v>35330</v>
      </c>
      <c r="V1424" s="10">
        <v>7</v>
      </c>
      <c r="W1424" s="10">
        <v>6</v>
      </c>
      <c r="X1424" s="10">
        <v>23</v>
      </c>
      <c r="Y1424" s="11">
        <v>0.19444444444444445</v>
      </c>
      <c r="Z1424" s="11">
        <v>0.16666666666666666</v>
      </c>
      <c r="AA1424" s="11">
        <v>0.63888888888888884</v>
      </c>
    </row>
    <row r="1425" spans="21:27" x14ac:dyDescent="0.25">
      <c r="U1425" s="37">
        <v>35337</v>
      </c>
      <c r="V1425" s="10">
        <v>6</v>
      </c>
      <c r="W1425" s="10">
        <v>3</v>
      </c>
      <c r="X1425" s="10">
        <v>8</v>
      </c>
      <c r="Y1425" s="11">
        <v>0.35294117647058826</v>
      </c>
      <c r="Z1425" s="11">
        <v>0.17647058823529413</v>
      </c>
      <c r="AA1425" s="11">
        <v>0.47058823529411764</v>
      </c>
    </row>
    <row r="1426" spans="21:27" x14ac:dyDescent="0.25">
      <c r="U1426" s="37">
        <v>35344</v>
      </c>
      <c r="V1426" s="10">
        <v>9</v>
      </c>
      <c r="W1426" s="10">
        <v>4</v>
      </c>
      <c r="X1426" s="10">
        <v>8</v>
      </c>
      <c r="Y1426" s="11">
        <v>0.42857142857142855</v>
      </c>
      <c r="Z1426" s="11">
        <v>0.19047619047619047</v>
      </c>
      <c r="AA1426" s="11">
        <v>0.38095238095238093</v>
      </c>
    </row>
    <row r="1427" spans="21:27" x14ac:dyDescent="0.25">
      <c r="U1427" s="37">
        <v>35351</v>
      </c>
      <c r="V1427" s="10">
        <v>9</v>
      </c>
      <c r="W1427" s="10">
        <v>5</v>
      </c>
      <c r="X1427" s="10">
        <v>18</v>
      </c>
      <c r="Y1427" s="11">
        <v>0.28125</v>
      </c>
      <c r="Z1427" s="11">
        <v>0.15625</v>
      </c>
      <c r="AA1427" s="11">
        <v>0.5625</v>
      </c>
    </row>
    <row r="1428" spans="21:27" x14ac:dyDescent="0.25">
      <c r="U1428" s="37">
        <v>35358</v>
      </c>
      <c r="V1428" s="10">
        <v>9</v>
      </c>
      <c r="W1428" s="10">
        <v>6</v>
      </c>
      <c r="X1428" s="10">
        <v>13</v>
      </c>
      <c r="Y1428" s="11">
        <v>0.32142857142857145</v>
      </c>
      <c r="Z1428" s="11">
        <v>0.21428571428571427</v>
      </c>
      <c r="AA1428" s="11">
        <v>0.4642857142857143</v>
      </c>
    </row>
    <row r="1429" spans="21:27" x14ac:dyDescent="0.25">
      <c r="U1429" s="37">
        <v>35365</v>
      </c>
      <c r="V1429" s="10">
        <v>5</v>
      </c>
      <c r="W1429" s="10">
        <v>2</v>
      </c>
      <c r="X1429" s="10">
        <v>12</v>
      </c>
      <c r="Y1429" s="11">
        <v>0.26315789473684209</v>
      </c>
      <c r="Z1429" s="11">
        <v>0.10526315789473684</v>
      </c>
      <c r="AA1429" s="11">
        <v>0.63157894736842102</v>
      </c>
    </row>
    <row r="1430" spans="21:27" x14ac:dyDescent="0.25">
      <c r="U1430" s="37">
        <v>35370</v>
      </c>
      <c r="V1430" s="10">
        <v>5</v>
      </c>
      <c r="W1430" s="10">
        <v>2</v>
      </c>
      <c r="X1430" s="10">
        <v>9</v>
      </c>
      <c r="Y1430" s="11">
        <v>0.3125</v>
      </c>
      <c r="Z1430" s="11">
        <v>0.125</v>
      </c>
      <c r="AA1430" s="11">
        <v>0.5625</v>
      </c>
    </row>
    <row r="1431" spans="21:27" x14ac:dyDescent="0.25">
      <c r="U1431" s="37">
        <v>35372</v>
      </c>
      <c r="V1431" s="10">
        <v>8</v>
      </c>
      <c r="W1431" s="10">
        <v>4</v>
      </c>
      <c r="X1431" s="10">
        <v>5</v>
      </c>
      <c r="Y1431" s="11">
        <v>0.47058823529411764</v>
      </c>
      <c r="Z1431" s="11">
        <v>0.23529411764705882</v>
      </c>
      <c r="AA1431" s="11">
        <v>0.29411764705882354</v>
      </c>
    </row>
    <row r="1432" spans="21:27" x14ac:dyDescent="0.25">
      <c r="U1432" s="37">
        <v>35379</v>
      </c>
      <c r="V1432" s="10">
        <v>4</v>
      </c>
      <c r="W1432" s="10">
        <v>6</v>
      </c>
      <c r="X1432" s="10">
        <v>10</v>
      </c>
      <c r="Y1432" s="11">
        <v>0.2</v>
      </c>
      <c r="Z1432" s="11">
        <v>0.3</v>
      </c>
      <c r="AA1432" s="11">
        <v>0.5</v>
      </c>
    </row>
    <row r="1433" spans="21:27" x14ac:dyDescent="0.25">
      <c r="U1433" s="37">
        <v>35386</v>
      </c>
      <c r="V1433" s="10">
        <v>3</v>
      </c>
      <c r="W1433" s="10">
        <v>2</v>
      </c>
      <c r="X1433" s="10">
        <v>5</v>
      </c>
      <c r="Y1433" s="11">
        <v>0.3</v>
      </c>
      <c r="Z1433" s="11">
        <v>0.2</v>
      </c>
      <c r="AA1433" s="11">
        <v>0.5</v>
      </c>
    </row>
    <row r="1434" spans="21:27" x14ac:dyDescent="0.25">
      <c r="U1434" s="37">
        <v>35393</v>
      </c>
      <c r="V1434" s="10">
        <v>9</v>
      </c>
      <c r="W1434" s="10">
        <v>3</v>
      </c>
      <c r="X1434" s="10">
        <v>16</v>
      </c>
      <c r="Y1434" s="11">
        <v>0.32142857142857145</v>
      </c>
      <c r="Z1434" s="11">
        <v>0.10714285714285714</v>
      </c>
      <c r="AA1434" s="11">
        <v>0.5714285714285714</v>
      </c>
    </row>
    <row r="1435" spans="21:27" x14ac:dyDescent="0.25">
      <c r="U1435" s="37">
        <v>35400</v>
      </c>
      <c r="V1435" s="10">
        <v>5</v>
      </c>
      <c r="W1435" s="10">
        <v>2</v>
      </c>
      <c r="X1435" s="10">
        <v>6</v>
      </c>
      <c r="Y1435" s="11">
        <v>0.38461538461538464</v>
      </c>
      <c r="Z1435" s="11">
        <v>0.15384615384615385</v>
      </c>
      <c r="AA1435" s="11">
        <v>0.46153846153846156</v>
      </c>
    </row>
    <row r="1436" spans="21:27" x14ac:dyDescent="0.25">
      <c r="U1436" s="37">
        <v>35407</v>
      </c>
      <c r="V1436" s="10">
        <v>0</v>
      </c>
      <c r="W1436" s="10">
        <v>4</v>
      </c>
      <c r="X1436" s="10">
        <v>11</v>
      </c>
      <c r="Y1436" s="11">
        <v>0</v>
      </c>
      <c r="Z1436" s="11">
        <v>0.26666666666666666</v>
      </c>
      <c r="AA1436" s="11">
        <v>0.73333333333333328</v>
      </c>
    </row>
    <row r="1437" spans="21:27" x14ac:dyDescent="0.25">
      <c r="U1437" s="37">
        <v>35414</v>
      </c>
      <c r="V1437" s="10">
        <v>4</v>
      </c>
      <c r="W1437" s="10">
        <v>5</v>
      </c>
      <c r="X1437" s="10">
        <v>10</v>
      </c>
      <c r="Y1437" s="11">
        <v>0.21052631578947367</v>
      </c>
      <c r="Z1437" s="11">
        <v>0.26315789473684209</v>
      </c>
      <c r="AA1437" s="11">
        <v>0.52631578947368418</v>
      </c>
    </row>
    <row r="1438" spans="21:27" x14ac:dyDescent="0.25">
      <c r="U1438" s="37">
        <v>35421</v>
      </c>
      <c r="V1438" s="10">
        <v>13</v>
      </c>
      <c r="W1438" s="10">
        <v>4</v>
      </c>
      <c r="X1438" s="10">
        <v>15</v>
      </c>
      <c r="Y1438" s="11">
        <v>0.40625</v>
      </c>
      <c r="Z1438" s="11">
        <v>0.125</v>
      </c>
      <c r="AA1438" s="11">
        <v>0.46875</v>
      </c>
    </row>
    <row r="1439" spans="21:27" x14ac:dyDescent="0.25">
      <c r="U1439" s="37">
        <v>35423</v>
      </c>
      <c r="V1439" s="10">
        <v>1</v>
      </c>
      <c r="W1439" s="10">
        <v>1</v>
      </c>
      <c r="X1439" s="10">
        <v>7</v>
      </c>
      <c r="Y1439" s="11">
        <v>0.1111111111111111</v>
      </c>
      <c r="Z1439" s="11">
        <v>0.1111111111111111</v>
      </c>
      <c r="AA1439" s="11">
        <v>0.77777777777777779</v>
      </c>
    </row>
    <row r="1440" spans="21:27" x14ac:dyDescent="0.25">
      <c r="U1440" s="37">
        <v>35424</v>
      </c>
      <c r="V1440" s="10">
        <v>3</v>
      </c>
      <c r="W1440" s="10">
        <v>2</v>
      </c>
      <c r="X1440" s="10">
        <v>6</v>
      </c>
      <c r="Y1440" s="11">
        <v>0.27272727272727271</v>
      </c>
      <c r="Z1440" s="11">
        <v>0.18181818181818182</v>
      </c>
      <c r="AA1440" s="11">
        <v>0.54545454545454541</v>
      </c>
    </row>
    <row r="1441" spans="21:27" x14ac:dyDescent="0.25">
      <c r="U1441" s="37">
        <v>35428</v>
      </c>
      <c r="V1441" s="10">
        <v>11</v>
      </c>
      <c r="W1441" s="10">
        <v>5</v>
      </c>
      <c r="X1441" s="10">
        <v>15</v>
      </c>
      <c r="Y1441" s="11">
        <v>0.35483870967741937</v>
      </c>
      <c r="Z1441" s="11">
        <v>0.16129032258064516</v>
      </c>
      <c r="AA1441" s="11">
        <v>0.4838709677419355</v>
      </c>
    </row>
    <row r="1442" spans="21:27" x14ac:dyDescent="0.25">
      <c r="U1442" s="37">
        <v>35435</v>
      </c>
      <c r="V1442" s="10">
        <v>10</v>
      </c>
      <c r="W1442" s="10">
        <v>2</v>
      </c>
      <c r="X1442" s="10">
        <v>7</v>
      </c>
      <c r="Y1442" s="11">
        <v>0.52631578947368418</v>
      </c>
      <c r="Z1442" s="11">
        <v>0.10526315789473684</v>
      </c>
      <c r="AA1442" s="11">
        <v>0.36842105263157893</v>
      </c>
    </row>
    <row r="1443" spans="21:27" x14ac:dyDescent="0.25">
      <c r="U1443" s="37">
        <v>35442</v>
      </c>
      <c r="V1443" s="10">
        <v>4</v>
      </c>
      <c r="W1443" s="10">
        <v>6</v>
      </c>
      <c r="X1443" s="10">
        <v>13</v>
      </c>
      <c r="Y1443" s="11">
        <v>0.17391304347826086</v>
      </c>
      <c r="Z1443" s="11">
        <v>0.2608695652173913</v>
      </c>
      <c r="AA1443" s="11">
        <v>0.56521739130434778</v>
      </c>
    </row>
    <row r="1444" spans="21:27" x14ac:dyDescent="0.25">
      <c r="U1444" s="37">
        <v>35449</v>
      </c>
      <c r="V1444" s="10">
        <v>2</v>
      </c>
      <c r="W1444" s="10">
        <v>4</v>
      </c>
      <c r="X1444" s="10">
        <v>20</v>
      </c>
      <c r="Y1444" s="11">
        <v>7.6923076923076927E-2</v>
      </c>
      <c r="Z1444" s="11">
        <v>0.15384615384615385</v>
      </c>
      <c r="AA1444" s="11">
        <v>0.76923076923076927</v>
      </c>
    </row>
    <row r="1445" spans="21:27" x14ac:dyDescent="0.25">
      <c r="U1445" s="37">
        <v>35456</v>
      </c>
      <c r="V1445" s="10">
        <v>8</v>
      </c>
      <c r="W1445" s="10">
        <v>2</v>
      </c>
      <c r="X1445" s="10">
        <v>13</v>
      </c>
      <c r="Y1445" s="11">
        <v>0.34782608695652173</v>
      </c>
      <c r="Z1445" s="11">
        <v>8.6956521739130432E-2</v>
      </c>
      <c r="AA1445" s="11">
        <v>0.56521739130434778</v>
      </c>
    </row>
    <row r="1446" spans="21:27" x14ac:dyDescent="0.25">
      <c r="U1446" s="37">
        <v>35463</v>
      </c>
      <c r="V1446" s="10">
        <v>1</v>
      </c>
      <c r="W1446" s="10">
        <v>6</v>
      </c>
      <c r="X1446" s="10">
        <v>7</v>
      </c>
      <c r="Y1446" s="11">
        <v>7.1428571428571425E-2</v>
      </c>
      <c r="Z1446" s="11">
        <v>0.42857142857142855</v>
      </c>
      <c r="AA1446" s="11">
        <v>0.5</v>
      </c>
    </row>
    <row r="1447" spans="21:27" x14ac:dyDescent="0.25">
      <c r="U1447" s="37">
        <v>35470</v>
      </c>
      <c r="V1447" s="10">
        <v>9</v>
      </c>
      <c r="W1447" s="10">
        <v>5</v>
      </c>
      <c r="X1447" s="10">
        <v>12</v>
      </c>
      <c r="Y1447" s="11">
        <v>0.34615384615384615</v>
      </c>
      <c r="Z1447" s="11">
        <v>0.19230769230769232</v>
      </c>
      <c r="AA1447" s="11">
        <v>0.46153846153846156</v>
      </c>
    </row>
    <row r="1448" spans="21:27" x14ac:dyDescent="0.25">
      <c r="U1448" s="37">
        <v>35477</v>
      </c>
      <c r="V1448" s="10">
        <v>11</v>
      </c>
      <c r="W1448" s="10">
        <v>0</v>
      </c>
      <c r="X1448" s="10">
        <v>3</v>
      </c>
      <c r="Y1448" s="11">
        <v>0.7857142857142857</v>
      </c>
      <c r="Z1448" s="11">
        <v>0</v>
      </c>
      <c r="AA1448" s="11">
        <v>0.21428571428571427</v>
      </c>
    </row>
    <row r="1449" spans="21:27" x14ac:dyDescent="0.25">
      <c r="U1449" s="37">
        <v>35484</v>
      </c>
      <c r="V1449" s="10">
        <v>5</v>
      </c>
      <c r="W1449" s="10">
        <v>2</v>
      </c>
      <c r="X1449" s="10">
        <v>7</v>
      </c>
      <c r="Y1449" s="11">
        <v>0.35714285714285715</v>
      </c>
      <c r="Z1449" s="11">
        <v>0.14285714285714285</v>
      </c>
      <c r="AA1449" s="11">
        <v>0.5</v>
      </c>
    </row>
    <row r="1450" spans="21:27" x14ac:dyDescent="0.25">
      <c r="U1450" s="37">
        <v>35491</v>
      </c>
      <c r="V1450" s="10">
        <v>4</v>
      </c>
      <c r="W1450" s="10">
        <v>4</v>
      </c>
      <c r="X1450" s="10">
        <v>14</v>
      </c>
      <c r="Y1450" s="11">
        <v>0.18181818181818182</v>
      </c>
      <c r="Z1450" s="11">
        <v>0.18181818181818182</v>
      </c>
      <c r="AA1450" s="11">
        <v>0.63636363636363635</v>
      </c>
    </row>
    <row r="1451" spans="21:27" x14ac:dyDescent="0.25">
      <c r="U1451" s="37">
        <v>35498</v>
      </c>
      <c r="V1451" s="10">
        <v>1</v>
      </c>
      <c r="W1451" s="10">
        <v>1</v>
      </c>
      <c r="X1451" s="10">
        <v>3</v>
      </c>
      <c r="Y1451" s="11">
        <v>0.2</v>
      </c>
      <c r="Z1451" s="11">
        <v>0.2</v>
      </c>
      <c r="AA1451" s="11">
        <v>0.6</v>
      </c>
    </row>
    <row r="1452" spans="21:27" x14ac:dyDescent="0.25">
      <c r="U1452" s="37">
        <v>35505</v>
      </c>
      <c r="V1452" s="10">
        <v>5</v>
      </c>
      <c r="W1452" s="10">
        <v>3</v>
      </c>
      <c r="X1452" s="10">
        <v>3</v>
      </c>
      <c r="Y1452" s="11">
        <v>0.45454545454545453</v>
      </c>
      <c r="Z1452" s="11">
        <v>0.27272727272727271</v>
      </c>
      <c r="AA1452" s="11">
        <v>0.27272727272727271</v>
      </c>
    </row>
    <row r="1453" spans="21:27" x14ac:dyDescent="0.25">
      <c r="U1453" s="37">
        <v>35512</v>
      </c>
      <c r="V1453" s="10">
        <v>4</v>
      </c>
      <c r="W1453" s="10">
        <v>1</v>
      </c>
      <c r="X1453" s="10">
        <v>7</v>
      </c>
      <c r="Y1453" s="11">
        <v>0.33333333333333331</v>
      </c>
      <c r="Z1453" s="11">
        <v>8.3333333333333329E-2</v>
      </c>
      <c r="AA1453" s="11">
        <v>0.58333333333333337</v>
      </c>
    </row>
    <row r="1454" spans="21:27" x14ac:dyDescent="0.25">
      <c r="U1454" s="37">
        <v>35519</v>
      </c>
      <c r="V1454" s="10">
        <v>1</v>
      </c>
      <c r="W1454" s="10">
        <v>0</v>
      </c>
      <c r="X1454" s="10">
        <v>11</v>
      </c>
      <c r="Y1454" s="11">
        <v>8.3333333333333329E-2</v>
      </c>
      <c r="Z1454" s="11">
        <v>0</v>
      </c>
      <c r="AA1454" s="11">
        <v>0.91666666666666663</v>
      </c>
    </row>
    <row r="1455" spans="21:27" x14ac:dyDescent="0.25">
      <c r="U1455" s="37">
        <v>35526</v>
      </c>
      <c r="V1455" s="10">
        <v>4</v>
      </c>
      <c r="W1455" s="10">
        <v>5</v>
      </c>
      <c r="X1455" s="10">
        <v>6</v>
      </c>
      <c r="Y1455" s="11">
        <v>0.26666666666666666</v>
      </c>
      <c r="Z1455" s="11">
        <v>0.33333333333333331</v>
      </c>
      <c r="AA1455" s="11">
        <v>0.4</v>
      </c>
    </row>
    <row r="1456" spans="21:27" x14ac:dyDescent="0.25">
      <c r="U1456" s="37">
        <v>35533</v>
      </c>
      <c r="V1456" s="10">
        <v>13</v>
      </c>
      <c r="W1456" s="10">
        <v>7</v>
      </c>
      <c r="X1456" s="10">
        <v>19</v>
      </c>
      <c r="Y1456" s="11">
        <v>0.33333333333333331</v>
      </c>
      <c r="Z1456" s="11">
        <v>0.17948717948717949</v>
      </c>
      <c r="AA1456" s="11">
        <v>0.48717948717948717</v>
      </c>
    </row>
    <row r="1457" spans="21:27" x14ac:dyDescent="0.25">
      <c r="U1457" s="37">
        <v>35540</v>
      </c>
      <c r="V1457" s="10">
        <v>8</v>
      </c>
      <c r="W1457" s="10">
        <v>7</v>
      </c>
      <c r="X1457" s="10">
        <v>3</v>
      </c>
      <c r="Y1457" s="11">
        <v>0.44444444444444442</v>
      </c>
      <c r="Z1457" s="11">
        <v>0.3888888888888889</v>
      </c>
      <c r="AA1457" s="11">
        <v>0.16666666666666666</v>
      </c>
    </row>
    <row r="1458" spans="21:27" x14ac:dyDescent="0.25">
      <c r="U1458" s="37">
        <v>35547</v>
      </c>
      <c r="V1458" s="10">
        <v>8</v>
      </c>
      <c r="W1458" s="10">
        <v>12</v>
      </c>
      <c r="X1458" s="10">
        <v>15</v>
      </c>
      <c r="Y1458" s="11">
        <v>0.22857142857142856</v>
      </c>
      <c r="Z1458" s="11">
        <v>0.34285714285714286</v>
      </c>
      <c r="AA1458" s="11">
        <v>0.42857142857142855</v>
      </c>
    </row>
    <row r="1459" spans="21:27" x14ac:dyDescent="0.25">
      <c r="U1459" s="37">
        <v>35554</v>
      </c>
      <c r="V1459" s="10">
        <v>9</v>
      </c>
      <c r="W1459" s="10">
        <v>4</v>
      </c>
      <c r="X1459" s="10">
        <v>7</v>
      </c>
      <c r="Y1459" s="11">
        <v>0.45</v>
      </c>
      <c r="Z1459" s="11">
        <v>0.2</v>
      </c>
      <c r="AA1459" s="11">
        <v>0.35</v>
      </c>
    </row>
    <row r="1460" spans="21:27" x14ac:dyDescent="0.25">
      <c r="U1460" s="37">
        <v>35558</v>
      </c>
      <c r="V1460" s="10">
        <v>3</v>
      </c>
      <c r="W1460" s="10">
        <v>3</v>
      </c>
      <c r="X1460" s="10">
        <v>6</v>
      </c>
      <c r="Y1460" s="11">
        <v>0.25</v>
      </c>
      <c r="Z1460" s="11">
        <v>0.25</v>
      </c>
      <c r="AA1460" s="11">
        <v>0.5</v>
      </c>
    </row>
    <row r="1461" spans="21:27" x14ac:dyDescent="0.25">
      <c r="U1461" s="37">
        <v>35561</v>
      </c>
      <c r="V1461" s="10">
        <v>5</v>
      </c>
      <c r="W1461" s="10">
        <v>1</v>
      </c>
      <c r="X1461" s="10">
        <v>6</v>
      </c>
      <c r="Y1461" s="11">
        <v>0.41666666666666669</v>
      </c>
      <c r="Z1461" s="11">
        <v>8.3333333333333329E-2</v>
      </c>
      <c r="AA1461" s="11">
        <v>0.5</v>
      </c>
    </row>
    <row r="1462" spans="21:27" x14ac:dyDescent="0.25">
      <c r="U1462" s="37">
        <v>35568</v>
      </c>
      <c r="V1462" s="10">
        <v>18</v>
      </c>
      <c r="W1462" s="10">
        <v>6</v>
      </c>
      <c r="X1462" s="10">
        <v>25</v>
      </c>
      <c r="Y1462" s="11">
        <v>0.36734693877551022</v>
      </c>
      <c r="Z1462" s="11">
        <v>0.12244897959183673</v>
      </c>
      <c r="AA1462" s="11">
        <v>0.51020408163265307</v>
      </c>
    </row>
    <row r="1463" spans="21:27" x14ac:dyDescent="0.25">
      <c r="U1463" s="37">
        <v>35575</v>
      </c>
      <c r="V1463" s="10">
        <v>9</v>
      </c>
      <c r="W1463" s="10">
        <v>7</v>
      </c>
      <c r="X1463" s="10">
        <v>3</v>
      </c>
      <c r="Y1463" s="11">
        <v>0.47368421052631576</v>
      </c>
      <c r="Z1463" s="11">
        <v>0.36842105263157893</v>
      </c>
      <c r="AA1463" s="11">
        <v>0.15789473684210525</v>
      </c>
    </row>
    <row r="1464" spans="21:27" x14ac:dyDescent="0.25">
      <c r="U1464" s="37">
        <v>35582</v>
      </c>
      <c r="V1464" s="10">
        <v>5</v>
      </c>
      <c r="W1464" s="10">
        <v>5</v>
      </c>
      <c r="X1464" s="10">
        <v>15</v>
      </c>
      <c r="Y1464" s="11">
        <v>0.2</v>
      </c>
      <c r="Z1464" s="11">
        <v>0.2</v>
      </c>
      <c r="AA1464" s="11">
        <v>0.6</v>
      </c>
    </row>
    <row r="1465" spans="21:27" x14ac:dyDescent="0.25">
      <c r="U1465" s="37">
        <v>35589</v>
      </c>
      <c r="V1465" s="10">
        <v>2</v>
      </c>
      <c r="W1465" s="10">
        <v>4</v>
      </c>
      <c r="X1465" s="10">
        <v>16</v>
      </c>
      <c r="Y1465" s="11">
        <v>9.0909090909090912E-2</v>
      </c>
      <c r="Z1465" s="11">
        <v>0.18181818181818182</v>
      </c>
      <c r="AA1465" s="11">
        <v>0.72727272727272729</v>
      </c>
    </row>
    <row r="1466" spans="21:27" x14ac:dyDescent="0.25">
      <c r="U1466" s="37">
        <v>35596</v>
      </c>
      <c r="V1466" s="10">
        <v>3</v>
      </c>
      <c r="W1466" s="10">
        <v>3</v>
      </c>
      <c r="X1466" s="10">
        <v>8</v>
      </c>
      <c r="Y1466" s="11">
        <v>0.21428571428571427</v>
      </c>
      <c r="Z1466" s="11">
        <v>0.21428571428571427</v>
      </c>
      <c r="AA1466" s="11">
        <v>0.5714285714285714</v>
      </c>
    </row>
    <row r="1467" spans="21:27" x14ac:dyDescent="0.25">
      <c r="U1467" s="37">
        <v>35603</v>
      </c>
      <c r="V1467" s="10">
        <v>4</v>
      </c>
      <c r="W1467" s="10">
        <v>3</v>
      </c>
      <c r="X1467" s="10">
        <v>5</v>
      </c>
      <c r="Y1467" s="11">
        <v>0.33333333333333331</v>
      </c>
      <c r="Z1467" s="11">
        <v>0.25</v>
      </c>
      <c r="AA1467" s="11">
        <v>0.41666666666666669</v>
      </c>
    </row>
    <row r="1468" spans="21:27" x14ac:dyDescent="0.25">
      <c r="U1468" s="37">
        <v>35610</v>
      </c>
      <c r="V1468" s="10">
        <v>2</v>
      </c>
      <c r="W1468" s="10">
        <v>6</v>
      </c>
      <c r="X1468" s="10">
        <v>13</v>
      </c>
      <c r="Y1468" s="11">
        <v>9.5238095238095233E-2</v>
      </c>
      <c r="Z1468" s="11">
        <v>0.2857142857142857</v>
      </c>
      <c r="AA1468" s="11">
        <v>0.61904761904761907</v>
      </c>
    </row>
    <row r="1469" spans="21:27" x14ac:dyDescent="0.25">
      <c r="U1469" s="37">
        <v>35617</v>
      </c>
      <c r="V1469" s="10">
        <v>5</v>
      </c>
      <c r="W1469" s="10">
        <v>6</v>
      </c>
      <c r="X1469" s="10">
        <v>11</v>
      </c>
      <c r="Y1469" s="11">
        <v>0.22727272727272727</v>
      </c>
      <c r="Z1469" s="11">
        <v>0.27272727272727271</v>
      </c>
      <c r="AA1469" s="11">
        <v>0.5</v>
      </c>
    </row>
    <row r="1470" spans="21:27" x14ac:dyDescent="0.25">
      <c r="U1470" s="37">
        <v>35624</v>
      </c>
      <c r="V1470" s="10">
        <v>3</v>
      </c>
      <c r="W1470" s="10">
        <v>4</v>
      </c>
      <c r="X1470" s="10">
        <v>6</v>
      </c>
      <c r="Y1470" s="11">
        <v>0.23076923076923078</v>
      </c>
      <c r="Z1470" s="11">
        <v>0.30769230769230771</v>
      </c>
      <c r="AA1470" s="11">
        <v>0.46153846153846156</v>
      </c>
    </row>
    <row r="1471" spans="21:27" x14ac:dyDescent="0.25">
      <c r="U1471" s="37">
        <v>35631</v>
      </c>
      <c r="V1471" s="10">
        <v>2</v>
      </c>
      <c r="W1471" s="10">
        <v>1</v>
      </c>
      <c r="X1471" s="10">
        <v>10</v>
      </c>
      <c r="Y1471" s="11">
        <v>0.15384615384615385</v>
      </c>
      <c r="Z1471" s="11">
        <v>7.6923076923076927E-2</v>
      </c>
      <c r="AA1471" s="11">
        <v>0.76923076923076927</v>
      </c>
    </row>
    <row r="1472" spans="21:27" x14ac:dyDescent="0.25">
      <c r="U1472" s="37">
        <v>35638</v>
      </c>
      <c r="V1472" s="10">
        <v>4</v>
      </c>
      <c r="W1472" s="10">
        <v>1</v>
      </c>
      <c r="X1472" s="10">
        <v>7</v>
      </c>
      <c r="Y1472" s="11">
        <v>0.33333333333333331</v>
      </c>
      <c r="Z1472" s="11">
        <v>8.3333333333333329E-2</v>
      </c>
      <c r="AA1472" s="11">
        <v>0.58333333333333337</v>
      </c>
    </row>
    <row r="1473" spans="21:27" x14ac:dyDescent="0.25">
      <c r="U1473" s="37">
        <v>35645</v>
      </c>
      <c r="V1473" s="10">
        <v>3</v>
      </c>
      <c r="W1473" s="10">
        <v>1</v>
      </c>
      <c r="X1473" s="10">
        <v>6</v>
      </c>
      <c r="Y1473" s="11">
        <v>0.3</v>
      </c>
      <c r="Z1473" s="11">
        <v>0.1</v>
      </c>
      <c r="AA1473" s="11">
        <v>0.6</v>
      </c>
    </row>
    <row r="1474" spans="21:27" x14ac:dyDescent="0.25">
      <c r="U1474" s="37">
        <v>35652</v>
      </c>
      <c r="V1474" s="10">
        <v>13</v>
      </c>
      <c r="W1474" s="10">
        <v>15</v>
      </c>
      <c r="X1474" s="10">
        <v>20</v>
      </c>
      <c r="Y1474" s="11">
        <v>0.27083333333333331</v>
      </c>
      <c r="Z1474" s="11">
        <v>0.3125</v>
      </c>
      <c r="AA1474" s="11">
        <v>0.41666666666666669</v>
      </c>
    </row>
    <row r="1475" spans="21:27" x14ac:dyDescent="0.25">
      <c r="U1475" s="37">
        <v>35657</v>
      </c>
      <c r="V1475" s="10">
        <v>3</v>
      </c>
      <c r="W1475" s="10">
        <v>1</v>
      </c>
      <c r="X1475" s="10">
        <v>13</v>
      </c>
      <c r="Y1475" s="11">
        <v>0.17647058823529413</v>
      </c>
      <c r="Z1475" s="11">
        <v>5.8823529411764705E-2</v>
      </c>
      <c r="AA1475" s="11">
        <v>0.76470588235294112</v>
      </c>
    </row>
    <row r="1476" spans="21:27" x14ac:dyDescent="0.25">
      <c r="U1476" s="37">
        <v>35659</v>
      </c>
      <c r="V1476" s="10">
        <v>11</v>
      </c>
      <c r="W1476" s="10">
        <v>3</v>
      </c>
      <c r="X1476" s="10">
        <v>5</v>
      </c>
      <c r="Y1476" s="11">
        <v>0.57894736842105265</v>
      </c>
      <c r="Z1476" s="11">
        <v>0.15789473684210525</v>
      </c>
      <c r="AA1476" s="11">
        <v>0.26315789473684209</v>
      </c>
    </row>
    <row r="1477" spans="21:27" x14ac:dyDescent="0.25">
      <c r="U1477" s="37">
        <v>35666</v>
      </c>
      <c r="V1477" s="10">
        <v>18</v>
      </c>
      <c r="W1477" s="10">
        <v>12</v>
      </c>
      <c r="X1477" s="10">
        <v>28</v>
      </c>
      <c r="Y1477" s="11">
        <v>0.31034482758620691</v>
      </c>
      <c r="Z1477" s="11">
        <v>0.20689655172413793</v>
      </c>
      <c r="AA1477" s="11">
        <v>0.48275862068965519</v>
      </c>
    </row>
    <row r="1478" spans="21:27" x14ac:dyDescent="0.25">
      <c r="U1478" s="37">
        <v>35673</v>
      </c>
      <c r="V1478" s="10">
        <v>3</v>
      </c>
      <c r="W1478" s="10">
        <v>1</v>
      </c>
      <c r="X1478" s="10">
        <v>3</v>
      </c>
      <c r="Y1478" s="11">
        <v>0.42857142857142855</v>
      </c>
      <c r="Z1478" s="11">
        <v>0.14285714285714285</v>
      </c>
      <c r="AA1478" s="11">
        <v>0.42857142857142855</v>
      </c>
    </row>
    <row r="1479" spans="21:27" x14ac:dyDescent="0.25">
      <c r="U1479" s="37">
        <v>35680</v>
      </c>
      <c r="V1479" s="10">
        <v>5</v>
      </c>
      <c r="W1479" s="10">
        <v>4</v>
      </c>
      <c r="X1479" s="10">
        <v>4</v>
      </c>
      <c r="Y1479" s="11">
        <v>0.38461538461538464</v>
      </c>
      <c r="Z1479" s="11">
        <v>0.30769230769230771</v>
      </c>
      <c r="AA1479" s="11">
        <v>0.30769230769230771</v>
      </c>
    </row>
    <row r="1480" spans="21:27" x14ac:dyDescent="0.25">
      <c r="U1480" s="37">
        <v>35687</v>
      </c>
      <c r="V1480" s="10">
        <v>10</v>
      </c>
      <c r="W1480" s="10">
        <v>5</v>
      </c>
      <c r="X1480" s="10">
        <v>4</v>
      </c>
      <c r="Y1480" s="11">
        <v>0.52631578947368418</v>
      </c>
      <c r="Z1480" s="11">
        <v>0.26315789473684209</v>
      </c>
      <c r="AA1480" s="11">
        <v>0.21052631578947367</v>
      </c>
    </row>
    <row r="1481" spans="21:27" x14ac:dyDescent="0.25">
      <c r="U1481" s="37">
        <v>35694</v>
      </c>
      <c r="V1481" s="10">
        <v>8</v>
      </c>
      <c r="W1481" s="10">
        <v>12</v>
      </c>
      <c r="X1481" s="10">
        <v>5</v>
      </c>
      <c r="Y1481" s="11">
        <v>0.32</v>
      </c>
      <c r="Z1481" s="11">
        <v>0.48</v>
      </c>
      <c r="AA1481" s="11">
        <v>0.2</v>
      </c>
    </row>
    <row r="1482" spans="21:27" x14ac:dyDescent="0.25">
      <c r="U1482" s="37">
        <v>35701</v>
      </c>
      <c r="V1482" s="10">
        <v>8</v>
      </c>
      <c r="W1482" s="10">
        <v>8</v>
      </c>
      <c r="X1482" s="10">
        <v>10</v>
      </c>
      <c r="Y1482" s="11">
        <v>0.30769230769230771</v>
      </c>
      <c r="Z1482" s="11">
        <v>0.30769230769230771</v>
      </c>
      <c r="AA1482" s="11">
        <v>0.38461538461538464</v>
      </c>
    </row>
    <row r="1483" spans="21:27" x14ac:dyDescent="0.25">
      <c r="U1483" s="37">
        <v>35708</v>
      </c>
      <c r="V1483" s="10">
        <v>5</v>
      </c>
      <c r="W1483" s="10">
        <v>1</v>
      </c>
      <c r="X1483" s="10">
        <v>2</v>
      </c>
      <c r="Y1483" s="11">
        <v>0.625</v>
      </c>
      <c r="Z1483" s="11">
        <v>0.125</v>
      </c>
      <c r="AA1483" s="11">
        <v>0.25</v>
      </c>
    </row>
    <row r="1484" spans="21:27" x14ac:dyDescent="0.25">
      <c r="U1484" s="37">
        <v>35715</v>
      </c>
      <c r="V1484" s="10">
        <v>8</v>
      </c>
      <c r="W1484" s="10">
        <v>0</v>
      </c>
      <c r="X1484" s="10">
        <v>5</v>
      </c>
      <c r="Y1484" s="11">
        <v>0.61538461538461542</v>
      </c>
      <c r="Z1484" s="11">
        <v>0</v>
      </c>
      <c r="AA1484" s="11">
        <v>0.38461538461538464</v>
      </c>
    </row>
    <row r="1485" spans="21:27" x14ac:dyDescent="0.25">
      <c r="U1485" s="37">
        <v>35722</v>
      </c>
      <c r="V1485" s="10">
        <v>8</v>
      </c>
      <c r="W1485" s="10">
        <v>4</v>
      </c>
      <c r="X1485" s="10">
        <v>10</v>
      </c>
      <c r="Y1485" s="11">
        <v>0.36363636363636365</v>
      </c>
      <c r="Z1485" s="11">
        <v>0.18181818181818182</v>
      </c>
      <c r="AA1485" s="11">
        <v>0.45454545454545453</v>
      </c>
    </row>
    <row r="1486" spans="21:27" x14ac:dyDescent="0.25">
      <c r="U1486" s="37">
        <v>35729</v>
      </c>
      <c r="V1486" s="10">
        <v>15</v>
      </c>
      <c r="W1486" s="10">
        <v>10</v>
      </c>
      <c r="X1486" s="10">
        <v>6</v>
      </c>
      <c r="Y1486" s="11">
        <v>0.4838709677419355</v>
      </c>
      <c r="Z1486" s="11">
        <v>0.32258064516129031</v>
      </c>
      <c r="AA1486" s="11">
        <v>0.19354838709677419</v>
      </c>
    </row>
    <row r="1487" spans="21:27" x14ac:dyDescent="0.25">
      <c r="U1487" s="37">
        <v>35735</v>
      </c>
      <c r="V1487" s="10">
        <v>3</v>
      </c>
      <c r="W1487" s="10">
        <v>1</v>
      </c>
      <c r="X1487" s="10">
        <v>0</v>
      </c>
      <c r="Y1487" s="11">
        <v>0.75</v>
      </c>
      <c r="Z1487" s="11">
        <v>0.25</v>
      </c>
      <c r="AA1487" s="11">
        <v>0</v>
      </c>
    </row>
    <row r="1488" spans="21:27" x14ac:dyDescent="0.25">
      <c r="U1488" s="37">
        <v>35736</v>
      </c>
      <c r="V1488" s="10">
        <v>1</v>
      </c>
      <c r="W1488" s="10">
        <v>5</v>
      </c>
      <c r="X1488" s="10">
        <v>0</v>
      </c>
      <c r="Y1488" s="11">
        <v>0.16666666666666666</v>
      </c>
      <c r="Z1488" s="11">
        <v>0.83333333333333337</v>
      </c>
      <c r="AA1488" s="11">
        <v>0</v>
      </c>
    </row>
    <row r="1489" spans="21:27" x14ac:dyDescent="0.25">
      <c r="U1489" s="37">
        <v>35743</v>
      </c>
      <c r="V1489" s="10">
        <v>12</v>
      </c>
      <c r="W1489" s="10">
        <v>1</v>
      </c>
      <c r="X1489" s="10">
        <v>13</v>
      </c>
      <c r="Y1489" s="11">
        <v>0.46153846153846156</v>
      </c>
      <c r="Z1489" s="11">
        <v>3.8461538461538464E-2</v>
      </c>
      <c r="AA1489" s="11">
        <v>0.5</v>
      </c>
    </row>
    <row r="1490" spans="21:27" x14ac:dyDescent="0.25">
      <c r="U1490" s="37">
        <v>35750</v>
      </c>
      <c r="V1490" s="10">
        <v>20</v>
      </c>
      <c r="W1490" s="10">
        <v>4</v>
      </c>
      <c r="X1490" s="10">
        <v>12</v>
      </c>
      <c r="Y1490" s="11">
        <v>0.55555555555555558</v>
      </c>
      <c r="Z1490" s="11">
        <v>0.1111111111111111</v>
      </c>
      <c r="AA1490" s="11">
        <v>0.33333333333333331</v>
      </c>
    </row>
    <row r="1491" spans="21:27" x14ac:dyDescent="0.25">
      <c r="U1491" s="37">
        <v>35757</v>
      </c>
      <c r="V1491" s="10">
        <v>17</v>
      </c>
      <c r="W1491" s="10">
        <v>4</v>
      </c>
      <c r="X1491" s="10">
        <v>11</v>
      </c>
      <c r="Y1491" s="11">
        <v>0.53125</v>
      </c>
      <c r="Z1491" s="11">
        <v>0.125</v>
      </c>
      <c r="AA1491" s="11">
        <v>0.34375</v>
      </c>
    </row>
    <row r="1492" spans="21:27" x14ac:dyDescent="0.25">
      <c r="U1492" s="37">
        <v>35764</v>
      </c>
      <c r="V1492" s="10">
        <v>2</v>
      </c>
      <c r="W1492" s="10">
        <v>2</v>
      </c>
      <c r="X1492" s="10">
        <v>7</v>
      </c>
      <c r="Y1492" s="11">
        <v>0.18181818181818182</v>
      </c>
      <c r="Z1492" s="11">
        <v>0.18181818181818182</v>
      </c>
      <c r="AA1492" s="11">
        <v>0.63636363636363635</v>
      </c>
    </row>
    <row r="1493" spans="21:27" x14ac:dyDescent="0.25">
      <c r="U1493" s="37">
        <v>35771</v>
      </c>
      <c r="V1493" s="10">
        <v>3</v>
      </c>
      <c r="W1493" s="10">
        <v>1</v>
      </c>
      <c r="X1493" s="10">
        <v>15</v>
      </c>
      <c r="Y1493" s="11">
        <v>0.15789473684210525</v>
      </c>
      <c r="Z1493" s="11">
        <v>5.2631578947368418E-2</v>
      </c>
      <c r="AA1493" s="11">
        <v>0.78947368421052633</v>
      </c>
    </row>
    <row r="1494" spans="21:27" x14ac:dyDescent="0.25">
      <c r="U1494" s="37">
        <v>35778</v>
      </c>
      <c r="V1494" s="10">
        <v>11</v>
      </c>
      <c r="W1494" s="10">
        <v>3</v>
      </c>
      <c r="X1494" s="10">
        <v>3</v>
      </c>
      <c r="Y1494" s="11">
        <v>0.6470588235294118</v>
      </c>
      <c r="Z1494" s="11">
        <v>0.17647058823529413</v>
      </c>
      <c r="AA1494" s="11">
        <v>0.17647058823529413</v>
      </c>
    </row>
    <row r="1495" spans="21:27" x14ac:dyDescent="0.25">
      <c r="U1495" s="37">
        <v>35785</v>
      </c>
      <c r="V1495" s="10">
        <v>3</v>
      </c>
      <c r="W1495" s="10">
        <v>7</v>
      </c>
      <c r="X1495" s="10">
        <v>7</v>
      </c>
      <c r="Y1495" s="11">
        <v>0.17647058823529413</v>
      </c>
      <c r="Z1495" s="11">
        <v>0.41176470588235292</v>
      </c>
      <c r="AA1495" s="11">
        <v>0.41176470588235292</v>
      </c>
    </row>
    <row r="1496" spans="21:27" x14ac:dyDescent="0.25">
      <c r="U1496" s="37">
        <v>35788</v>
      </c>
      <c r="V1496" s="10">
        <v>2</v>
      </c>
      <c r="W1496" s="10">
        <v>6</v>
      </c>
      <c r="X1496" s="10">
        <v>2</v>
      </c>
      <c r="Y1496" s="11">
        <v>0.2</v>
      </c>
      <c r="Z1496" s="11">
        <v>0.6</v>
      </c>
      <c r="AA1496" s="11">
        <v>0.2</v>
      </c>
    </row>
    <row r="1497" spans="21:27" x14ac:dyDescent="0.25">
      <c r="U1497" s="37">
        <v>35789</v>
      </c>
      <c r="V1497" s="10">
        <v>9</v>
      </c>
      <c r="W1497" s="10">
        <v>2</v>
      </c>
      <c r="X1497" s="10">
        <v>12</v>
      </c>
      <c r="Y1497" s="11">
        <v>0.39130434782608697</v>
      </c>
      <c r="Z1497" s="11">
        <v>8.6956521739130432E-2</v>
      </c>
      <c r="AA1497" s="11">
        <v>0.52173913043478259</v>
      </c>
    </row>
    <row r="1498" spans="21:27" x14ac:dyDescent="0.25">
      <c r="U1498" s="37">
        <v>35792</v>
      </c>
      <c r="V1498" s="10">
        <v>3</v>
      </c>
      <c r="W1498" s="10">
        <v>5</v>
      </c>
      <c r="X1498" s="10">
        <v>11</v>
      </c>
      <c r="Y1498" s="11">
        <v>0.15789473684210525</v>
      </c>
      <c r="Z1498" s="11">
        <v>0.26315789473684209</v>
      </c>
      <c r="AA1498" s="11">
        <v>0.57894736842105265</v>
      </c>
    </row>
    <row r="1499" spans="21:27" x14ac:dyDescent="0.25">
      <c r="U1499" s="37">
        <v>35799</v>
      </c>
      <c r="V1499" s="10">
        <v>5</v>
      </c>
      <c r="W1499" s="10">
        <v>1</v>
      </c>
      <c r="X1499" s="10">
        <v>10</v>
      </c>
      <c r="Y1499" s="11">
        <v>0.3125</v>
      </c>
      <c r="Z1499" s="11">
        <v>6.25E-2</v>
      </c>
      <c r="AA1499" s="11">
        <v>0.625</v>
      </c>
    </row>
    <row r="1500" spans="21:27" x14ac:dyDescent="0.25">
      <c r="U1500" s="37">
        <v>35806</v>
      </c>
      <c r="V1500" s="10">
        <v>8</v>
      </c>
      <c r="W1500" s="10">
        <v>7</v>
      </c>
      <c r="X1500" s="10">
        <v>19</v>
      </c>
      <c r="Y1500" s="11">
        <v>0.23529411764705882</v>
      </c>
      <c r="Z1500" s="11">
        <v>0.20588235294117646</v>
      </c>
      <c r="AA1500" s="11">
        <v>0.55882352941176472</v>
      </c>
    </row>
    <row r="1501" spans="21:27" x14ac:dyDescent="0.25">
      <c r="U1501" s="37">
        <v>35813</v>
      </c>
      <c r="V1501" s="10">
        <v>5</v>
      </c>
      <c r="W1501" s="10">
        <v>5</v>
      </c>
      <c r="X1501" s="10">
        <v>7</v>
      </c>
      <c r="Y1501" s="11">
        <v>0.29411764705882354</v>
      </c>
      <c r="Z1501" s="11">
        <v>0.29411764705882354</v>
      </c>
      <c r="AA1501" s="11">
        <v>0.41176470588235292</v>
      </c>
    </row>
    <row r="1502" spans="21:27" x14ac:dyDescent="0.25">
      <c r="U1502" s="37">
        <v>35820</v>
      </c>
      <c r="V1502" s="10">
        <v>8</v>
      </c>
      <c r="W1502" s="10">
        <v>5</v>
      </c>
      <c r="X1502" s="10">
        <v>7</v>
      </c>
      <c r="Y1502" s="11">
        <v>0.4</v>
      </c>
      <c r="Z1502" s="11">
        <v>0.25</v>
      </c>
      <c r="AA1502" s="11">
        <v>0.35</v>
      </c>
    </row>
    <row r="1503" spans="21:27" x14ac:dyDescent="0.25">
      <c r="U1503" s="37">
        <v>35827</v>
      </c>
      <c r="V1503" s="10">
        <v>5</v>
      </c>
      <c r="W1503" s="10">
        <v>2</v>
      </c>
      <c r="X1503" s="10">
        <v>3</v>
      </c>
      <c r="Y1503" s="11">
        <v>0.5</v>
      </c>
      <c r="Z1503" s="11">
        <v>0.2</v>
      </c>
      <c r="AA1503" s="11">
        <v>0.3</v>
      </c>
    </row>
    <row r="1504" spans="21:27" x14ac:dyDescent="0.25">
      <c r="U1504" s="37">
        <v>35834</v>
      </c>
      <c r="V1504" s="10">
        <v>6</v>
      </c>
      <c r="W1504" s="10">
        <v>4</v>
      </c>
      <c r="X1504" s="10">
        <v>11</v>
      </c>
      <c r="Y1504" s="11">
        <v>0.2857142857142857</v>
      </c>
      <c r="Z1504" s="11">
        <v>0.19047619047619047</v>
      </c>
      <c r="AA1504" s="11">
        <v>0.52380952380952384</v>
      </c>
    </row>
    <row r="1505" spans="21:27" x14ac:dyDescent="0.25">
      <c r="U1505" s="37">
        <v>35841</v>
      </c>
      <c r="V1505" s="10">
        <v>11</v>
      </c>
      <c r="W1505" s="10">
        <v>1</v>
      </c>
      <c r="X1505" s="10">
        <v>6</v>
      </c>
      <c r="Y1505" s="11">
        <v>0.61111111111111116</v>
      </c>
      <c r="Z1505" s="11">
        <v>5.5555555555555552E-2</v>
      </c>
      <c r="AA1505" s="11">
        <v>0.33333333333333331</v>
      </c>
    </row>
    <row r="1506" spans="21:27" x14ac:dyDescent="0.25">
      <c r="U1506" s="37">
        <v>35848</v>
      </c>
      <c r="V1506" s="10">
        <v>3</v>
      </c>
      <c r="W1506" s="10">
        <v>3</v>
      </c>
      <c r="X1506" s="10">
        <v>11</v>
      </c>
      <c r="Y1506" s="11">
        <v>0.17647058823529413</v>
      </c>
      <c r="Z1506" s="11">
        <v>0.17647058823529413</v>
      </c>
      <c r="AA1506" s="11">
        <v>0.6470588235294118</v>
      </c>
    </row>
    <row r="1507" spans="21:27" x14ac:dyDescent="0.25">
      <c r="U1507" s="37">
        <v>35855</v>
      </c>
      <c r="V1507" s="10">
        <v>18</v>
      </c>
      <c r="W1507" s="10">
        <v>3</v>
      </c>
      <c r="X1507" s="10">
        <v>9</v>
      </c>
      <c r="Y1507" s="11">
        <v>0.6</v>
      </c>
      <c r="Z1507" s="11">
        <v>0.1</v>
      </c>
      <c r="AA1507" s="11">
        <v>0.3</v>
      </c>
    </row>
    <row r="1508" spans="21:27" x14ac:dyDescent="0.25">
      <c r="U1508" s="37">
        <v>35862</v>
      </c>
      <c r="V1508" s="10">
        <v>6</v>
      </c>
      <c r="W1508" s="10">
        <v>3</v>
      </c>
      <c r="X1508" s="10">
        <v>10</v>
      </c>
      <c r="Y1508" s="11">
        <v>0.31578947368421051</v>
      </c>
      <c r="Z1508" s="11">
        <v>0.15789473684210525</v>
      </c>
      <c r="AA1508" s="11">
        <v>0.52631578947368418</v>
      </c>
    </row>
    <row r="1509" spans="21:27" x14ac:dyDescent="0.25">
      <c r="U1509" s="37">
        <v>35869</v>
      </c>
      <c r="V1509" s="10">
        <v>16</v>
      </c>
      <c r="W1509" s="10">
        <v>6</v>
      </c>
      <c r="X1509" s="10">
        <v>2</v>
      </c>
      <c r="Y1509" s="11">
        <v>0.66666666666666663</v>
      </c>
      <c r="Z1509" s="11">
        <v>0.25</v>
      </c>
      <c r="AA1509" s="11">
        <v>8.3333333333333329E-2</v>
      </c>
    </row>
    <row r="1510" spans="21:27" x14ac:dyDescent="0.25">
      <c r="U1510" s="37">
        <v>35876</v>
      </c>
      <c r="V1510" s="10">
        <v>10</v>
      </c>
      <c r="W1510" s="10">
        <v>1</v>
      </c>
      <c r="X1510" s="10">
        <v>7</v>
      </c>
      <c r="Y1510" s="11">
        <v>0.55555555555555558</v>
      </c>
      <c r="Z1510" s="11">
        <v>5.5555555555555552E-2</v>
      </c>
      <c r="AA1510" s="11">
        <v>0.3888888888888889</v>
      </c>
    </row>
    <row r="1511" spans="21:27" x14ac:dyDescent="0.25">
      <c r="U1511" s="37">
        <v>35883</v>
      </c>
      <c r="V1511" s="10">
        <v>8</v>
      </c>
      <c r="W1511" s="10">
        <v>5</v>
      </c>
      <c r="X1511" s="10">
        <v>8</v>
      </c>
      <c r="Y1511" s="11">
        <v>0.38095238095238093</v>
      </c>
      <c r="Z1511" s="11">
        <v>0.23809523809523808</v>
      </c>
      <c r="AA1511" s="11">
        <v>0.38095238095238093</v>
      </c>
    </row>
    <row r="1512" spans="21:27" x14ac:dyDescent="0.25">
      <c r="U1512" s="37">
        <v>35890</v>
      </c>
      <c r="V1512" s="10">
        <v>4</v>
      </c>
      <c r="W1512" s="10">
        <v>3</v>
      </c>
      <c r="X1512" s="10">
        <v>9</v>
      </c>
      <c r="Y1512" s="11">
        <v>0.25</v>
      </c>
      <c r="Z1512" s="11">
        <v>0.1875</v>
      </c>
      <c r="AA1512" s="11">
        <v>0.5625</v>
      </c>
    </row>
    <row r="1513" spans="21:27" x14ac:dyDescent="0.25">
      <c r="U1513" s="37">
        <v>35897</v>
      </c>
      <c r="V1513" s="10">
        <v>10</v>
      </c>
      <c r="W1513" s="10">
        <v>2</v>
      </c>
      <c r="X1513" s="10">
        <v>5</v>
      </c>
      <c r="Y1513" s="11">
        <v>0.58823529411764708</v>
      </c>
      <c r="Z1513" s="11">
        <v>0.11764705882352941</v>
      </c>
      <c r="AA1513" s="11">
        <v>0.29411764705882354</v>
      </c>
    </row>
    <row r="1514" spans="21:27" x14ac:dyDescent="0.25">
      <c r="U1514" s="37">
        <v>35904</v>
      </c>
      <c r="V1514" s="10">
        <v>9</v>
      </c>
      <c r="W1514" s="10">
        <v>8</v>
      </c>
      <c r="X1514" s="10">
        <v>7</v>
      </c>
      <c r="Y1514" s="11">
        <v>0.375</v>
      </c>
      <c r="Z1514" s="11">
        <v>0.33333333333333331</v>
      </c>
      <c r="AA1514" s="11">
        <v>0.29166666666666669</v>
      </c>
    </row>
    <row r="1515" spans="21:27" x14ac:dyDescent="0.25">
      <c r="U1515" s="37">
        <v>35911</v>
      </c>
      <c r="V1515" s="10">
        <v>8</v>
      </c>
      <c r="W1515" s="10">
        <v>11</v>
      </c>
      <c r="X1515" s="10">
        <v>6</v>
      </c>
      <c r="Y1515" s="11">
        <v>0.32</v>
      </c>
      <c r="Z1515" s="11">
        <v>0.44</v>
      </c>
      <c r="AA1515" s="11">
        <v>0.24</v>
      </c>
    </row>
    <row r="1516" spans="21:27" x14ac:dyDescent="0.25">
      <c r="U1516" s="37">
        <v>35918</v>
      </c>
      <c r="V1516" s="10">
        <v>6</v>
      </c>
      <c r="W1516" s="10">
        <v>8</v>
      </c>
      <c r="X1516" s="10">
        <v>11</v>
      </c>
      <c r="Y1516" s="11">
        <v>0.24</v>
      </c>
      <c r="Z1516" s="11">
        <v>0.32</v>
      </c>
      <c r="AA1516" s="11">
        <v>0.44</v>
      </c>
    </row>
    <row r="1517" spans="21:27" x14ac:dyDescent="0.25">
      <c r="U1517" s="37">
        <v>35925</v>
      </c>
      <c r="V1517" s="10">
        <v>12</v>
      </c>
      <c r="W1517" s="10">
        <v>5</v>
      </c>
      <c r="X1517" s="10">
        <v>7</v>
      </c>
      <c r="Y1517" s="11">
        <v>0.5</v>
      </c>
      <c r="Z1517" s="11">
        <v>0.20833333333333334</v>
      </c>
      <c r="AA1517" s="11">
        <v>0.29166666666666669</v>
      </c>
    </row>
    <row r="1518" spans="21:27" x14ac:dyDescent="0.25">
      <c r="U1518" s="37">
        <v>35932</v>
      </c>
      <c r="V1518" s="10">
        <v>13</v>
      </c>
      <c r="W1518" s="10">
        <v>3</v>
      </c>
      <c r="X1518" s="10">
        <v>8</v>
      </c>
      <c r="Y1518" s="11">
        <v>0.54166666666666663</v>
      </c>
      <c r="Z1518" s="11">
        <v>0.125</v>
      </c>
      <c r="AA1518" s="11">
        <v>0.33333333333333331</v>
      </c>
    </row>
    <row r="1519" spans="21:27" x14ac:dyDescent="0.25">
      <c r="U1519" s="37">
        <v>35936</v>
      </c>
      <c r="V1519" s="10">
        <v>2</v>
      </c>
      <c r="W1519" s="10">
        <v>7</v>
      </c>
      <c r="X1519" s="10">
        <v>9</v>
      </c>
      <c r="Y1519" s="11">
        <v>0.1111111111111111</v>
      </c>
      <c r="Z1519" s="11">
        <v>0.3888888888888889</v>
      </c>
      <c r="AA1519" s="11">
        <v>0.5</v>
      </c>
    </row>
    <row r="1520" spans="21:27" x14ac:dyDescent="0.25">
      <c r="U1520" s="37">
        <v>35939</v>
      </c>
      <c r="V1520" s="10">
        <v>3</v>
      </c>
      <c r="W1520" s="10">
        <v>6</v>
      </c>
      <c r="X1520" s="10">
        <v>3</v>
      </c>
      <c r="Y1520" s="11">
        <v>0.25</v>
      </c>
      <c r="Z1520" s="11">
        <v>0.5</v>
      </c>
      <c r="AA1520" s="11">
        <v>0.25</v>
      </c>
    </row>
    <row r="1521" spans="21:27" x14ac:dyDescent="0.25">
      <c r="U1521" s="37">
        <v>35946</v>
      </c>
      <c r="V1521" s="10">
        <v>2</v>
      </c>
      <c r="W1521" s="10">
        <v>0</v>
      </c>
      <c r="X1521" s="10">
        <v>7</v>
      </c>
      <c r="Y1521" s="11">
        <v>0.22222222222222221</v>
      </c>
      <c r="Z1521" s="11">
        <v>0</v>
      </c>
      <c r="AA1521" s="11">
        <v>0.77777777777777779</v>
      </c>
    </row>
    <row r="1522" spans="21:27" x14ac:dyDescent="0.25">
      <c r="U1522" s="37">
        <v>35953</v>
      </c>
      <c r="V1522" s="10">
        <v>5</v>
      </c>
      <c r="W1522" s="10">
        <v>7</v>
      </c>
      <c r="X1522" s="10">
        <v>15</v>
      </c>
      <c r="Y1522" s="11">
        <v>0.18518518518518517</v>
      </c>
      <c r="Z1522" s="11">
        <v>0.25925925925925924</v>
      </c>
      <c r="AA1522" s="11">
        <v>0.55555555555555558</v>
      </c>
    </row>
    <row r="1523" spans="21:27" x14ac:dyDescent="0.25">
      <c r="U1523" s="37">
        <v>35960</v>
      </c>
      <c r="V1523" s="10">
        <v>11</v>
      </c>
      <c r="W1523" s="10">
        <v>2</v>
      </c>
      <c r="X1523" s="10">
        <v>9</v>
      </c>
      <c r="Y1523" s="11">
        <v>0.5</v>
      </c>
      <c r="Z1523" s="11">
        <v>9.0909090909090912E-2</v>
      </c>
      <c r="AA1523" s="11">
        <v>0.40909090909090912</v>
      </c>
    </row>
    <row r="1524" spans="21:27" x14ac:dyDescent="0.25">
      <c r="U1524" s="37">
        <v>35967</v>
      </c>
      <c r="V1524" s="10">
        <v>6</v>
      </c>
      <c r="W1524" s="10">
        <v>13</v>
      </c>
      <c r="X1524" s="10">
        <v>4</v>
      </c>
      <c r="Y1524" s="11">
        <v>0.2608695652173913</v>
      </c>
      <c r="Z1524" s="11">
        <v>0.56521739130434778</v>
      </c>
      <c r="AA1524" s="11">
        <v>0.17391304347826086</v>
      </c>
    </row>
    <row r="1525" spans="21:27" x14ac:dyDescent="0.25">
      <c r="U1525" s="37">
        <v>35974</v>
      </c>
      <c r="V1525" s="10">
        <v>5</v>
      </c>
      <c r="W1525" s="10">
        <v>7</v>
      </c>
      <c r="X1525" s="10">
        <v>15</v>
      </c>
      <c r="Y1525" s="11">
        <v>0.18518518518518517</v>
      </c>
      <c r="Z1525" s="11">
        <v>0.25925925925925924</v>
      </c>
      <c r="AA1525" s="11">
        <v>0.55555555555555558</v>
      </c>
    </row>
    <row r="1526" spans="21:27" x14ac:dyDescent="0.25">
      <c r="U1526" s="37">
        <v>35981</v>
      </c>
      <c r="V1526" s="10">
        <v>14</v>
      </c>
      <c r="W1526" s="10">
        <v>4</v>
      </c>
      <c r="X1526" s="10">
        <v>11</v>
      </c>
      <c r="Y1526" s="11">
        <v>0.48275862068965519</v>
      </c>
      <c r="Z1526" s="11">
        <v>0.13793103448275862</v>
      </c>
      <c r="AA1526" s="11">
        <v>0.37931034482758619</v>
      </c>
    </row>
    <row r="1527" spans="21:27" x14ac:dyDescent="0.25">
      <c r="U1527" s="37">
        <v>35988</v>
      </c>
      <c r="V1527" s="10">
        <v>1</v>
      </c>
      <c r="W1527" s="10">
        <v>4</v>
      </c>
      <c r="X1527" s="10">
        <v>5</v>
      </c>
      <c r="Y1527" s="11">
        <v>0.1</v>
      </c>
      <c r="Z1527" s="11">
        <v>0.4</v>
      </c>
      <c r="AA1527" s="11">
        <v>0.5</v>
      </c>
    </row>
    <row r="1528" spans="21:27" x14ac:dyDescent="0.25">
      <c r="U1528" s="37">
        <v>35995</v>
      </c>
      <c r="V1528" s="10">
        <v>6</v>
      </c>
      <c r="W1528" s="10">
        <v>8</v>
      </c>
      <c r="X1528" s="10">
        <v>17</v>
      </c>
      <c r="Y1528" s="11">
        <v>0.19354838709677419</v>
      </c>
      <c r="Z1528" s="11">
        <v>0.25806451612903225</v>
      </c>
      <c r="AA1528" s="11">
        <v>0.54838709677419351</v>
      </c>
    </row>
    <row r="1529" spans="21:27" x14ac:dyDescent="0.25">
      <c r="U1529" s="37">
        <v>36002</v>
      </c>
      <c r="V1529" s="10">
        <v>15</v>
      </c>
      <c r="W1529" s="10">
        <v>5</v>
      </c>
      <c r="X1529" s="10">
        <v>7</v>
      </c>
      <c r="Y1529" s="11">
        <v>0.55555555555555558</v>
      </c>
      <c r="Z1529" s="11">
        <v>0.18518518518518517</v>
      </c>
      <c r="AA1529" s="11">
        <v>0.25925925925925924</v>
      </c>
    </row>
    <row r="1530" spans="21:27" x14ac:dyDescent="0.25">
      <c r="U1530" s="37">
        <v>36009</v>
      </c>
      <c r="V1530" s="10">
        <v>12</v>
      </c>
      <c r="W1530" s="10">
        <v>7</v>
      </c>
      <c r="X1530" s="10">
        <v>8</v>
      </c>
      <c r="Y1530" s="11">
        <v>0.44444444444444442</v>
      </c>
      <c r="Z1530" s="11">
        <v>0.25925925925925924</v>
      </c>
      <c r="AA1530" s="11">
        <v>0.29629629629629628</v>
      </c>
    </row>
    <row r="1531" spans="21:27" x14ac:dyDescent="0.25">
      <c r="U1531" s="37">
        <v>36016</v>
      </c>
      <c r="V1531" s="10">
        <v>10</v>
      </c>
      <c r="W1531" s="10">
        <v>6</v>
      </c>
      <c r="X1531" s="10">
        <v>5</v>
      </c>
      <c r="Y1531" s="11">
        <v>0.47619047619047616</v>
      </c>
      <c r="Z1531" s="11">
        <v>0.2857142857142857</v>
      </c>
      <c r="AA1531" s="11">
        <v>0.23809523809523808</v>
      </c>
    </row>
    <row r="1532" spans="21:27" x14ac:dyDescent="0.25">
      <c r="U1532" s="37">
        <v>36022</v>
      </c>
      <c r="V1532" s="10">
        <v>13</v>
      </c>
      <c r="W1532" s="10">
        <v>2</v>
      </c>
      <c r="X1532" s="10">
        <v>11</v>
      </c>
      <c r="Y1532" s="11">
        <v>0.5</v>
      </c>
      <c r="Z1532" s="11">
        <v>7.6923076923076927E-2</v>
      </c>
      <c r="AA1532" s="11">
        <v>0.42307692307692307</v>
      </c>
    </row>
    <row r="1533" spans="21:27" x14ac:dyDescent="0.25">
      <c r="U1533" s="37">
        <v>36023</v>
      </c>
      <c r="V1533" s="10">
        <v>5</v>
      </c>
      <c r="W1533" s="10">
        <v>7</v>
      </c>
      <c r="X1533" s="10">
        <v>7</v>
      </c>
      <c r="Y1533" s="11">
        <v>0.26315789473684209</v>
      </c>
      <c r="Z1533" s="11">
        <v>0.36842105263157893</v>
      </c>
      <c r="AA1533" s="11">
        <v>0.36842105263157893</v>
      </c>
    </row>
    <row r="1534" spans="21:27" x14ac:dyDescent="0.25">
      <c r="U1534" s="37">
        <v>36030</v>
      </c>
      <c r="V1534" s="10">
        <v>10</v>
      </c>
      <c r="W1534" s="10">
        <v>5</v>
      </c>
      <c r="X1534" s="10">
        <v>13</v>
      </c>
      <c r="Y1534" s="11">
        <v>0.35714285714285715</v>
      </c>
      <c r="Z1534" s="11">
        <v>0.17857142857142858</v>
      </c>
      <c r="AA1534" s="11">
        <v>0.4642857142857143</v>
      </c>
    </row>
    <row r="1535" spans="21:27" x14ac:dyDescent="0.25">
      <c r="U1535" s="37">
        <v>36037</v>
      </c>
      <c r="V1535" s="10">
        <v>2</v>
      </c>
      <c r="W1535" s="10">
        <v>0</v>
      </c>
      <c r="X1535" s="10">
        <v>9</v>
      </c>
      <c r="Y1535" s="11">
        <v>0.18181818181818182</v>
      </c>
      <c r="Z1535" s="11">
        <v>0</v>
      </c>
      <c r="AA1535" s="11">
        <v>0.81818181818181823</v>
      </c>
    </row>
    <row r="1536" spans="21:27" x14ac:dyDescent="0.25">
      <c r="U1536" s="37">
        <v>36044</v>
      </c>
      <c r="V1536" s="10">
        <v>7</v>
      </c>
      <c r="W1536" s="10">
        <v>3</v>
      </c>
      <c r="X1536" s="10">
        <v>3</v>
      </c>
      <c r="Y1536" s="11">
        <v>0.53846153846153844</v>
      </c>
      <c r="Z1536" s="11">
        <v>0.23076923076923078</v>
      </c>
      <c r="AA1536" s="11">
        <v>0.23076923076923078</v>
      </c>
    </row>
    <row r="1537" spans="21:27" x14ac:dyDescent="0.25">
      <c r="U1537" s="37">
        <v>36051</v>
      </c>
      <c r="V1537" s="10">
        <v>6</v>
      </c>
      <c r="W1537" s="10">
        <v>3</v>
      </c>
      <c r="X1537" s="10">
        <v>6</v>
      </c>
      <c r="Y1537" s="11">
        <v>0.4</v>
      </c>
      <c r="Z1537" s="11">
        <v>0.2</v>
      </c>
      <c r="AA1537" s="11">
        <v>0.4</v>
      </c>
    </row>
    <row r="1538" spans="21:27" x14ac:dyDescent="0.25">
      <c r="U1538" s="37">
        <v>36058</v>
      </c>
      <c r="V1538" s="10">
        <v>4</v>
      </c>
      <c r="W1538" s="10">
        <v>2</v>
      </c>
      <c r="X1538" s="10">
        <v>5</v>
      </c>
      <c r="Y1538" s="11">
        <v>0.36363636363636365</v>
      </c>
      <c r="Z1538" s="11">
        <v>0.18181818181818182</v>
      </c>
      <c r="AA1538" s="11">
        <v>0.45454545454545453</v>
      </c>
    </row>
    <row r="1539" spans="21:27" x14ac:dyDescent="0.25">
      <c r="U1539" s="37">
        <v>36065</v>
      </c>
      <c r="V1539" s="10">
        <v>7</v>
      </c>
      <c r="W1539" s="10">
        <v>0</v>
      </c>
      <c r="X1539" s="10">
        <v>4</v>
      </c>
      <c r="Y1539" s="11">
        <v>0.63636363636363635</v>
      </c>
      <c r="Z1539" s="11">
        <v>0</v>
      </c>
      <c r="AA1539" s="11">
        <v>0.36363636363636365</v>
      </c>
    </row>
    <row r="1540" spans="21:27" x14ac:dyDescent="0.25">
      <c r="U1540" s="37">
        <v>36072</v>
      </c>
      <c r="V1540" s="10">
        <v>10</v>
      </c>
      <c r="W1540" s="10">
        <v>1</v>
      </c>
      <c r="X1540" s="10">
        <v>8</v>
      </c>
      <c r="Y1540" s="11">
        <v>0.52631578947368418</v>
      </c>
      <c r="Z1540" s="11">
        <v>5.2631578947368418E-2</v>
      </c>
      <c r="AA1540" s="11">
        <v>0.42105263157894735</v>
      </c>
    </row>
    <row r="1541" spans="21:27" x14ac:dyDescent="0.25">
      <c r="U1541" s="37">
        <v>36079</v>
      </c>
      <c r="V1541" s="10">
        <v>5</v>
      </c>
      <c r="W1541" s="10">
        <v>9</v>
      </c>
      <c r="X1541" s="10">
        <v>5</v>
      </c>
      <c r="Y1541" s="11">
        <v>0.26315789473684209</v>
      </c>
      <c r="Z1541" s="11">
        <v>0.47368421052631576</v>
      </c>
      <c r="AA1541" s="11">
        <v>0.26315789473684209</v>
      </c>
    </row>
    <row r="1542" spans="21:27" x14ac:dyDescent="0.25">
      <c r="U1542" s="37">
        <v>36086</v>
      </c>
      <c r="V1542" s="10">
        <v>1</v>
      </c>
      <c r="W1542" s="10">
        <v>6</v>
      </c>
      <c r="X1542" s="10">
        <v>6</v>
      </c>
      <c r="Y1542" s="11">
        <v>7.6923076923076927E-2</v>
      </c>
      <c r="Z1542" s="11">
        <v>0.46153846153846156</v>
      </c>
      <c r="AA1542" s="11">
        <v>0.46153846153846156</v>
      </c>
    </row>
    <row r="1543" spans="21:27" x14ac:dyDescent="0.25">
      <c r="U1543" s="37">
        <v>36093</v>
      </c>
      <c r="V1543" s="10">
        <v>5</v>
      </c>
      <c r="W1543" s="10">
        <v>10</v>
      </c>
      <c r="X1543" s="10">
        <v>5</v>
      </c>
      <c r="Y1543" s="11">
        <v>0.25</v>
      </c>
      <c r="Z1543" s="11">
        <v>0.5</v>
      </c>
      <c r="AA1543" s="11">
        <v>0.25</v>
      </c>
    </row>
    <row r="1544" spans="21:27" x14ac:dyDescent="0.25">
      <c r="U1544" s="37">
        <v>36100</v>
      </c>
      <c r="V1544" s="10">
        <v>4</v>
      </c>
      <c r="W1544" s="10">
        <v>2</v>
      </c>
      <c r="X1544" s="10">
        <v>12</v>
      </c>
      <c r="Y1544" s="11">
        <v>0.22222222222222221</v>
      </c>
      <c r="Z1544" s="11">
        <v>0.1111111111111111</v>
      </c>
      <c r="AA1544" s="11">
        <v>0.66666666666666663</v>
      </c>
    </row>
    <row r="1545" spans="21:27" x14ac:dyDescent="0.25">
      <c r="U1545" s="37">
        <v>36107</v>
      </c>
      <c r="V1545" s="10">
        <v>13</v>
      </c>
      <c r="W1545" s="10">
        <v>8</v>
      </c>
      <c r="X1545" s="10">
        <v>8</v>
      </c>
      <c r="Y1545" s="11">
        <v>0.44827586206896552</v>
      </c>
      <c r="Z1545" s="11">
        <v>0.27586206896551724</v>
      </c>
      <c r="AA1545" s="11">
        <v>0.27586206896551724</v>
      </c>
    </row>
    <row r="1546" spans="21:27" x14ac:dyDescent="0.25">
      <c r="U1546" s="37">
        <v>36114</v>
      </c>
      <c r="V1546" s="10">
        <v>10</v>
      </c>
      <c r="W1546" s="10">
        <v>4</v>
      </c>
      <c r="X1546" s="10">
        <v>6</v>
      </c>
      <c r="Y1546" s="11">
        <v>0.5</v>
      </c>
      <c r="Z1546" s="11">
        <v>0.2</v>
      </c>
      <c r="AA1546" s="11">
        <v>0.3</v>
      </c>
    </row>
    <row r="1547" spans="21:27" x14ac:dyDescent="0.25">
      <c r="U1547" s="37">
        <v>36121</v>
      </c>
      <c r="V1547" s="10">
        <v>6</v>
      </c>
      <c r="W1547" s="10">
        <v>9</v>
      </c>
      <c r="X1547" s="10">
        <v>10</v>
      </c>
      <c r="Y1547" s="11">
        <v>0.24</v>
      </c>
      <c r="Z1547" s="11">
        <v>0.36</v>
      </c>
      <c r="AA1547" s="11">
        <v>0.4</v>
      </c>
    </row>
    <row r="1548" spans="21:27" x14ac:dyDescent="0.25">
      <c r="U1548" s="37">
        <v>36128</v>
      </c>
      <c r="V1548" s="10">
        <v>8</v>
      </c>
      <c r="W1548" s="10">
        <v>1</v>
      </c>
      <c r="X1548" s="10">
        <v>11</v>
      </c>
      <c r="Y1548" s="11">
        <v>0.4</v>
      </c>
      <c r="Z1548" s="11">
        <v>0.05</v>
      </c>
      <c r="AA1548" s="11">
        <v>0.55000000000000004</v>
      </c>
    </row>
    <row r="1549" spans="21:27" x14ac:dyDescent="0.25">
      <c r="U1549" s="37">
        <v>36135</v>
      </c>
      <c r="V1549" s="10">
        <v>1</v>
      </c>
      <c r="W1549" s="10">
        <v>3</v>
      </c>
      <c r="X1549" s="10">
        <v>18</v>
      </c>
      <c r="Y1549" s="11">
        <v>4.5454545454545456E-2</v>
      </c>
      <c r="Z1549" s="11">
        <v>0.13636363636363635</v>
      </c>
      <c r="AA1549" s="11">
        <v>0.81818181818181823</v>
      </c>
    </row>
    <row r="1550" spans="21:27" x14ac:dyDescent="0.25">
      <c r="U1550" s="37">
        <v>36142</v>
      </c>
      <c r="V1550" s="10">
        <v>5</v>
      </c>
      <c r="W1550" s="10">
        <v>3</v>
      </c>
      <c r="X1550" s="10">
        <v>6</v>
      </c>
      <c r="Y1550" s="11">
        <v>0.35714285714285715</v>
      </c>
      <c r="Z1550" s="11">
        <v>0.21428571428571427</v>
      </c>
      <c r="AA1550" s="11">
        <v>0.42857142857142855</v>
      </c>
    </row>
    <row r="1551" spans="21:27" x14ac:dyDescent="0.25">
      <c r="U1551" s="37">
        <v>36149</v>
      </c>
      <c r="V1551" s="10">
        <v>4</v>
      </c>
      <c r="W1551" s="10">
        <v>0</v>
      </c>
      <c r="X1551" s="10">
        <v>9</v>
      </c>
      <c r="Y1551" s="11">
        <v>0.30769230769230771</v>
      </c>
      <c r="Z1551" s="11">
        <v>0</v>
      </c>
      <c r="AA1551" s="11">
        <v>0.69230769230769229</v>
      </c>
    </row>
    <row r="1552" spans="21:27" x14ac:dyDescent="0.25">
      <c r="U1552" s="37">
        <v>36153</v>
      </c>
      <c r="V1552" s="10">
        <v>7</v>
      </c>
      <c r="W1552" s="10">
        <v>5</v>
      </c>
      <c r="X1552" s="10">
        <v>4</v>
      </c>
      <c r="Y1552" s="11">
        <v>0.4375</v>
      </c>
      <c r="Z1552" s="11">
        <v>0.3125</v>
      </c>
      <c r="AA1552" s="11">
        <v>0.25</v>
      </c>
    </row>
    <row r="1553" spans="21:27" x14ac:dyDescent="0.25">
      <c r="U1553" s="37">
        <v>36154</v>
      </c>
      <c r="V1553" s="10">
        <v>10</v>
      </c>
      <c r="W1553" s="10">
        <v>8</v>
      </c>
      <c r="X1553" s="10">
        <v>7</v>
      </c>
      <c r="Y1553" s="11">
        <v>0.4</v>
      </c>
      <c r="Z1553" s="11">
        <v>0.32</v>
      </c>
      <c r="AA1553" s="11">
        <v>0.28000000000000003</v>
      </c>
    </row>
    <row r="1554" spans="21:27" x14ac:dyDescent="0.25">
      <c r="U1554" s="37">
        <v>36156</v>
      </c>
      <c r="V1554" s="10">
        <v>8</v>
      </c>
      <c r="W1554" s="10">
        <v>4</v>
      </c>
      <c r="X1554" s="10">
        <v>2</v>
      </c>
      <c r="Y1554" s="11">
        <v>0.5714285714285714</v>
      </c>
      <c r="Z1554" s="11">
        <v>0.2857142857142857</v>
      </c>
      <c r="AA1554" s="11">
        <v>0.14285714285714285</v>
      </c>
    </row>
    <row r="1555" spans="21:27" x14ac:dyDescent="0.25">
      <c r="U1555" s="37">
        <v>36163</v>
      </c>
      <c r="V1555" s="10">
        <v>5</v>
      </c>
      <c r="W1555" s="10">
        <v>4</v>
      </c>
      <c r="X1555" s="10">
        <v>2</v>
      </c>
      <c r="Y1555" s="11">
        <v>0.45454545454545453</v>
      </c>
      <c r="Z1555" s="11">
        <v>0.36363636363636365</v>
      </c>
      <c r="AA1555" s="11">
        <v>0.18181818181818182</v>
      </c>
    </row>
    <row r="1556" spans="21:27" x14ac:dyDescent="0.25">
      <c r="U1556" s="37">
        <v>36170</v>
      </c>
      <c r="V1556" s="10">
        <v>6</v>
      </c>
      <c r="W1556" s="10">
        <v>1</v>
      </c>
      <c r="X1556" s="10">
        <v>8</v>
      </c>
      <c r="Y1556" s="11">
        <v>0.4</v>
      </c>
      <c r="Z1556" s="11">
        <v>6.6666666666666666E-2</v>
      </c>
      <c r="AA1556" s="11">
        <v>0.53333333333333333</v>
      </c>
    </row>
    <row r="1557" spans="21:27" x14ac:dyDescent="0.25">
      <c r="U1557" s="37">
        <v>36177</v>
      </c>
      <c r="V1557" s="10">
        <v>13</v>
      </c>
      <c r="W1557" s="10">
        <v>10</v>
      </c>
      <c r="X1557" s="10">
        <v>16</v>
      </c>
      <c r="Y1557" s="11">
        <v>0.33333333333333331</v>
      </c>
      <c r="Z1557" s="11">
        <v>0.25641025641025639</v>
      </c>
      <c r="AA1557" s="11">
        <v>0.41025641025641024</v>
      </c>
    </row>
    <row r="1558" spans="21:27" x14ac:dyDescent="0.25">
      <c r="U1558" s="37">
        <v>36184</v>
      </c>
      <c r="V1558" s="10">
        <v>5</v>
      </c>
      <c r="W1558" s="10">
        <v>4</v>
      </c>
      <c r="X1558" s="10">
        <v>2</v>
      </c>
      <c r="Y1558" s="11">
        <v>0.45454545454545453</v>
      </c>
      <c r="Z1558" s="11">
        <v>0.36363636363636365</v>
      </c>
      <c r="AA1558" s="11">
        <v>0.18181818181818182</v>
      </c>
    </row>
    <row r="1559" spans="21:27" x14ac:dyDescent="0.25">
      <c r="U1559" s="37">
        <v>36191</v>
      </c>
      <c r="V1559" s="10">
        <v>11</v>
      </c>
      <c r="W1559" s="10">
        <v>0</v>
      </c>
      <c r="X1559" s="10">
        <v>10</v>
      </c>
      <c r="Y1559" s="11">
        <v>0.52380952380952384</v>
      </c>
      <c r="Z1559" s="11">
        <v>0</v>
      </c>
      <c r="AA1559" s="11">
        <v>0.47619047619047616</v>
      </c>
    </row>
    <row r="1560" spans="21:27" x14ac:dyDescent="0.25">
      <c r="U1560" s="37">
        <v>36198</v>
      </c>
      <c r="V1560" s="10">
        <v>5</v>
      </c>
      <c r="W1560" s="10">
        <v>0</v>
      </c>
      <c r="X1560" s="10">
        <v>11</v>
      </c>
      <c r="Y1560" s="11">
        <v>0.3125</v>
      </c>
      <c r="Z1560" s="11">
        <v>0</v>
      </c>
      <c r="AA1560" s="11">
        <v>0.6875</v>
      </c>
    </row>
    <row r="1561" spans="21:27" x14ac:dyDescent="0.25">
      <c r="U1561" s="37">
        <v>36205</v>
      </c>
      <c r="V1561" s="10">
        <v>4</v>
      </c>
      <c r="W1561" s="10">
        <v>1</v>
      </c>
      <c r="X1561" s="10">
        <v>4</v>
      </c>
      <c r="Y1561" s="11">
        <v>0.44444444444444442</v>
      </c>
      <c r="Z1561" s="11">
        <v>0.1111111111111111</v>
      </c>
      <c r="AA1561" s="11">
        <v>0.44444444444444442</v>
      </c>
    </row>
    <row r="1562" spans="21:27" x14ac:dyDescent="0.25">
      <c r="U1562" s="37">
        <v>36212</v>
      </c>
      <c r="V1562" s="10">
        <v>7</v>
      </c>
      <c r="W1562" s="10">
        <v>2</v>
      </c>
      <c r="X1562" s="10">
        <v>10</v>
      </c>
      <c r="Y1562" s="11">
        <v>0.36842105263157893</v>
      </c>
      <c r="Z1562" s="11">
        <v>0.10526315789473684</v>
      </c>
      <c r="AA1562" s="11">
        <v>0.52631578947368418</v>
      </c>
    </row>
    <row r="1563" spans="21:27" x14ac:dyDescent="0.25">
      <c r="U1563" s="37">
        <v>36219</v>
      </c>
      <c r="V1563" s="10">
        <v>12</v>
      </c>
      <c r="W1563" s="10">
        <v>3</v>
      </c>
      <c r="X1563" s="10">
        <v>3</v>
      </c>
      <c r="Y1563" s="11">
        <v>0.66666666666666663</v>
      </c>
      <c r="Z1563" s="11">
        <v>0.16666666666666666</v>
      </c>
      <c r="AA1563" s="11">
        <v>0.16666666666666666</v>
      </c>
    </row>
    <row r="1564" spans="21:27" x14ac:dyDescent="0.25">
      <c r="U1564" s="37">
        <v>36226</v>
      </c>
      <c r="V1564" s="10">
        <v>10</v>
      </c>
      <c r="W1564" s="10">
        <v>3</v>
      </c>
      <c r="X1564" s="10">
        <v>7</v>
      </c>
      <c r="Y1564" s="11">
        <v>0.5</v>
      </c>
      <c r="Z1564" s="11">
        <v>0.15</v>
      </c>
      <c r="AA1564" s="11">
        <v>0.35</v>
      </c>
    </row>
    <row r="1565" spans="21:27" x14ac:dyDescent="0.25">
      <c r="U1565" s="37">
        <v>36233</v>
      </c>
      <c r="V1565" s="10">
        <v>2</v>
      </c>
      <c r="W1565" s="10">
        <v>1</v>
      </c>
      <c r="X1565" s="10">
        <v>1</v>
      </c>
      <c r="Y1565" s="11">
        <v>0.5</v>
      </c>
      <c r="Z1565" s="11">
        <v>0.25</v>
      </c>
      <c r="AA1565" s="11">
        <v>0.25</v>
      </c>
    </row>
    <row r="1566" spans="21:27" x14ac:dyDescent="0.25">
      <c r="U1566" s="37">
        <v>36240</v>
      </c>
      <c r="V1566" s="10">
        <v>4</v>
      </c>
      <c r="W1566" s="10">
        <v>4</v>
      </c>
      <c r="X1566" s="10">
        <v>9</v>
      </c>
      <c r="Y1566" s="11">
        <v>0.23529411764705882</v>
      </c>
      <c r="Z1566" s="11">
        <v>0.23529411764705882</v>
      </c>
      <c r="AA1566" s="11">
        <v>0.52941176470588236</v>
      </c>
    </row>
    <row r="1567" spans="21:27" x14ac:dyDescent="0.25">
      <c r="U1567" s="37">
        <v>36247</v>
      </c>
      <c r="V1567" s="10">
        <v>15</v>
      </c>
      <c r="W1567" s="10">
        <v>7</v>
      </c>
      <c r="X1567" s="10">
        <v>9</v>
      </c>
      <c r="Y1567" s="11">
        <v>0.4838709677419355</v>
      </c>
      <c r="Z1567" s="11">
        <v>0.22580645161290322</v>
      </c>
      <c r="AA1567" s="11">
        <v>0.29032258064516131</v>
      </c>
    </row>
    <row r="1568" spans="21:27" x14ac:dyDescent="0.25">
      <c r="U1568" s="37">
        <v>36254</v>
      </c>
      <c r="V1568" s="10">
        <v>8</v>
      </c>
      <c r="W1568" s="10">
        <v>1</v>
      </c>
      <c r="X1568" s="10">
        <v>10</v>
      </c>
      <c r="Y1568" s="11">
        <v>0.42105263157894735</v>
      </c>
      <c r="Z1568" s="11">
        <v>5.2631578947368418E-2</v>
      </c>
      <c r="AA1568" s="11">
        <v>0.52631578947368418</v>
      </c>
    </row>
    <row r="1569" spans="21:27" x14ac:dyDescent="0.25">
      <c r="U1569" s="37">
        <v>36261</v>
      </c>
      <c r="V1569" s="10">
        <v>5</v>
      </c>
      <c r="W1569" s="10">
        <v>1</v>
      </c>
      <c r="X1569" s="10">
        <v>12</v>
      </c>
      <c r="Y1569" s="11">
        <v>0.27777777777777779</v>
      </c>
      <c r="Z1569" s="11">
        <v>5.5555555555555552E-2</v>
      </c>
      <c r="AA1569" s="11">
        <v>0.66666666666666663</v>
      </c>
    </row>
    <row r="1570" spans="21:27" x14ac:dyDescent="0.25">
      <c r="U1570" s="37">
        <v>36268</v>
      </c>
      <c r="V1570" s="10">
        <v>2</v>
      </c>
      <c r="W1570" s="10">
        <v>3</v>
      </c>
      <c r="X1570" s="10">
        <v>3</v>
      </c>
      <c r="Y1570" s="11">
        <v>0.25</v>
      </c>
      <c r="Z1570" s="11">
        <v>0.375</v>
      </c>
      <c r="AA1570" s="11">
        <v>0.375</v>
      </c>
    </row>
    <row r="1571" spans="21:27" x14ac:dyDescent="0.25">
      <c r="U1571" s="37">
        <v>36275</v>
      </c>
      <c r="V1571" s="10">
        <v>7</v>
      </c>
      <c r="W1571" s="10">
        <v>6</v>
      </c>
      <c r="X1571" s="10">
        <v>8</v>
      </c>
      <c r="Y1571" s="11">
        <v>0.33333333333333331</v>
      </c>
      <c r="Z1571" s="11">
        <v>0.2857142857142857</v>
      </c>
      <c r="AA1571" s="11">
        <v>0.38095238095238093</v>
      </c>
    </row>
    <row r="1572" spans="21:27" x14ac:dyDescent="0.25">
      <c r="U1572" s="37">
        <v>36282</v>
      </c>
      <c r="V1572" s="10">
        <v>11</v>
      </c>
      <c r="W1572" s="10">
        <v>8</v>
      </c>
      <c r="X1572" s="10">
        <v>11</v>
      </c>
      <c r="Y1572" s="11">
        <v>0.36666666666666664</v>
      </c>
      <c r="Z1572" s="11">
        <v>0.26666666666666666</v>
      </c>
      <c r="AA1572" s="11">
        <v>0.36666666666666664</v>
      </c>
    </row>
    <row r="1573" spans="21:27" x14ac:dyDescent="0.25">
      <c r="U1573" s="37">
        <v>36289</v>
      </c>
      <c r="V1573" s="10">
        <v>4</v>
      </c>
      <c r="W1573" s="10">
        <v>5</v>
      </c>
      <c r="X1573" s="10">
        <v>10</v>
      </c>
      <c r="Y1573" s="11">
        <v>0.21052631578947367</v>
      </c>
      <c r="Z1573" s="11">
        <v>0.26315789473684209</v>
      </c>
      <c r="AA1573" s="11">
        <v>0.52631578947368418</v>
      </c>
    </row>
    <row r="1574" spans="21:27" x14ac:dyDescent="0.25">
      <c r="U1574" s="37">
        <v>36293</v>
      </c>
      <c r="V1574" s="10">
        <v>14</v>
      </c>
      <c r="W1574" s="10">
        <v>8</v>
      </c>
      <c r="X1574" s="10">
        <v>6</v>
      </c>
      <c r="Y1574" s="11">
        <v>0.5</v>
      </c>
      <c r="Z1574" s="11">
        <v>0.2857142857142857</v>
      </c>
      <c r="AA1574" s="11">
        <v>0.21428571428571427</v>
      </c>
    </row>
    <row r="1575" spans="21:27" x14ac:dyDescent="0.25">
      <c r="U1575" s="37">
        <v>36296</v>
      </c>
      <c r="V1575" s="10">
        <v>6</v>
      </c>
      <c r="W1575" s="10">
        <v>2</v>
      </c>
      <c r="X1575" s="10">
        <v>9</v>
      </c>
      <c r="Y1575" s="11">
        <v>0.35294117647058826</v>
      </c>
      <c r="Z1575" s="11">
        <v>0.11764705882352941</v>
      </c>
      <c r="AA1575" s="11">
        <v>0.52941176470588236</v>
      </c>
    </row>
    <row r="1576" spans="21:27" x14ac:dyDescent="0.25">
      <c r="U1576" s="37">
        <v>36303</v>
      </c>
      <c r="V1576" s="10">
        <v>14</v>
      </c>
      <c r="W1576" s="10">
        <v>12</v>
      </c>
      <c r="X1576" s="10">
        <v>16</v>
      </c>
      <c r="Y1576" s="11">
        <v>0.33333333333333331</v>
      </c>
      <c r="Z1576" s="11">
        <v>0.2857142857142857</v>
      </c>
      <c r="AA1576" s="11">
        <v>0.38095238095238093</v>
      </c>
    </row>
    <row r="1577" spans="21:27" x14ac:dyDescent="0.25">
      <c r="U1577" s="37">
        <v>36310</v>
      </c>
      <c r="V1577" s="10">
        <v>18</v>
      </c>
      <c r="W1577" s="10">
        <v>6</v>
      </c>
      <c r="X1577" s="10">
        <v>27</v>
      </c>
      <c r="Y1577" s="11">
        <v>0.35294117647058826</v>
      </c>
      <c r="Z1577" s="11">
        <v>0.11764705882352941</v>
      </c>
      <c r="AA1577" s="11">
        <v>0.52941176470588236</v>
      </c>
    </row>
    <row r="1578" spans="21:27" x14ac:dyDescent="0.25">
      <c r="U1578" s="37">
        <v>36317</v>
      </c>
      <c r="V1578" s="10">
        <v>2</v>
      </c>
      <c r="W1578" s="10">
        <v>7</v>
      </c>
      <c r="X1578" s="10">
        <v>14</v>
      </c>
      <c r="Y1578" s="11">
        <v>8.6956521739130432E-2</v>
      </c>
      <c r="Z1578" s="11">
        <v>0.30434782608695654</v>
      </c>
      <c r="AA1578" s="11">
        <v>0.60869565217391308</v>
      </c>
    </row>
    <row r="1579" spans="21:27" x14ac:dyDescent="0.25">
      <c r="U1579" s="37">
        <v>36324</v>
      </c>
      <c r="V1579" s="10">
        <v>7</v>
      </c>
      <c r="W1579" s="10">
        <v>3</v>
      </c>
      <c r="X1579" s="10">
        <v>6</v>
      </c>
      <c r="Y1579" s="11">
        <v>0.4375</v>
      </c>
      <c r="Z1579" s="11">
        <v>0.1875</v>
      </c>
      <c r="AA1579" s="11">
        <v>0.375</v>
      </c>
    </row>
    <row r="1580" spans="21:27" x14ac:dyDescent="0.25">
      <c r="U1580" s="37">
        <v>36331</v>
      </c>
      <c r="V1580" s="10">
        <v>15</v>
      </c>
      <c r="W1580" s="10">
        <v>4</v>
      </c>
      <c r="X1580" s="10">
        <v>9</v>
      </c>
      <c r="Y1580" s="11">
        <v>0.5357142857142857</v>
      </c>
      <c r="Z1580" s="11">
        <v>0.14285714285714285</v>
      </c>
      <c r="AA1580" s="11">
        <v>0.32142857142857145</v>
      </c>
    </row>
    <row r="1581" spans="21:27" x14ac:dyDescent="0.25">
      <c r="U1581" s="37">
        <v>36338</v>
      </c>
      <c r="V1581" s="10">
        <v>5</v>
      </c>
      <c r="W1581" s="10">
        <v>6</v>
      </c>
      <c r="X1581" s="10">
        <v>9</v>
      </c>
      <c r="Y1581" s="11">
        <v>0.25</v>
      </c>
      <c r="Z1581" s="11">
        <v>0.3</v>
      </c>
      <c r="AA1581" s="11">
        <v>0.45</v>
      </c>
    </row>
    <row r="1582" spans="21:27" x14ac:dyDescent="0.25">
      <c r="U1582" s="37">
        <v>36345</v>
      </c>
      <c r="V1582" s="10">
        <v>7</v>
      </c>
      <c r="W1582" s="10">
        <v>2</v>
      </c>
      <c r="X1582" s="10">
        <v>4</v>
      </c>
      <c r="Y1582" s="11">
        <v>0.53846153846153844</v>
      </c>
      <c r="Z1582" s="11">
        <v>0.15384615384615385</v>
      </c>
      <c r="AA1582" s="11">
        <v>0.30769230769230771</v>
      </c>
    </row>
    <row r="1583" spans="21:27" x14ac:dyDescent="0.25">
      <c r="U1583" s="37">
        <v>36352</v>
      </c>
      <c r="V1583" s="10">
        <v>14</v>
      </c>
      <c r="W1583" s="10">
        <v>14</v>
      </c>
      <c r="X1583" s="10">
        <v>12</v>
      </c>
      <c r="Y1583" s="11">
        <v>0.35</v>
      </c>
      <c r="Z1583" s="11">
        <v>0.35</v>
      </c>
      <c r="AA1583" s="11">
        <v>0.3</v>
      </c>
    </row>
    <row r="1584" spans="21:27" x14ac:dyDescent="0.25">
      <c r="U1584" s="37">
        <v>36359</v>
      </c>
      <c r="V1584" s="10">
        <v>4</v>
      </c>
      <c r="W1584" s="10">
        <v>1</v>
      </c>
      <c r="X1584" s="10">
        <v>6</v>
      </c>
      <c r="Y1584" s="11">
        <v>0.36363636363636365</v>
      </c>
      <c r="Z1584" s="11">
        <v>9.0909090909090912E-2</v>
      </c>
      <c r="AA1584" s="11">
        <v>0.54545454545454541</v>
      </c>
    </row>
    <row r="1585" spans="21:27" x14ac:dyDescent="0.25">
      <c r="U1585" s="37">
        <v>36366</v>
      </c>
      <c r="V1585" s="10">
        <v>1</v>
      </c>
      <c r="W1585" s="10">
        <v>0</v>
      </c>
      <c r="X1585" s="10">
        <v>5</v>
      </c>
      <c r="Y1585" s="11">
        <v>0.16666666666666666</v>
      </c>
      <c r="Z1585" s="11">
        <v>0</v>
      </c>
      <c r="AA1585" s="11">
        <v>0.83333333333333337</v>
      </c>
    </row>
    <row r="1586" spans="21:27" x14ac:dyDescent="0.25">
      <c r="U1586" s="37">
        <v>36373</v>
      </c>
      <c r="V1586" s="10">
        <v>8</v>
      </c>
      <c r="W1586" s="10">
        <v>1</v>
      </c>
      <c r="X1586" s="10">
        <v>3</v>
      </c>
      <c r="Y1586" s="11">
        <v>0.66666666666666663</v>
      </c>
      <c r="Z1586" s="11">
        <v>8.3333333333333329E-2</v>
      </c>
      <c r="AA1586" s="11">
        <v>0.25</v>
      </c>
    </row>
    <row r="1587" spans="21:27" x14ac:dyDescent="0.25">
      <c r="U1587" s="37">
        <v>36380</v>
      </c>
      <c r="V1587" s="10">
        <v>9</v>
      </c>
      <c r="W1587" s="10">
        <v>13</v>
      </c>
      <c r="X1587" s="10">
        <v>5</v>
      </c>
      <c r="Y1587" s="11">
        <v>0.33333333333333331</v>
      </c>
      <c r="Z1587" s="11">
        <v>0.48148148148148145</v>
      </c>
      <c r="AA1587" s="11">
        <v>0.18518518518518517</v>
      </c>
    </row>
    <row r="1588" spans="21:27" x14ac:dyDescent="0.25">
      <c r="U1588" s="37">
        <v>36387</v>
      </c>
      <c r="V1588" s="10">
        <v>7</v>
      </c>
      <c r="W1588" s="10">
        <v>3</v>
      </c>
      <c r="X1588" s="10">
        <v>10</v>
      </c>
      <c r="Y1588" s="11">
        <v>0.35</v>
      </c>
      <c r="Z1588" s="11">
        <v>0.15</v>
      </c>
      <c r="AA1588" s="11">
        <v>0.5</v>
      </c>
    </row>
    <row r="1589" spans="21:27" x14ac:dyDescent="0.25">
      <c r="U1589" s="37">
        <v>36394</v>
      </c>
      <c r="V1589" s="10">
        <v>5</v>
      </c>
      <c r="W1589" s="10">
        <v>1</v>
      </c>
      <c r="X1589" s="10">
        <v>8</v>
      </c>
      <c r="Y1589" s="11">
        <v>0.35714285714285715</v>
      </c>
      <c r="Z1589" s="11">
        <v>7.1428571428571425E-2</v>
      </c>
      <c r="AA1589" s="11">
        <v>0.5714285714285714</v>
      </c>
    </row>
    <row r="1590" spans="21:27" x14ac:dyDescent="0.25">
      <c r="U1590" s="37">
        <v>36401</v>
      </c>
      <c r="V1590" s="10">
        <v>5</v>
      </c>
      <c r="W1590" s="10">
        <v>5</v>
      </c>
      <c r="X1590" s="10">
        <v>4</v>
      </c>
      <c r="Y1590" s="11">
        <v>0.35714285714285715</v>
      </c>
      <c r="Z1590" s="11">
        <v>0.35714285714285715</v>
      </c>
      <c r="AA1590" s="11">
        <v>0.2857142857142857</v>
      </c>
    </row>
    <row r="1591" spans="21:27" x14ac:dyDescent="0.25">
      <c r="U1591" s="37">
        <v>36408</v>
      </c>
      <c r="V1591" s="10">
        <v>6</v>
      </c>
      <c r="W1591" s="10">
        <v>1</v>
      </c>
      <c r="X1591" s="10">
        <v>0</v>
      </c>
      <c r="Y1591" s="11">
        <v>0.8571428571428571</v>
      </c>
      <c r="Z1591" s="11">
        <v>0.14285714285714285</v>
      </c>
      <c r="AA1591" s="11">
        <v>0</v>
      </c>
    </row>
    <row r="1592" spans="21:27" x14ac:dyDescent="0.25">
      <c r="U1592" s="37">
        <v>36415</v>
      </c>
      <c r="V1592" s="10">
        <v>4</v>
      </c>
      <c r="W1592" s="10">
        <v>3</v>
      </c>
      <c r="X1592" s="10">
        <v>5</v>
      </c>
      <c r="Y1592" s="11">
        <v>0.33333333333333331</v>
      </c>
      <c r="Z1592" s="11">
        <v>0.25</v>
      </c>
      <c r="AA1592" s="11">
        <v>0.41666666666666669</v>
      </c>
    </row>
    <row r="1593" spans="21:27" x14ac:dyDescent="0.25">
      <c r="U1593" s="37">
        <v>36422</v>
      </c>
      <c r="V1593" s="10">
        <v>9</v>
      </c>
      <c r="W1593" s="10">
        <v>1</v>
      </c>
      <c r="X1593" s="10">
        <v>6</v>
      </c>
      <c r="Y1593" s="11">
        <v>0.5625</v>
      </c>
      <c r="Z1593" s="11">
        <v>6.25E-2</v>
      </c>
      <c r="AA1593" s="11">
        <v>0.375</v>
      </c>
    </row>
    <row r="1594" spans="21:27" x14ac:dyDescent="0.25">
      <c r="U1594" s="37">
        <v>36429</v>
      </c>
      <c r="V1594" s="10">
        <v>4</v>
      </c>
      <c r="W1594" s="10">
        <v>0</v>
      </c>
      <c r="X1594" s="10">
        <v>2</v>
      </c>
      <c r="Y1594" s="11">
        <v>0.66666666666666663</v>
      </c>
      <c r="Z1594" s="11">
        <v>0</v>
      </c>
      <c r="AA1594" s="11">
        <v>0.33333333333333331</v>
      </c>
    </row>
    <row r="1595" spans="21:27" x14ac:dyDescent="0.25">
      <c r="U1595" s="37">
        <v>36436</v>
      </c>
      <c r="V1595" s="10">
        <v>8</v>
      </c>
      <c r="W1595" s="10">
        <v>2</v>
      </c>
      <c r="X1595" s="10">
        <v>9</v>
      </c>
      <c r="Y1595" s="11">
        <v>0.42105263157894735</v>
      </c>
      <c r="Z1595" s="11">
        <v>0.10526315789473684</v>
      </c>
      <c r="AA1595" s="11">
        <v>0.47368421052631576</v>
      </c>
    </row>
    <row r="1596" spans="21:27" x14ac:dyDescent="0.25">
      <c r="U1596" s="37">
        <v>36443</v>
      </c>
      <c r="V1596" s="10">
        <v>3</v>
      </c>
      <c r="W1596" s="10">
        <v>4</v>
      </c>
      <c r="X1596" s="10">
        <v>8</v>
      </c>
      <c r="Y1596" s="11">
        <v>0.2</v>
      </c>
      <c r="Z1596" s="11">
        <v>0.26666666666666666</v>
      </c>
      <c r="AA1596" s="11">
        <v>0.53333333333333333</v>
      </c>
    </row>
    <row r="1597" spans="21:27" x14ac:dyDescent="0.25">
      <c r="U1597" s="37">
        <v>36450</v>
      </c>
      <c r="V1597" s="10">
        <v>13</v>
      </c>
      <c r="W1597" s="10">
        <v>6</v>
      </c>
      <c r="X1597" s="10">
        <v>8</v>
      </c>
      <c r="Y1597" s="11">
        <v>0.48148148148148145</v>
      </c>
      <c r="Z1597" s="11">
        <v>0.22222222222222221</v>
      </c>
      <c r="AA1597" s="11">
        <v>0.29629629629629628</v>
      </c>
    </row>
    <row r="1598" spans="21:27" x14ac:dyDescent="0.25">
      <c r="U1598" s="37">
        <v>36457</v>
      </c>
      <c r="V1598" s="10">
        <v>6</v>
      </c>
      <c r="W1598" s="10">
        <v>9</v>
      </c>
      <c r="X1598" s="10">
        <v>10</v>
      </c>
      <c r="Y1598" s="11">
        <v>0.24</v>
      </c>
      <c r="Z1598" s="11">
        <v>0.36</v>
      </c>
      <c r="AA1598" s="11">
        <v>0.4</v>
      </c>
    </row>
    <row r="1599" spans="21:27" x14ac:dyDescent="0.25">
      <c r="U1599" s="37">
        <v>36464</v>
      </c>
      <c r="V1599" s="10">
        <v>4</v>
      </c>
      <c r="W1599" s="10">
        <v>4</v>
      </c>
      <c r="X1599" s="10">
        <v>14</v>
      </c>
      <c r="Y1599" s="11">
        <v>0.18181818181818182</v>
      </c>
      <c r="Z1599" s="11">
        <v>0.18181818181818182</v>
      </c>
      <c r="AA1599" s="11">
        <v>0.63636363636363635</v>
      </c>
    </row>
    <row r="1600" spans="21:27" x14ac:dyDescent="0.25">
      <c r="U1600" s="37">
        <v>36465</v>
      </c>
      <c r="V1600" s="10">
        <v>7</v>
      </c>
      <c r="W1600" s="10">
        <v>5</v>
      </c>
      <c r="X1600" s="10">
        <v>12</v>
      </c>
      <c r="Y1600" s="11">
        <v>0.29166666666666669</v>
      </c>
      <c r="Z1600" s="11">
        <v>0.20833333333333334</v>
      </c>
      <c r="AA1600" s="11">
        <v>0.5</v>
      </c>
    </row>
    <row r="1601" spans="21:27" x14ac:dyDescent="0.25">
      <c r="U1601" s="37">
        <v>36471</v>
      </c>
      <c r="V1601" s="10">
        <v>10</v>
      </c>
      <c r="W1601" s="10">
        <v>8</v>
      </c>
      <c r="X1601" s="10">
        <v>18</v>
      </c>
      <c r="Y1601" s="11">
        <v>0.27777777777777779</v>
      </c>
      <c r="Z1601" s="11">
        <v>0.22222222222222221</v>
      </c>
      <c r="AA1601" s="11">
        <v>0.5</v>
      </c>
    </row>
    <row r="1602" spans="21:27" x14ac:dyDescent="0.25">
      <c r="U1602" s="37">
        <v>36478</v>
      </c>
      <c r="V1602" s="10">
        <v>6</v>
      </c>
      <c r="W1602" s="10">
        <v>2</v>
      </c>
      <c r="X1602" s="10">
        <v>4</v>
      </c>
      <c r="Y1602" s="11">
        <v>0.5</v>
      </c>
      <c r="Z1602" s="11">
        <v>0.16666666666666666</v>
      </c>
      <c r="AA1602" s="11">
        <v>0.33333333333333331</v>
      </c>
    </row>
    <row r="1603" spans="21:27" x14ac:dyDescent="0.25">
      <c r="U1603" s="37">
        <v>36485</v>
      </c>
      <c r="V1603" s="10">
        <v>4</v>
      </c>
      <c r="W1603" s="10">
        <v>5</v>
      </c>
      <c r="X1603" s="10">
        <v>8</v>
      </c>
      <c r="Y1603" s="11">
        <v>0.23529411764705882</v>
      </c>
      <c r="Z1603" s="11">
        <v>0.29411764705882354</v>
      </c>
      <c r="AA1603" s="11">
        <v>0.47058823529411764</v>
      </c>
    </row>
    <row r="1604" spans="21:27" x14ac:dyDescent="0.25">
      <c r="U1604" s="37">
        <v>36492</v>
      </c>
      <c r="V1604" s="10">
        <v>5</v>
      </c>
      <c r="W1604" s="10">
        <v>3</v>
      </c>
      <c r="X1604" s="10">
        <v>4</v>
      </c>
      <c r="Y1604" s="11">
        <v>0.41666666666666669</v>
      </c>
      <c r="Z1604" s="11">
        <v>0.25</v>
      </c>
      <c r="AA1604" s="11">
        <v>0.33333333333333331</v>
      </c>
    </row>
    <row r="1605" spans="21:27" x14ac:dyDescent="0.25">
      <c r="U1605" s="37">
        <v>36499</v>
      </c>
      <c r="V1605" s="10">
        <v>7</v>
      </c>
      <c r="W1605" s="10">
        <v>4</v>
      </c>
      <c r="X1605" s="10">
        <v>9</v>
      </c>
      <c r="Y1605" s="11">
        <v>0.35</v>
      </c>
      <c r="Z1605" s="11">
        <v>0.2</v>
      </c>
      <c r="AA1605" s="11">
        <v>0.45</v>
      </c>
    </row>
    <row r="1606" spans="21:27" x14ac:dyDescent="0.25">
      <c r="U1606" s="37">
        <v>36506</v>
      </c>
      <c r="V1606" s="10">
        <v>6</v>
      </c>
      <c r="W1606" s="10">
        <v>2</v>
      </c>
      <c r="X1606" s="10">
        <v>15</v>
      </c>
      <c r="Y1606" s="11">
        <v>0.2608695652173913</v>
      </c>
      <c r="Z1606" s="11">
        <v>8.6956521739130432E-2</v>
      </c>
      <c r="AA1606" s="11">
        <v>0.65217391304347827</v>
      </c>
    </row>
    <row r="1607" spans="21:27" x14ac:dyDescent="0.25">
      <c r="U1607" s="37">
        <v>36513</v>
      </c>
      <c r="V1607" s="10">
        <v>9</v>
      </c>
      <c r="W1607" s="10">
        <v>9</v>
      </c>
      <c r="X1607" s="10">
        <v>21</v>
      </c>
      <c r="Y1607" s="11">
        <v>0.23076923076923078</v>
      </c>
      <c r="Z1607" s="11">
        <v>0.23076923076923078</v>
      </c>
      <c r="AA1607" s="11">
        <v>0.53846153846153844</v>
      </c>
    </row>
    <row r="1608" spans="21:27" x14ac:dyDescent="0.25">
      <c r="U1608" s="37">
        <v>36518</v>
      </c>
      <c r="V1608" s="10">
        <v>11</v>
      </c>
      <c r="W1608" s="10">
        <v>5</v>
      </c>
      <c r="X1608" s="10">
        <v>6</v>
      </c>
      <c r="Y1608" s="11">
        <v>0.5</v>
      </c>
      <c r="Z1608" s="11">
        <v>0.22727272727272727</v>
      </c>
      <c r="AA1608" s="11">
        <v>0.27272727272727271</v>
      </c>
    </row>
    <row r="1609" spans="21:27" x14ac:dyDescent="0.25">
      <c r="U1609" s="37">
        <v>36519</v>
      </c>
      <c r="V1609" s="10">
        <v>4</v>
      </c>
      <c r="W1609" s="10">
        <v>6</v>
      </c>
      <c r="X1609" s="10">
        <v>6</v>
      </c>
      <c r="Y1609" s="11">
        <v>0.25</v>
      </c>
      <c r="Z1609" s="11">
        <v>0.375</v>
      </c>
      <c r="AA1609" s="11">
        <v>0.375</v>
      </c>
    </row>
    <row r="1610" spans="21:27" x14ac:dyDescent="0.25">
      <c r="U1610" s="37">
        <v>36520</v>
      </c>
      <c r="V1610" s="10">
        <v>3</v>
      </c>
      <c r="W1610" s="10">
        <v>4</v>
      </c>
      <c r="X1610" s="10">
        <v>7</v>
      </c>
      <c r="Y1610" s="11">
        <v>0.21428571428571427</v>
      </c>
      <c r="Z1610" s="11">
        <v>0.2857142857142857</v>
      </c>
      <c r="AA1610" s="11">
        <v>0.5</v>
      </c>
    </row>
    <row r="1611" spans="21:27" x14ac:dyDescent="0.25">
      <c r="U1611" s="37">
        <v>36527</v>
      </c>
      <c r="V1611" s="10">
        <v>2</v>
      </c>
      <c r="W1611" s="10">
        <v>4</v>
      </c>
      <c r="X1611" s="10">
        <v>5</v>
      </c>
      <c r="Y1611" s="11">
        <v>0.18181818181818182</v>
      </c>
      <c r="Z1611" s="11">
        <v>0.36363636363636365</v>
      </c>
      <c r="AA1611" s="11">
        <v>0.45454545454545453</v>
      </c>
    </row>
    <row r="1612" spans="21:27" x14ac:dyDescent="0.25">
      <c r="U1612" s="37">
        <v>36534</v>
      </c>
      <c r="V1612" s="10">
        <v>7</v>
      </c>
      <c r="W1612" s="10">
        <v>7</v>
      </c>
      <c r="X1612" s="10">
        <v>13</v>
      </c>
      <c r="Y1612" s="11">
        <v>0.25925925925925924</v>
      </c>
      <c r="Z1612" s="11">
        <v>0.25925925925925924</v>
      </c>
      <c r="AA1612" s="11">
        <v>0.48148148148148145</v>
      </c>
    </row>
    <row r="1613" spans="21:27" x14ac:dyDescent="0.25">
      <c r="U1613" s="37">
        <v>36541</v>
      </c>
      <c r="V1613" s="10">
        <v>3</v>
      </c>
      <c r="W1613" s="10">
        <v>4</v>
      </c>
      <c r="X1613" s="10">
        <v>12</v>
      </c>
      <c r="Y1613" s="11">
        <v>0.15789473684210525</v>
      </c>
      <c r="Z1613" s="11">
        <v>0.21052631578947367</v>
      </c>
      <c r="AA1613" s="11">
        <v>0.63157894736842102</v>
      </c>
    </row>
    <row r="1614" spans="21:27" x14ac:dyDescent="0.25">
      <c r="U1614" s="37">
        <v>36548</v>
      </c>
      <c r="V1614" s="10">
        <v>10</v>
      </c>
      <c r="W1614" s="10">
        <v>13</v>
      </c>
      <c r="X1614" s="10">
        <v>27</v>
      </c>
      <c r="Y1614" s="11">
        <v>0.2</v>
      </c>
      <c r="Z1614" s="11">
        <v>0.26</v>
      </c>
      <c r="AA1614" s="11">
        <v>0.54</v>
      </c>
    </row>
    <row r="1615" spans="21:27" x14ac:dyDescent="0.25">
      <c r="U1615" s="37">
        <v>36555</v>
      </c>
      <c r="V1615" s="10">
        <v>5</v>
      </c>
      <c r="W1615" s="10">
        <v>5</v>
      </c>
      <c r="X1615" s="10">
        <v>5</v>
      </c>
      <c r="Y1615" s="11">
        <v>0.33333333333333331</v>
      </c>
      <c r="Z1615" s="11">
        <v>0.33333333333333331</v>
      </c>
      <c r="AA1615" s="11">
        <v>0.33333333333333331</v>
      </c>
    </row>
    <row r="1616" spans="21:27" x14ac:dyDescent="0.25">
      <c r="U1616" s="37">
        <v>36562</v>
      </c>
      <c r="V1616" s="10">
        <v>6</v>
      </c>
      <c r="W1616" s="10">
        <v>3</v>
      </c>
      <c r="X1616" s="10">
        <v>3</v>
      </c>
      <c r="Y1616" s="11">
        <v>0.5</v>
      </c>
      <c r="Z1616" s="11">
        <v>0.25</v>
      </c>
      <c r="AA1616" s="11">
        <v>0.25</v>
      </c>
    </row>
    <row r="1617" spans="21:27" x14ac:dyDescent="0.25">
      <c r="U1617" s="37">
        <v>36569</v>
      </c>
      <c r="V1617" s="10">
        <v>13</v>
      </c>
      <c r="W1617" s="10">
        <v>5</v>
      </c>
      <c r="X1617" s="10">
        <v>10</v>
      </c>
      <c r="Y1617" s="11">
        <v>0.4642857142857143</v>
      </c>
      <c r="Z1617" s="11">
        <v>0.17857142857142858</v>
      </c>
      <c r="AA1617" s="11">
        <v>0.35714285714285715</v>
      </c>
    </row>
    <row r="1618" spans="21:27" x14ac:dyDescent="0.25">
      <c r="U1618" s="37">
        <v>36576</v>
      </c>
      <c r="V1618" s="10">
        <v>7</v>
      </c>
      <c r="W1618" s="10">
        <v>5</v>
      </c>
      <c r="X1618" s="10">
        <v>6</v>
      </c>
      <c r="Y1618" s="11">
        <v>0.3888888888888889</v>
      </c>
      <c r="Z1618" s="11">
        <v>0.27777777777777779</v>
      </c>
      <c r="AA1618" s="11">
        <v>0.33333333333333331</v>
      </c>
    </row>
    <row r="1619" spans="21:27" x14ac:dyDescent="0.25">
      <c r="U1619" s="37">
        <v>36583</v>
      </c>
      <c r="V1619" s="10">
        <v>19</v>
      </c>
      <c r="W1619" s="10">
        <v>3</v>
      </c>
      <c r="X1619" s="10">
        <v>11</v>
      </c>
      <c r="Y1619" s="11">
        <v>0.5757575757575758</v>
      </c>
      <c r="Z1619" s="11">
        <v>9.0909090909090912E-2</v>
      </c>
      <c r="AA1619" s="11">
        <v>0.33333333333333331</v>
      </c>
    </row>
    <row r="1620" spans="21:27" x14ac:dyDescent="0.25">
      <c r="U1620" s="37">
        <v>36590</v>
      </c>
      <c r="V1620" s="10">
        <v>6</v>
      </c>
      <c r="W1620" s="10">
        <v>5</v>
      </c>
      <c r="X1620" s="10">
        <v>9</v>
      </c>
      <c r="Y1620" s="11">
        <v>0.3</v>
      </c>
      <c r="Z1620" s="11">
        <v>0.25</v>
      </c>
      <c r="AA1620" s="11">
        <v>0.45</v>
      </c>
    </row>
    <row r="1621" spans="21:27" x14ac:dyDescent="0.25">
      <c r="U1621" s="37">
        <v>36597</v>
      </c>
      <c r="V1621" s="10">
        <v>6</v>
      </c>
      <c r="W1621" s="10">
        <v>1</v>
      </c>
      <c r="X1621" s="10">
        <v>3</v>
      </c>
      <c r="Y1621" s="11">
        <v>0.6</v>
      </c>
      <c r="Z1621" s="11">
        <v>0.1</v>
      </c>
      <c r="AA1621" s="11">
        <v>0.3</v>
      </c>
    </row>
    <row r="1622" spans="21:27" x14ac:dyDescent="0.25">
      <c r="U1622" s="37">
        <v>36604</v>
      </c>
      <c r="V1622" s="10">
        <v>4</v>
      </c>
      <c r="W1622" s="10">
        <v>3</v>
      </c>
      <c r="X1622" s="10">
        <v>9</v>
      </c>
      <c r="Y1622" s="11">
        <v>0.25</v>
      </c>
      <c r="Z1622" s="11">
        <v>0.1875</v>
      </c>
      <c r="AA1622" s="11">
        <v>0.5625</v>
      </c>
    </row>
    <row r="1623" spans="21:27" x14ac:dyDescent="0.25">
      <c r="U1623" s="37">
        <v>36611</v>
      </c>
      <c r="V1623" s="10">
        <v>17</v>
      </c>
      <c r="W1623" s="10">
        <v>8</v>
      </c>
      <c r="X1623" s="10">
        <v>18</v>
      </c>
      <c r="Y1623" s="11">
        <v>0.39534883720930231</v>
      </c>
      <c r="Z1623" s="11">
        <v>0.18604651162790697</v>
      </c>
      <c r="AA1623" s="11">
        <v>0.41860465116279072</v>
      </c>
    </row>
    <row r="1624" spans="21:27" x14ac:dyDescent="0.25">
      <c r="U1624" s="37">
        <v>36618</v>
      </c>
      <c r="V1624" s="10">
        <v>17</v>
      </c>
      <c r="W1624" s="10">
        <v>8</v>
      </c>
      <c r="X1624" s="10">
        <v>18</v>
      </c>
      <c r="Y1624" s="11">
        <v>0.39534883720930231</v>
      </c>
      <c r="Z1624" s="11">
        <v>0.18604651162790697</v>
      </c>
      <c r="AA1624" s="11">
        <v>0.41860465116279072</v>
      </c>
    </row>
    <row r="1625" spans="21:27" x14ac:dyDescent="0.25">
      <c r="U1625" s="37">
        <v>36625</v>
      </c>
      <c r="V1625" s="10">
        <v>14</v>
      </c>
      <c r="W1625" s="10">
        <v>8</v>
      </c>
      <c r="X1625" s="10">
        <v>10</v>
      </c>
      <c r="Y1625" s="11">
        <v>0.4375</v>
      </c>
      <c r="Z1625" s="11">
        <v>0.25</v>
      </c>
      <c r="AA1625" s="11">
        <v>0.3125</v>
      </c>
    </row>
    <row r="1626" spans="21:27" x14ac:dyDescent="0.25">
      <c r="U1626" s="37">
        <v>36632</v>
      </c>
      <c r="V1626" s="10">
        <v>7</v>
      </c>
      <c r="W1626" s="10">
        <v>5</v>
      </c>
      <c r="X1626" s="10">
        <v>5</v>
      </c>
      <c r="Y1626" s="11">
        <v>0.41176470588235292</v>
      </c>
      <c r="Z1626" s="11">
        <v>0.29411764705882354</v>
      </c>
      <c r="AA1626" s="11">
        <v>0.29411764705882354</v>
      </c>
    </row>
    <row r="1627" spans="21:27" x14ac:dyDescent="0.25">
      <c r="U1627" s="37">
        <v>36639</v>
      </c>
      <c r="V1627" s="10">
        <v>3</v>
      </c>
      <c r="W1627" s="10">
        <v>7</v>
      </c>
      <c r="X1627" s="10">
        <v>5</v>
      </c>
      <c r="Y1627" s="11">
        <v>0.2</v>
      </c>
      <c r="Z1627" s="11">
        <v>0.46666666666666667</v>
      </c>
      <c r="AA1627" s="11">
        <v>0.33333333333333331</v>
      </c>
    </row>
    <row r="1628" spans="21:27" x14ac:dyDescent="0.25">
      <c r="U1628" s="37">
        <v>36646</v>
      </c>
      <c r="V1628" s="10">
        <v>8</v>
      </c>
      <c r="W1628" s="10">
        <v>5</v>
      </c>
      <c r="X1628" s="10">
        <v>11</v>
      </c>
      <c r="Y1628" s="11">
        <v>0.33333333333333331</v>
      </c>
      <c r="Z1628" s="11">
        <v>0.20833333333333334</v>
      </c>
      <c r="AA1628" s="11">
        <v>0.45833333333333331</v>
      </c>
    </row>
    <row r="1629" spans="21:27" x14ac:dyDescent="0.25">
      <c r="U1629" s="37">
        <v>36653</v>
      </c>
      <c r="V1629" s="10">
        <v>2</v>
      </c>
      <c r="W1629" s="10">
        <v>1</v>
      </c>
      <c r="X1629" s="10">
        <v>8</v>
      </c>
      <c r="Y1629" s="11">
        <v>0.18181818181818182</v>
      </c>
      <c r="Z1629" s="11">
        <v>9.0909090909090912E-2</v>
      </c>
      <c r="AA1629" s="11">
        <v>0.72727272727272729</v>
      </c>
    </row>
    <row r="1630" spans="21:27" x14ac:dyDescent="0.25">
      <c r="U1630" s="37">
        <v>36660</v>
      </c>
      <c r="V1630" s="10">
        <v>2</v>
      </c>
      <c r="W1630" s="10">
        <v>4</v>
      </c>
      <c r="X1630" s="10">
        <v>5</v>
      </c>
      <c r="Y1630" s="11">
        <v>0.18181818181818182</v>
      </c>
      <c r="Z1630" s="11">
        <v>0.36363636363636365</v>
      </c>
      <c r="AA1630" s="11">
        <v>0.45454545454545453</v>
      </c>
    </row>
    <row r="1631" spans="21:27" x14ac:dyDescent="0.25">
      <c r="U1631" s="37">
        <v>36667</v>
      </c>
      <c r="V1631" s="10">
        <v>9</v>
      </c>
      <c r="W1631" s="10">
        <v>12</v>
      </c>
      <c r="X1631" s="10">
        <v>10</v>
      </c>
      <c r="Y1631" s="11">
        <v>0.29032258064516131</v>
      </c>
      <c r="Z1631" s="11">
        <v>0.38709677419354838</v>
      </c>
      <c r="AA1631" s="11">
        <v>0.32258064516129031</v>
      </c>
    </row>
    <row r="1632" spans="21:27" x14ac:dyDescent="0.25">
      <c r="U1632" s="37">
        <v>36674</v>
      </c>
      <c r="V1632" s="10">
        <v>13</v>
      </c>
      <c r="W1632" s="10">
        <v>7</v>
      </c>
      <c r="X1632" s="10">
        <v>11</v>
      </c>
      <c r="Y1632" s="11">
        <v>0.41935483870967744</v>
      </c>
      <c r="Z1632" s="11">
        <v>0.22580645161290322</v>
      </c>
      <c r="AA1632" s="11">
        <v>0.35483870967741937</v>
      </c>
    </row>
    <row r="1633" spans="21:27" x14ac:dyDescent="0.25">
      <c r="U1633" s="37">
        <v>36678</v>
      </c>
      <c r="V1633" s="10">
        <v>9</v>
      </c>
      <c r="W1633" s="10">
        <v>8</v>
      </c>
      <c r="X1633" s="10">
        <v>14</v>
      </c>
      <c r="Y1633" s="11">
        <v>0.29032258064516131</v>
      </c>
      <c r="Z1633" s="11">
        <v>0.25806451612903225</v>
      </c>
      <c r="AA1633" s="11">
        <v>0.45161290322580644</v>
      </c>
    </row>
    <row r="1634" spans="21:27" x14ac:dyDescent="0.25">
      <c r="U1634" s="37">
        <v>36681</v>
      </c>
      <c r="V1634" s="10">
        <v>3</v>
      </c>
      <c r="W1634" s="10">
        <v>3</v>
      </c>
      <c r="X1634" s="10">
        <v>9</v>
      </c>
      <c r="Y1634" s="11">
        <v>0.2</v>
      </c>
      <c r="Z1634" s="11">
        <v>0.2</v>
      </c>
      <c r="AA1634" s="11">
        <v>0.6</v>
      </c>
    </row>
    <row r="1635" spans="21:27" x14ac:dyDescent="0.25">
      <c r="U1635" s="37">
        <v>36688</v>
      </c>
      <c r="V1635" s="10">
        <v>23</v>
      </c>
      <c r="W1635" s="10">
        <v>3</v>
      </c>
      <c r="X1635" s="10">
        <v>18</v>
      </c>
      <c r="Y1635" s="11">
        <v>0.52272727272727271</v>
      </c>
      <c r="Z1635" s="11">
        <v>6.8181818181818177E-2</v>
      </c>
      <c r="AA1635" s="11">
        <v>0.40909090909090912</v>
      </c>
    </row>
    <row r="1636" spans="21:27" x14ac:dyDescent="0.25">
      <c r="U1636" s="37">
        <v>36695</v>
      </c>
      <c r="V1636" s="10">
        <v>12</v>
      </c>
      <c r="W1636" s="10">
        <v>6</v>
      </c>
      <c r="X1636" s="10">
        <v>20</v>
      </c>
      <c r="Y1636" s="11">
        <v>0.31578947368421051</v>
      </c>
      <c r="Z1636" s="11">
        <v>0.15789473684210525</v>
      </c>
      <c r="AA1636" s="11">
        <v>0.52631578947368418</v>
      </c>
    </row>
    <row r="1637" spans="21:27" x14ac:dyDescent="0.25">
      <c r="U1637" s="37">
        <v>36702</v>
      </c>
      <c r="V1637" s="10">
        <v>10</v>
      </c>
      <c r="W1637" s="10">
        <v>5</v>
      </c>
      <c r="X1637" s="10">
        <v>11</v>
      </c>
      <c r="Y1637" s="11">
        <v>0.38461538461538464</v>
      </c>
      <c r="Z1637" s="11">
        <v>0.19230769230769232</v>
      </c>
      <c r="AA1637" s="11">
        <v>0.42307692307692307</v>
      </c>
    </row>
    <row r="1638" spans="21:27" x14ac:dyDescent="0.25">
      <c r="U1638" s="37">
        <v>36709</v>
      </c>
      <c r="V1638" s="10">
        <v>13</v>
      </c>
      <c r="W1638" s="10">
        <v>4</v>
      </c>
      <c r="X1638" s="10">
        <v>11</v>
      </c>
      <c r="Y1638" s="11">
        <v>0.4642857142857143</v>
      </c>
      <c r="Z1638" s="11">
        <v>0.14285714285714285</v>
      </c>
      <c r="AA1638" s="11">
        <v>0.39285714285714285</v>
      </c>
    </row>
    <row r="1639" spans="21:27" x14ac:dyDescent="0.25">
      <c r="U1639" s="37">
        <v>36716</v>
      </c>
      <c r="V1639" s="10">
        <v>9</v>
      </c>
      <c r="W1639" s="10">
        <v>3</v>
      </c>
      <c r="X1639" s="10">
        <v>7</v>
      </c>
      <c r="Y1639" s="11">
        <v>0.47368421052631576</v>
      </c>
      <c r="Z1639" s="11">
        <v>0.15789473684210525</v>
      </c>
      <c r="AA1639" s="11">
        <v>0.36842105263157893</v>
      </c>
    </row>
    <row r="1640" spans="21:27" x14ac:dyDescent="0.25">
      <c r="U1640" s="37">
        <v>36723</v>
      </c>
      <c r="V1640" s="10">
        <v>5</v>
      </c>
      <c r="W1640" s="10">
        <v>5</v>
      </c>
      <c r="X1640" s="10">
        <v>15</v>
      </c>
      <c r="Y1640" s="11">
        <v>0.2</v>
      </c>
      <c r="Z1640" s="11">
        <v>0.2</v>
      </c>
      <c r="AA1640" s="11">
        <v>0.6</v>
      </c>
    </row>
    <row r="1641" spans="21:27" x14ac:dyDescent="0.25">
      <c r="U1641" s="37">
        <v>36730</v>
      </c>
      <c r="V1641" s="10">
        <v>5</v>
      </c>
      <c r="W1641" s="10">
        <v>2</v>
      </c>
      <c r="X1641" s="10">
        <v>5</v>
      </c>
      <c r="Y1641" s="11">
        <v>0.41666666666666669</v>
      </c>
      <c r="Z1641" s="11">
        <v>0.16666666666666666</v>
      </c>
      <c r="AA1641" s="11">
        <v>0.41666666666666669</v>
      </c>
    </row>
    <row r="1642" spans="21:27" x14ac:dyDescent="0.25">
      <c r="U1642" s="37">
        <v>36737</v>
      </c>
      <c r="V1642" s="10">
        <v>7</v>
      </c>
      <c r="W1642" s="10">
        <v>2</v>
      </c>
      <c r="X1642" s="10">
        <v>10</v>
      </c>
      <c r="Y1642" s="11">
        <v>0.36842105263157893</v>
      </c>
      <c r="Z1642" s="11">
        <v>0.10526315789473684</v>
      </c>
      <c r="AA1642" s="11">
        <v>0.52631578947368418</v>
      </c>
    </row>
    <row r="1643" spans="21:27" x14ac:dyDescent="0.25">
      <c r="U1643" s="37">
        <v>36744</v>
      </c>
      <c r="V1643" s="10">
        <v>5</v>
      </c>
      <c r="W1643" s="10">
        <v>2</v>
      </c>
      <c r="X1643" s="10">
        <v>14</v>
      </c>
      <c r="Y1643" s="11">
        <v>0.23809523809523808</v>
      </c>
      <c r="Z1643" s="11">
        <v>9.5238095238095233E-2</v>
      </c>
      <c r="AA1643" s="11">
        <v>0.66666666666666663</v>
      </c>
    </row>
    <row r="1644" spans="21:27" x14ac:dyDescent="0.25">
      <c r="U1644" s="37">
        <v>36751</v>
      </c>
      <c r="V1644" s="10">
        <v>7</v>
      </c>
      <c r="W1644" s="10">
        <v>2</v>
      </c>
      <c r="X1644" s="10">
        <v>2</v>
      </c>
      <c r="Y1644" s="11">
        <v>0.63636363636363635</v>
      </c>
      <c r="Z1644" s="11">
        <v>0.18181818181818182</v>
      </c>
      <c r="AA1644" s="11">
        <v>0.18181818181818182</v>
      </c>
    </row>
    <row r="1645" spans="21:27" x14ac:dyDescent="0.25">
      <c r="U1645" s="37">
        <v>36753</v>
      </c>
      <c r="V1645" s="10">
        <v>10</v>
      </c>
      <c r="W1645" s="10">
        <v>11</v>
      </c>
      <c r="X1645" s="10">
        <v>10</v>
      </c>
      <c r="Y1645" s="11">
        <v>0.32258064516129031</v>
      </c>
      <c r="Z1645" s="11">
        <v>0.35483870967741937</v>
      </c>
      <c r="AA1645" s="11">
        <v>0.32258064516129031</v>
      </c>
    </row>
    <row r="1646" spans="21:27" x14ac:dyDescent="0.25">
      <c r="U1646" s="37">
        <v>36758</v>
      </c>
      <c r="V1646" s="10">
        <v>8</v>
      </c>
      <c r="W1646" s="10">
        <v>9</v>
      </c>
      <c r="X1646" s="10">
        <v>23</v>
      </c>
      <c r="Y1646" s="11">
        <v>0.2</v>
      </c>
      <c r="Z1646" s="11">
        <v>0.22500000000000001</v>
      </c>
      <c r="AA1646" s="11">
        <v>0.57499999999999996</v>
      </c>
    </row>
    <row r="1647" spans="21:27" x14ac:dyDescent="0.25">
      <c r="U1647" s="37">
        <v>36765</v>
      </c>
      <c r="V1647" s="10">
        <v>14</v>
      </c>
      <c r="W1647" s="10">
        <v>1</v>
      </c>
      <c r="X1647" s="10">
        <v>10</v>
      </c>
      <c r="Y1647" s="11">
        <v>0.56000000000000005</v>
      </c>
      <c r="Z1647" s="11">
        <v>0.04</v>
      </c>
      <c r="AA1647" s="11">
        <v>0.4</v>
      </c>
    </row>
    <row r="1648" spans="21:27" x14ac:dyDescent="0.25">
      <c r="U1648" s="37">
        <v>36772</v>
      </c>
      <c r="V1648" s="10">
        <v>4</v>
      </c>
      <c r="W1648" s="10">
        <v>6</v>
      </c>
      <c r="X1648" s="10">
        <v>10</v>
      </c>
      <c r="Y1648" s="11">
        <v>0.2</v>
      </c>
      <c r="Z1648" s="11">
        <v>0.3</v>
      </c>
      <c r="AA1648" s="11">
        <v>0.5</v>
      </c>
    </row>
    <row r="1649" spans="21:27" x14ac:dyDescent="0.25">
      <c r="U1649" s="37">
        <v>36779</v>
      </c>
      <c r="V1649" s="10">
        <v>11</v>
      </c>
      <c r="W1649" s="10">
        <v>5</v>
      </c>
      <c r="X1649" s="10">
        <v>8</v>
      </c>
      <c r="Y1649" s="11">
        <v>0.45833333333333331</v>
      </c>
      <c r="Z1649" s="11">
        <v>0.20833333333333334</v>
      </c>
      <c r="AA1649" s="11">
        <v>0.33333333333333331</v>
      </c>
    </row>
    <row r="1650" spans="21:27" x14ac:dyDescent="0.25">
      <c r="U1650" s="37">
        <v>36786</v>
      </c>
      <c r="V1650" s="10">
        <v>0</v>
      </c>
      <c r="W1650" s="10">
        <v>1</v>
      </c>
      <c r="X1650" s="10">
        <v>2</v>
      </c>
      <c r="Y1650" s="11">
        <v>0</v>
      </c>
      <c r="Z1650" s="11">
        <v>0.33333333333333331</v>
      </c>
      <c r="AA1650" s="11">
        <v>0.66666666666666663</v>
      </c>
    </row>
    <row r="1651" spans="21:27" x14ac:dyDescent="0.25">
      <c r="U1651" s="37">
        <v>36793</v>
      </c>
      <c r="V1651" s="10">
        <v>10</v>
      </c>
      <c r="W1651" s="10">
        <v>7</v>
      </c>
      <c r="X1651" s="10">
        <v>10</v>
      </c>
      <c r="Y1651" s="11">
        <v>0.37037037037037035</v>
      </c>
      <c r="Z1651" s="11">
        <v>0.25925925925925924</v>
      </c>
      <c r="AA1651" s="11">
        <v>0.37037037037037035</v>
      </c>
    </row>
    <row r="1652" spans="21:27" x14ac:dyDescent="0.25">
      <c r="U1652" s="37">
        <v>36800</v>
      </c>
      <c r="V1652" s="10">
        <v>13</v>
      </c>
      <c r="W1652" s="10">
        <v>2</v>
      </c>
      <c r="X1652" s="10">
        <v>9</v>
      </c>
      <c r="Y1652" s="11">
        <v>0.54166666666666663</v>
      </c>
      <c r="Z1652" s="11">
        <v>8.3333333333333329E-2</v>
      </c>
      <c r="AA1652" s="11">
        <v>0.375</v>
      </c>
    </row>
    <row r="1653" spans="21:27" x14ac:dyDescent="0.25">
      <c r="U1653" s="37">
        <v>36807</v>
      </c>
      <c r="V1653" s="10">
        <v>8</v>
      </c>
      <c r="W1653" s="10">
        <v>2</v>
      </c>
      <c r="X1653" s="10">
        <v>4</v>
      </c>
      <c r="Y1653" s="11">
        <v>0.5714285714285714</v>
      </c>
      <c r="Z1653" s="11">
        <v>0.14285714285714285</v>
      </c>
      <c r="AA1653" s="11">
        <v>0.2857142857142857</v>
      </c>
    </row>
    <row r="1654" spans="21:27" x14ac:dyDescent="0.25">
      <c r="U1654" s="37">
        <v>36814</v>
      </c>
      <c r="V1654" s="10">
        <v>3</v>
      </c>
      <c r="W1654" s="10">
        <v>3</v>
      </c>
      <c r="X1654" s="10">
        <v>12</v>
      </c>
      <c r="Y1654" s="11">
        <v>0.16666666666666666</v>
      </c>
      <c r="Z1654" s="11">
        <v>0.16666666666666666</v>
      </c>
      <c r="AA1654" s="11">
        <v>0.66666666666666663</v>
      </c>
    </row>
    <row r="1655" spans="21:27" x14ac:dyDescent="0.25">
      <c r="U1655" s="37">
        <v>36821</v>
      </c>
      <c r="V1655" s="10">
        <v>1</v>
      </c>
      <c r="W1655" s="10">
        <v>4</v>
      </c>
      <c r="X1655" s="10">
        <v>3</v>
      </c>
      <c r="Y1655" s="11">
        <v>0.125</v>
      </c>
      <c r="Z1655" s="11">
        <v>0.5</v>
      </c>
      <c r="AA1655" s="11">
        <v>0.375</v>
      </c>
    </row>
    <row r="1656" spans="21:27" x14ac:dyDescent="0.25">
      <c r="U1656" s="37">
        <v>36828</v>
      </c>
      <c r="V1656" s="10">
        <v>8</v>
      </c>
      <c r="W1656" s="10">
        <v>4</v>
      </c>
      <c r="X1656" s="10">
        <v>7</v>
      </c>
      <c r="Y1656" s="11">
        <v>0.42105263157894735</v>
      </c>
      <c r="Z1656" s="11">
        <v>0.21052631578947367</v>
      </c>
      <c r="AA1656" s="11">
        <v>0.36842105263157893</v>
      </c>
    </row>
    <row r="1657" spans="21:27" x14ac:dyDescent="0.25">
      <c r="U1657" s="37">
        <v>36831</v>
      </c>
      <c r="V1657" s="10">
        <v>2</v>
      </c>
      <c r="W1657" s="10">
        <v>3</v>
      </c>
      <c r="X1657" s="10">
        <v>6</v>
      </c>
      <c r="Y1657" s="11">
        <v>0.18181818181818182</v>
      </c>
      <c r="Z1657" s="11">
        <v>0.27272727272727271</v>
      </c>
      <c r="AA1657" s="11">
        <v>0.54545454545454541</v>
      </c>
    </row>
    <row r="1658" spans="21:27" x14ac:dyDescent="0.25">
      <c r="U1658" s="37">
        <v>36835</v>
      </c>
      <c r="V1658" s="10">
        <v>4</v>
      </c>
      <c r="W1658" s="10">
        <v>8</v>
      </c>
      <c r="X1658" s="10">
        <v>5</v>
      </c>
      <c r="Y1658" s="11">
        <v>0.23529411764705882</v>
      </c>
      <c r="Z1658" s="11">
        <v>0.47058823529411764</v>
      </c>
      <c r="AA1658" s="11">
        <v>0.29411764705882354</v>
      </c>
    </row>
    <row r="1659" spans="21:27" x14ac:dyDescent="0.25">
      <c r="U1659" s="37">
        <v>36842</v>
      </c>
      <c r="V1659" s="10">
        <v>6</v>
      </c>
      <c r="W1659" s="10">
        <v>2</v>
      </c>
      <c r="X1659" s="10">
        <v>3</v>
      </c>
      <c r="Y1659" s="11">
        <v>0.54545454545454541</v>
      </c>
      <c r="Z1659" s="11">
        <v>0.18181818181818182</v>
      </c>
      <c r="AA1659" s="11">
        <v>0.27272727272727271</v>
      </c>
    </row>
    <row r="1660" spans="21:27" x14ac:dyDescent="0.25">
      <c r="U1660" s="37">
        <v>36849</v>
      </c>
      <c r="V1660" s="10">
        <v>6</v>
      </c>
      <c r="W1660" s="10">
        <v>11</v>
      </c>
      <c r="X1660" s="10">
        <v>17</v>
      </c>
      <c r="Y1660" s="11">
        <v>0.17647058823529413</v>
      </c>
      <c r="Z1660" s="11">
        <v>0.3235294117647059</v>
      </c>
      <c r="AA1660" s="11">
        <v>0.5</v>
      </c>
    </row>
    <row r="1661" spans="21:27" x14ac:dyDescent="0.25">
      <c r="U1661" s="37">
        <v>36856</v>
      </c>
      <c r="V1661" s="10">
        <v>2</v>
      </c>
      <c r="W1661" s="10">
        <v>4</v>
      </c>
      <c r="X1661" s="10">
        <v>6</v>
      </c>
      <c r="Y1661" s="11">
        <v>0.16666666666666666</v>
      </c>
      <c r="Z1661" s="11">
        <v>0.33333333333333331</v>
      </c>
      <c r="AA1661" s="11">
        <v>0.5</v>
      </c>
    </row>
    <row r="1662" spans="21:27" x14ac:dyDescent="0.25">
      <c r="U1662" s="37">
        <v>36863</v>
      </c>
      <c r="V1662" s="10">
        <v>4</v>
      </c>
      <c r="W1662" s="10">
        <v>1</v>
      </c>
      <c r="X1662" s="10">
        <v>10</v>
      </c>
      <c r="Y1662" s="11">
        <v>0.26666666666666666</v>
      </c>
      <c r="Z1662" s="11">
        <v>6.6666666666666666E-2</v>
      </c>
      <c r="AA1662" s="11">
        <v>0.66666666666666663</v>
      </c>
    </row>
    <row r="1663" spans="21:27" x14ac:dyDescent="0.25">
      <c r="U1663" s="37">
        <v>36870</v>
      </c>
      <c r="V1663" s="10">
        <v>5</v>
      </c>
      <c r="W1663" s="10">
        <v>2</v>
      </c>
      <c r="X1663" s="10">
        <v>8</v>
      </c>
      <c r="Y1663" s="11">
        <v>0.33333333333333331</v>
      </c>
      <c r="Z1663" s="11">
        <v>0.13333333333333333</v>
      </c>
      <c r="AA1663" s="11">
        <v>0.53333333333333333</v>
      </c>
    </row>
    <row r="1664" spans="21:27" x14ac:dyDescent="0.25">
      <c r="U1664" s="37">
        <v>36877</v>
      </c>
      <c r="V1664" s="10">
        <v>5</v>
      </c>
      <c r="W1664" s="10">
        <v>4</v>
      </c>
      <c r="X1664" s="10">
        <v>13</v>
      </c>
      <c r="Y1664" s="11">
        <v>0.22727272727272727</v>
      </c>
      <c r="Z1664" s="11">
        <v>0.18181818181818182</v>
      </c>
      <c r="AA1664" s="11">
        <v>0.59090909090909094</v>
      </c>
    </row>
    <row r="1665" spans="21:27" x14ac:dyDescent="0.25">
      <c r="U1665" s="37">
        <v>36884</v>
      </c>
      <c r="V1665" s="10">
        <v>10</v>
      </c>
      <c r="W1665" s="10">
        <v>6</v>
      </c>
      <c r="X1665" s="10">
        <v>17</v>
      </c>
      <c r="Y1665" s="11">
        <v>0.30303030303030304</v>
      </c>
      <c r="Z1665" s="11">
        <v>0.18181818181818182</v>
      </c>
      <c r="AA1665" s="11">
        <v>0.51515151515151514</v>
      </c>
    </row>
    <row r="1666" spans="21:27" x14ac:dyDescent="0.25">
      <c r="U1666" s="37">
        <v>36884</v>
      </c>
      <c r="V1666" s="10">
        <v>4</v>
      </c>
      <c r="W1666" s="10">
        <v>4</v>
      </c>
      <c r="X1666" s="10">
        <v>13</v>
      </c>
      <c r="Y1666" s="11">
        <v>0.19047619047619047</v>
      </c>
      <c r="Z1666" s="11">
        <v>0.19047619047619047</v>
      </c>
      <c r="AA1666" s="11">
        <v>0.61904761904761907</v>
      </c>
    </row>
    <row r="1667" spans="21:27" x14ac:dyDescent="0.25">
      <c r="U1667" s="37">
        <v>36885</v>
      </c>
      <c r="V1667" s="10">
        <v>1</v>
      </c>
      <c r="W1667" s="10">
        <v>4</v>
      </c>
      <c r="X1667" s="10">
        <v>3</v>
      </c>
      <c r="Y1667" s="11">
        <v>0.125</v>
      </c>
      <c r="Z1667" s="11">
        <v>0.5</v>
      </c>
      <c r="AA1667" s="11">
        <v>0.375</v>
      </c>
    </row>
    <row r="1668" spans="21:27" x14ac:dyDescent="0.25">
      <c r="U1668" s="37">
        <v>36891</v>
      </c>
      <c r="V1668" s="10">
        <v>3</v>
      </c>
      <c r="W1668" s="10">
        <v>1</v>
      </c>
      <c r="X1668" s="10">
        <v>1</v>
      </c>
      <c r="Y1668" s="11">
        <v>0.6</v>
      </c>
      <c r="Z1668" s="11">
        <v>0.2</v>
      </c>
      <c r="AA1668" s="11">
        <v>0.2</v>
      </c>
    </row>
    <row r="1669" spans="21:27" x14ac:dyDescent="0.25">
      <c r="U1669" s="37">
        <v>36898</v>
      </c>
      <c r="V1669" s="10">
        <v>5</v>
      </c>
      <c r="W1669" s="10">
        <v>9</v>
      </c>
      <c r="X1669" s="10">
        <v>6</v>
      </c>
      <c r="Y1669" s="11">
        <v>0.25</v>
      </c>
      <c r="Z1669" s="11">
        <v>0.45</v>
      </c>
      <c r="AA1669" s="11">
        <v>0.3</v>
      </c>
    </row>
    <row r="1670" spans="21:27" x14ac:dyDescent="0.25">
      <c r="U1670" s="37">
        <v>36905</v>
      </c>
      <c r="V1670" s="10">
        <v>6</v>
      </c>
      <c r="W1670" s="10">
        <v>4</v>
      </c>
      <c r="X1670" s="10">
        <v>15</v>
      </c>
      <c r="Y1670" s="11">
        <v>0.24</v>
      </c>
      <c r="Z1670" s="11">
        <v>0.16</v>
      </c>
      <c r="AA1670" s="11">
        <v>0.6</v>
      </c>
    </row>
    <row r="1671" spans="21:27" x14ac:dyDescent="0.25">
      <c r="U1671" s="37">
        <v>36912</v>
      </c>
      <c r="V1671" s="10">
        <v>8</v>
      </c>
      <c r="W1671" s="10">
        <v>7</v>
      </c>
      <c r="X1671" s="10">
        <v>19</v>
      </c>
      <c r="Y1671" s="11">
        <v>0.23529411764705882</v>
      </c>
      <c r="Z1671" s="11">
        <v>0.20588235294117646</v>
      </c>
      <c r="AA1671" s="11">
        <v>0.55882352941176472</v>
      </c>
    </row>
    <row r="1672" spans="21:27" x14ac:dyDescent="0.25">
      <c r="U1672" s="37">
        <v>36919</v>
      </c>
      <c r="V1672" s="10">
        <v>5</v>
      </c>
      <c r="W1672" s="10">
        <v>9</v>
      </c>
      <c r="X1672" s="10">
        <v>7</v>
      </c>
      <c r="Y1672" s="11">
        <v>0.23809523809523808</v>
      </c>
      <c r="Z1672" s="11">
        <v>0.42857142857142855</v>
      </c>
      <c r="AA1672" s="11">
        <v>0.33333333333333331</v>
      </c>
    </row>
    <row r="1673" spans="21:27" x14ac:dyDescent="0.25">
      <c r="U1673" s="37">
        <v>36926</v>
      </c>
      <c r="V1673" s="10">
        <v>6</v>
      </c>
      <c r="W1673" s="10">
        <v>5</v>
      </c>
      <c r="X1673" s="10">
        <v>9</v>
      </c>
      <c r="Y1673" s="11">
        <v>0.3</v>
      </c>
      <c r="Z1673" s="11">
        <v>0.25</v>
      </c>
      <c r="AA1673" s="11">
        <v>0.45</v>
      </c>
    </row>
    <row r="1674" spans="21:27" x14ac:dyDescent="0.25">
      <c r="U1674" s="37">
        <v>36933</v>
      </c>
      <c r="V1674" s="10">
        <v>0</v>
      </c>
      <c r="W1674" s="10">
        <v>0</v>
      </c>
      <c r="X1674" s="10">
        <v>0</v>
      </c>
      <c r="Y1674" s="11" t="e">
        <v>#DIV/0!</v>
      </c>
      <c r="Z1674" s="11" t="e">
        <v>#DIV/0!</v>
      </c>
      <c r="AA1674" s="11" t="e">
        <v>#DIV/0!</v>
      </c>
    </row>
    <row r="1675" spans="21:27" x14ac:dyDescent="0.25">
      <c r="U1675" s="37">
        <v>36940</v>
      </c>
      <c r="V1675" s="10">
        <v>11</v>
      </c>
      <c r="W1675" s="10">
        <v>3</v>
      </c>
      <c r="X1675" s="10">
        <v>9</v>
      </c>
      <c r="Y1675" s="11">
        <v>0.47826086956521741</v>
      </c>
      <c r="Z1675" s="11">
        <v>0.13043478260869565</v>
      </c>
      <c r="AA1675" s="11">
        <v>0.39130434782608697</v>
      </c>
    </row>
    <row r="1676" spans="21:27" x14ac:dyDescent="0.25">
      <c r="U1676" s="37">
        <v>36947</v>
      </c>
      <c r="V1676" s="10">
        <v>3</v>
      </c>
      <c r="W1676" s="10">
        <v>1</v>
      </c>
      <c r="X1676" s="10">
        <v>7</v>
      </c>
      <c r="Y1676" s="11">
        <v>0.27272727272727271</v>
      </c>
      <c r="Z1676" s="11">
        <v>9.0909090909090912E-2</v>
      </c>
      <c r="AA1676" s="11">
        <v>0.63636363636363635</v>
      </c>
    </row>
    <row r="1677" spans="21:27" x14ac:dyDescent="0.25">
      <c r="U1677" s="37">
        <v>36954</v>
      </c>
      <c r="V1677" s="10">
        <v>5</v>
      </c>
      <c r="W1677" s="10">
        <v>6</v>
      </c>
      <c r="X1677" s="10">
        <v>10</v>
      </c>
      <c r="Y1677" s="11">
        <v>0.23809523809523808</v>
      </c>
      <c r="Z1677" s="11">
        <v>0.2857142857142857</v>
      </c>
      <c r="AA1677" s="11">
        <v>0.47619047619047616</v>
      </c>
    </row>
    <row r="1678" spans="21:27" x14ac:dyDescent="0.25">
      <c r="U1678" s="37">
        <v>36961</v>
      </c>
      <c r="V1678" s="10">
        <v>3</v>
      </c>
      <c r="W1678" s="10">
        <v>3</v>
      </c>
      <c r="X1678" s="10">
        <v>12</v>
      </c>
      <c r="Y1678" s="11">
        <v>0.16666666666666666</v>
      </c>
      <c r="Z1678" s="11">
        <v>0.16666666666666666</v>
      </c>
      <c r="AA1678" s="11">
        <v>0.66666666666666663</v>
      </c>
    </row>
    <row r="1679" spans="21:27" x14ac:dyDescent="0.25">
      <c r="U1679" s="37">
        <v>36968</v>
      </c>
      <c r="V1679" s="10">
        <v>13</v>
      </c>
      <c r="W1679" s="10">
        <v>5</v>
      </c>
      <c r="X1679" s="10">
        <v>8</v>
      </c>
      <c r="Y1679" s="11">
        <v>0.5</v>
      </c>
      <c r="Z1679" s="11">
        <v>0.19230769230769232</v>
      </c>
      <c r="AA1679" s="11">
        <v>0.30769230769230771</v>
      </c>
    </row>
    <row r="1680" spans="21:27" x14ac:dyDescent="0.25">
      <c r="U1680" s="37">
        <v>36975</v>
      </c>
      <c r="V1680" s="10">
        <v>6</v>
      </c>
      <c r="W1680" s="10">
        <v>7</v>
      </c>
      <c r="X1680" s="10">
        <v>17</v>
      </c>
      <c r="Y1680" s="11">
        <v>0.2</v>
      </c>
      <c r="Z1680" s="11">
        <v>0.23333333333333334</v>
      </c>
      <c r="AA1680" s="11">
        <v>0.56666666666666665</v>
      </c>
    </row>
    <row r="1681" spans="21:27" x14ac:dyDescent="0.25">
      <c r="U1681" s="37">
        <v>36982</v>
      </c>
      <c r="V1681" s="10">
        <v>10</v>
      </c>
      <c r="W1681" s="10">
        <v>3</v>
      </c>
      <c r="X1681" s="10">
        <v>7</v>
      </c>
      <c r="Y1681" s="11">
        <v>0.5</v>
      </c>
      <c r="Z1681" s="11">
        <v>0.15</v>
      </c>
      <c r="AA1681" s="11">
        <v>0.35</v>
      </c>
    </row>
    <row r="1682" spans="21:27" x14ac:dyDescent="0.25">
      <c r="U1682" s="37">
        <v>36989</v>
      </c>
      <c r="V1682" s="10">
        <v>3</v>
      </c>
      <c r="W1682" s="10">
        <v>7</v>
      </c>
      <c r="X1682" s="10">
        <v>6</v>
      </c>
      <c r="Y1682" s="11">
        <v>0.1875</v>
      </c>
      <c r="Z1682" s="11">
        <v>0.4375</v>
      </c>
      <c r="AA1682" s="11">
        <v>0.375</v>
      </c>
    </row>
    <row r="1683" spans="21:27" x14ac:dyDescent="0.25">
      <c r="U1683" s="37">
        <v>36996</v>
      </c>
      <c r="V1683" s="10">
        <v>5</v>
      </c>
      <c r="W1683" s="10">
        <v>10</v>
      </c>
      <c r="X1683" s="10">
        <v>10</v>
      </c>
      <c r="Y1683" s="11">
        <v>0.2</v>
      </c>
      <c r="Z1683" s="11">
        <v>0.4</v>
      </c>
      <c r="AA1683" s="11">
        <v>0.4</v>
      </c>
    </row>
    <row r="1684" spans="21:27" x14ac:dyDescent="0.25">
      <c r="U1684" s="37">
        <v>37003</v>
      </c>
      <c r="V1684" s="10">
        <v>4</v>
      </c>
      <c r="W1684" s="10">
        <v>10</v>
      </c>
      <c r="X1684" s="10">
        <v>14</v>
      </c>
      <c r="Y1684" s="11">
        <v>0.14285714285714285</v>
      </c>
      <c r="Z1684" s="11">
        <v>0.35714285714285715</v>
      </c>
      <c r="AA1684" s="11">
        <v>0.5</v>
      </c>
    </row>
    <row r="1685" spans="21:27" x14ac:dyDescent="0.25">
      <c r="U1685" s="37">
        <v>37010</v>
      </c>
      <c r="V1685" s="10">
        <v>19</v>
      </c>
      <c r="W1685" s="10">
        <v>3</v>
      </c>
      <c r="X1685" s="10">
        <v>3</v>
      </c>
      <c r="Y1685" s="11">
        <v>0.76</v>
      </c>
      <c r="Z1685" s="11">
        <v>0.12</v>
      </c>
      <c r="AA1685" s="11">
        <v>0.12</v>
      </c>
    </row>
    <row r="1686" spans="21:27" x14ac:dyDescent="0.25">
      <c r="U1686" s="37">
        <v>37017</v>
      </c>
      <c r="V1686" s="10">
        <v>14</v>
      </c>
      <c r="W1686" s="10">
        <v>7</v>
      </c>
      <c r="X1686" s="10">
        <v>5</v>
      </c>
      <c r="Y1686" s="11">
        <v>0.53846153846153844</v>
      </c>
      <c r="Z1686" s="11">
        <v>0.26923076923076922</v>
      </c>
      <c r="AA1686" s="11">
        <v>0.19230769230769232</v>
      </c>
    </row>
    <row r="1687" spans="21:27" x14ac:dyDescent="0.25">
      <c r="U1687" s="37">
        <v>37024</v>
      </c>
      <c r="V1687" s="10">
        <v>7</v>
      </c>
      <c r="W1687" s="10">
        <v>6</v>
      </c>
      <c r="X1687" s="10">
        <v>5</v>
      </c>
      <c r="Y1687" s="11">
        <v>0.3888888888888889</v>
      </c>
      <c r="Z1687" s="11">
        <v>0.33333333333333331</v>
      </c>
      <c r="AA1687" s="11">
        <v>0.27777777777777779</v>
      </c>
    </row>
    <row r="1688" spans="21:27" x14ac:dyDescent="0.25">
      <c r="U1688" s="37">
        <v>37031</v>
      </c>
      <c r="V1688" s="10">
        <v>1</v>
      </c>
      <c r="W1688" s="10">
        <v>2</v>
      </c>
      <c r="X1688" s="10">
        <v>4</v>
      </c>
      <c r="Y1688" s="11">
        <v>0.14285714285714285</v>
      </c>
      <c r="Z1688" s="11">
        <v>0.2857142857142857</v>
      </c>
      <c r="AA1688" s="11">
        <v>0.5714285714285714</v>
      </c>
    </row>
    <row r="1689" spans="21:27" x14ac:dyDescent="0.25">
      <c r="U1689" s="37">
        <v>37035</v>
      </c>
      <c r="V1689" s="10">
        <v>6</v>
      </c>
      <c r="W1689" s="10">
        <v>5</v>
      </c>
      <c r="X1689" s="10">
        <v>9</v>
      </c>
      <c r="Y1689" s="11">
        <v>0.3</v>
      </c>
      <c r="Z1689" s="11">
        <v>0.25</v>
      </c>
      <c r="AA1689" s="11">
        <v>0.45</v>
      </c>
    </row>
    <row r="1690" spans="21:27" x14ac:dyDescent="0.25">
      <c r="U1690" s="37">
        <v>37038</v>
      </c>
      <c r="V1690" s="10">
        <v>3</v>
      </c>
      <c r="W1690" s="10">
        <v>4</v>
      </c>
      <c r="X1690" s="10">
        <v>7</v>
      </c>
      <c r="Y1690" s="11">
        <v>0.21428571428571427</v>
      </c>
      <c r="Z1690" s="11">
        <v>0.2857142857142857</v>
      </c>
      <c r="AA1690" s="11">
        <v>0.5</v>
      </c>
    </row>
    <row r="1691" spans="21:27" x14ac:dyDescent="0.25">
      <c r="U1691" s="37">
        <v>37045</v>
      </c>
      <c r="V1691" s="10">
        <v>4</v>
      </c>
      <c r="W1691" s="10">
        <v>3</v>
      </c>
      <c r="X1691" s="10">
        <v>2</v>
      </c>
      <c r="Y1691" s="11">
        <v>0.44444444444444442</v>
      </c>
      <c r="Z1691" s="11">
        <v>0.33333333333333331</v>
      </c>
      <c r="AA1691" s="11">
        <v>0.22222222222222221</v>
      </c>
    </row>
    <row r="1692" spans="21:27" x14ac:dyDescent="0.25">
      <c r="U1692" s="37">
        <v>37052</v>
      </c>
      <c r="V1692" s="10">
        <v>9</v>
      </c>
      <c r="W1692" s="10">
        <v>2</v>
      </c>
      <c r="X1692" s="10">
        <v>15</v>
      </c>
      <c r="Y1692" s="11">
        <v>0.34615384615384615</v>
      </c>
      <c r="Z1692" s="11">
        <v>7.6923076923076927E-2</v>
      </c>
      <c r="AA1692" s="11">
        <v>0.57692307692307687</v>
      </c>
    </row>
    <row r="1693" spans="21:27" x14ac:dyDescent="0.25">
      <c r="U1693" s="37">
        <v>37059</v>
      </c>
      <c r="V1693" s="10">
        <v>10</v>
      </c>
      <c r="W1693" s="10">
        <v>5</v>
      </c>
      <c r="X1693" s="10">
        <v>7</v>
      </c>
      <c r="Y1693" s="11">
        <v>0.45454545454545453</v>
      </c>
      <c r="Z1693" s="11">
        <v>0.22727272727272727</v>
      </c>
      <c r="AA1693" s="11">
        <v>0.31818181818181818</v>
      </c>
    </row>
    <row r="1694" spans="21:27" x14ac:dyDescent="0.25">
      <c r="U1694" s="37">
        <v>37066</v>
      </c>
      <c r="V1694" s="10">
        <v>22</v>
      </c>
      <c r="W1694" s="10">
        <v>7</v>
      </c>
      <c r="X1694" s="10">
        <v>8</v>
      </c>
      <c r="Y1694" s="11">
        <v>0.59459459459459463</v>
      </c>
      <c r="Z1694" s="11">
        <v>0.1891891891891892</v>
      </c>
      <c r="AA1694" s="11">
        <v>0.21621621621621623</v>
      </c>
    </row>
    <row r="1695" spans="21:27" x14ac:dyDescent="0.25">
      <c r="U1695" s="37">
        <v>37073</v>
      </c>
      <c r="V1695" s="10">
        <v>14</v>
      </c>
      <c r="W1695" s="10">
        <v>7</v>
      </c>
      <c r="X1695" s="10">
        <v>13</v>
      </c>
      <c r="Y1695" s="11">
        <v>0.41176470588235292</v>
      </c>
      <c r="Z1695" s="11">
        <v>0.20588235294117646</v>
      </c>
      <c r="AA1695" s="11">
        <v>0.38235294117647056</v>
      </c>
    </row>
    <row r="1696" spans="21:27" x14ac:dyDescent="0.25">
      <c r="U1696" s="37">
        <v>37080</v>
      </c>
      <c r="V1696" s="10">
        <v>2</v>
      </c>
      <c r="W1696" s="10">
        <v>1</v>
      </c>
      <c r="X1696" s="10">
        <v>3</v>
      </c>
      <c r="Y1696" s="11">
        <v>0.33333333333333331</v>
      </c>
      <c r="Z1696" s="11">
        <v>0.16666666666666666</v>
      </c>
      <c r="AA1696" s="11">
        <v>0.5</v>
      </c>
    </row>
    <row r="1697" spans="21:27" x14ac:dyDescent="0.25">
      <c r="U1697" s="37">
        <v>37087</v>
      </c>
      <c r="V1697" s="10">
        <v>11</v>
      </c>
      <c r="W1697" s="10">
        <v>8</v>
      </c>
      <c r="X1697" s="10">
        <v>25</v>
      </c>
      <c r="Y1697" s="11">
        <v>0.25</v>
      </c>
      <c r="Z1697" s="11">
        <v>0.18181818181818182</v>
      </c>
      <c r="AA1697" s="11">
        <v>0.56818181818181823</v>
      </c>
    </row>
    <row r="1698" spans="21:27" x14ac:dyDescent="0.25">
      <c r="U1698" s="37">
        <v>37094</v>
      </c>
      <c r="V1698" s="10">
        <v>0</v>
      </c>
      <c r="W1698" s="10">
        <v>2</v>
      </c>
      <c r="X1698" s="10">
        <v>5</v>
      </c>
      <c r="Y1698" s="11">
        <v>0</v>
      </c>
      <c r="Z1698" s="11">
        <v>0.2857142857142857</v>
      </c>
      <c r="AA1698" s="11">
        <v>0.7142857142857143</v>
      </c>
    </row>
    <row r="1699" spans="21:27" x14ac:dyDescent="0.25">
      <c r="U1699" s="37">
        <v>37101</v>
      </c>
      <c r="V1699" s="10">
        <v>2</v>
      </c>
      <c r="W1699" s="10">
        <v>2</v>
      </c>
      <c r="X1699" s="10">
        <v>2</v>
      </c>
      <c r="Y1699" s="11">
        <v>0.33333333333333331</v>
      </c>
      <c r="Z1699" s="11">
        <v>0.33333333333333331</v>
      </c>
      <c r="AA1699" s="11">
        <v>0.33333333333333331</v>
      </c>
    </row>
    <row r="1700" spans="21:27" x14ac:dyDescent="0.25">
      <c r="U1700" s="37">
        <v>37108</v>
      </c>
      <c r="V1700" s="10">
        <v>3</v>
      </c>
      <c r="W1700" s="10">
        <v>4</v>
      </c>
      <c r="X1700" s="10">
        <v>10</v>
      </c>
      <c r="Y1700" s="11">
        <v>0.17647058823529413</v>
      </c>
      <c r="Z1700" s="11">
        <v>0.23529411764705882</v>
      </c>
      <c r="AA1700" s="11">
        <v>0.58823529411764708</v>
      </c>
    </row>
    <row r="1701" spans="21:27" x14ac:dyDescent="0.25">
      <c r="U1701" s="37">
        <v>37115</v>
      </c>
      <c r="V1701" s="10">
        <v>1</v>
      </c>
      <c r="W1701" s="10">
        <v>0</v>
      </c>
      <c r="X1701" s="10">
        <v>1</v>
      </c>
      <c r="Y1701" s="11">
        <v>0.5</v>
      </c>
      <c r="Z1701" s="11">
        <v>0</v>
      </c>
      <c r="AA1701" s="11">
        <v>0.5</v>
      </c>
    </row>
    <row r="1702" spans="21:27" x14ac:dyDescent="0.25">
      <c r="U1702" s="37">
        <v>37118</v>
      </c>
      <c r="V1702" s="10">
        <v>2</v>
      </c>
      <c r="W1702" s="10">
        <v>3</v>
      </c>
      <c r="X1702" s="10">
        <v>16</v>
      </c>
      <c r="Y1702" s="11">
        <v>9.5238095238095233E-2</v>
      </c>
      <c r="Z1702" s="11">
        <v>0.14285714285714285</v>
      </c>
      <c r="AA1702" s="11">
        <v>0.76190476190476186</v>
      </c>
    </row>
    <row r="1703" spans="21:27" x14ac:dyDescent="0.25">
      <c r="U1703" s="37">
        <v>37122</v>
      </c>
      <c r="V1703" s="10">
        <v>6</v>
      </c>
      <c r="W1703" s="10">
        <v>5</v>
      </c>
      <c r="X1703" s="10">
        <v>12</v>
      </c>
      <c r="Y1703" s="11">
        <v>0.2608695652173913</v>
      </c>
      <c r="Z1703" s="11">
        <v>0.21739130434782608</v>
      </c>
      <c r="AA1703" s="11">
        <v>0.52173913043478259</v>
      </c>
    </row>
    <row r="1704" spans="21:27" x14ac:dyDescent="0.25">
      <c r="U1704" s="37">
        <v>37129</v>
      </c>
      <c r="V1704" s="10">
        <v>7</v>
      </c>
      <c r="W1704" s="10">
        <v>4</v>
      </c>
      <c r="X1704" s="10">
        <v>9</v>
      </c>
      <c r="Y1704" s="11">
        <v>0.35</v>
      </c>
      <c r="Z1704" s="11">
        <v>0.2</v>
      </c>
      <c r="AA1704" s="11">
        <v>0.45</v>
      </c>
    </row>
    <row r="1705" spans="21:27" x14ac:dyDescent="0.25">
      <c r="U1705" s="37">
        <v>37136</v>
      </c>
      <c r="V1705" s="10">
        <v>7</v>
      </c>
      <c r="W1705" s="10">
        <v>1</v>
      </c>
      <c r="X1705" s="10">
        <v>11</v>
      </c>
      <c r="Y1705" s="11">
        <v>0.36842105263157893</v>
      </c>
      <c r="Z1705" s="11">
        <v>5.2631578947368418E-2</v>
      </c>
      <c r="AA1705" s="11">
        <v>0.57894736842105265</v>
      </c>
    </row>
    <row r="1706" spans="21:27" x14ac:dyDescent="0.25">
      <c r="U1706" s="37">
        <v>37143</v>
      </c>
      <c r="V1706" s="10">
        <v>4</v>
      </c>
      <c r="W1706" s="10">
        <v>0</v>
      </c>
      <c r="X1706" s="10">
        <v>6</v>
      </c>
      <c r="Y1706" s="11">
        <v>0.4</v>
      </c>
      <c r="Z1706" s="11">
        <v>0</v>
      </c>
      <c r="AA1706" s="11">
        <v>0.6</v>
      </c>
    </row>
    <row r="1707" spans="21:27" x14ac:dyDescent="0.25">
      <c r="U1707" s="37">
        <v>37150</v>
      </c>
      <c r="V1707" s="10">
        <v>7</v>
      </c>
      <c r="W1707" s="10">
        <v>2</v>
      </c>
      <c r="X1707" s="10">
        <v>9</v>
      </c>
      <c r="Y1707" s="11">
        <v>0.3888888888888889</v>
      </c>
      <c r="Z1707" s="11">
        <v>0.1111111111111111</v>
      </c>
      <c r="AA1707" s="11">
        <v>0.5</v>
      </c>
    </row>
    <row r="1708" spans="21:27" x14ac:dyDescent="0.25">
      <c r="U1708" s="37">
        <v>37157</v>
      </c>
      <c r="V1708" s="10">
        <v>1</v>
      </c>
      <c r="W1708" s="10">
        <v>2</v>
      </c>
      <c r="X1708" s="10">
        <v>3</v>
      </c>
      <c r="Y1708" s="11">
        <v>0.16666666666666666</v>
      </c>
      <c r="Z1708" s="11">
        <v>0.33333333333333331</v>
      </c>
      <c r="AA1708" s="11">
        <v>0.5</v>
      </c>
    </row>
    <row r="1709" spans="21:27" x14ac:dyDescent="0.25">
      <c r="U1709" s="37">
        <v>37164</v>
      </c>
      <c r="V1709" s="10">
        <v>2</v>
      </c>
      <c r="W1709" s="10">
        <v>2</v>
      </c>
      <c r="X1709" s="10">
        <v>3</v>
      </c>
      <c r="Y1709" s="11">
        <v>0.2857142857142857</v>
      </c>
      <c r="Z1709" s="11">
        <v>0.2857142857142857</v>
      </c>
      <c r="AA1709" s="11">
        <v>0.42857142857142855</v>
      </c>
    </row>
    <row r="1710" spans="21:27" x14ac:dyDescent="0.25">
      <c r="U1710" s="37">
        <v>37171</v>
      </c>
      <c r="V1710" s="10">
        <v>6</v>
      </c>
      <c r="W1710" s="10">
        <v>1</v>
      </c>
      <c r="X1710" s="10">
        <v>6</v>
      </c>
      <c r="Y1710" s="11">
        <v>0.46153846153846156</v>
      </c>
      <c r="Z1710" s="11">
        <v>7.6923076923076927E-2</v>
      </c>
      <c r="AA1710" s="11">
        <v>0.46153846153846156</v>
      </c>
    </row>
    <row r="1711" spans="21:27" x14ac:dyDescent="0.25">
      <c r="U1711" s="37">
        <v>37178</v>
      </c>
      <c r="V1711" s="10">
        <v>10</v>
      </c>
      <c r="W1711" s="10">
        <v>7</v>
      </c>
      <c r="X1711" s="10">
        <v>15</v>
      </c>
      <c r="Y1711" s="11">
        <v>0.3125</v>
      </c>
      <c r="Z1711" s="11">
        <v>0.21875</v>
      </c>
      <c r="AA1711" s="11">
        <v>0.46875</v>
      </c>
    </row>
    <row r="1712" spans="21:27" x14ac:dyDescent="0.25">
      <c r="U1712" s="37">
        <v>37185</v>
      </c>
      <c r="V1712" s="10">
        <v>7</v>
      </c>
      <c r="W1712" s="10">
        <v>9</v>
      </c>
      <c r="X1712" s="10">
        <v>17</v>
      </c>
      <c r="Y1712" s="11">
        <v>0.21212121212121213</v>
      </c>
      <c r="Z1712" s="11">
        <v>0.27272727272727271</v>
      </c>
      <c r="AA1712" s="11">
        <v>0.51515151515151514</v>
      </c>
    </row>
    <row r="1713" spans="21:27" x14ac:dyDescent="0.25">
      <c r="U1713" s="37">
        <v>37192</v>
      </c>
      <c r="V1713" s="10">
        <v>7</v>
      </c>
      <c r="W1713" s="10">
        <v>13</v>
      </c>
      <c r="X1713" s="10">
        <v>5</v>
      </c>
      <c r="Y1713" s="11">
        <v>0.28000000000000003</v>
      </c>
      <c r="Z1713" s="11">
        <v>0.52</v>
      </c>
      <c r="AA1713" s="11">
        <v>0.2</v>
      </c>
    </row>
    <row r="1714" spans="21:27" x14ac:dyDescent="0.25">
      <c r="U1714" s="37">
        <v>37196</v>
      </c>
      <c r="V1714" s="10">
        <v>2</v>
      </c>
      <c r="W1714" s="10">
        <v>0</v>
      </c>
      <c r="X1714" s="10">
        <v>5</v>
      </c>
      <c r="Y1714" s="11">
        <v>0.2857142857142857</v>
      </c>
      <c r="Z1714" s="11">
        <v>0</v>
      </c>
      <c r="AA1714" s="11">
        <v>0.7142857142857143</v>
      </c>
    </row>
    <row r="1715" spans="21:27" x14ac:dyDescent="0.25">
      <c r="U1715" s="37">
        <v>37199</v>
      </c>
      <c r="V1715" s="10">
        <v>4</v>
      </c>
      <c r="W1715" s="10">
        <v>2</v>
      </c>
      <c r="X1715" s="10">
        <v>4</v>
      </c>
      <c r="Y1715" s="11">
        <v>0.4</v>
      </c>
      <c r="Z1715" s="11">
        <v>0.2</v>
      </c>
      <c r="AA1715" s="11">
        <v>0.4</v>
      </c>
    </row>
    <row r="1716" spans="21:27" x14ac:dyDescent="0.25">
      <c r="U1716" s="37">
        <v>37206</v>
      </c>
      <c r="V1716" s="10">
        <v>4</v>
      </c>
      <c r="W1716" s="10">
        <v>9</v>
      </c>
      <c r="X1716" s="10">
        <v>11</v>
      </c>
      <c r="Y1716" s="11">
        <v>0.16666666666666666</v>
      </c>
      <c r="Z1716" s="11">
        <v>0.375</v>
      </c>
      <c r="AA1716" s="11">
        <v>0.45833333333333331</v>
      </c>
    </row>
    <row r="1717" spans="21:27" x14ac:dyDescent="0.25">
      <c r="U1717" s="37">
        <v>37213</v>
      </c>
      <c r="V1717" s="10">
        <v>5</v>
      </c>
      <c r="W1717" s="10">
        <v>0</v>
      </c>
      <c r="X1717" s="10">
        <v>7</v>
      </c>
      <c r="Y1717" s="11">
        <v>0.41666666666666669</v>
      </c>
      <c r="Z1717" s="11">
        <v>0</v>
      </c>
      <c r="AA1717" s="11">
        <v>0.58333333333333337</v>
      </c>
    </row>
    <row r="1718" spans="21:27" x14ac:dyDescent="0.25">
      <c r="U1718" s="37">
        <v>37220</v>
      </c>
      <c r="V1718" s="10">
        <v>9</v>
      </c>
      <c r="W1718" s="10">
        <v>4</v>
      </c>
      <c r="X1718" s="10">
        <v>11</v>
      </c>
      <c r="Y1718" s="11">
        <v>0.375</v>
      </c>
      <c r="Z1718" s="11">
        <v>0.16666666666666666</v>
      </c>
      <c r="AA1718" s="11">
        <v>0.45833333333333331</v>
      </c>
    </row>
    <row r="1719" spans="21:27" x14ac:dyDescent="0.25">
      <c r="U1719" s="37">
        <v>37227</v>
      </c>
      <c r="V1719" s="10">
        <v>7</v>
      </c>
      <c r="W1719" s="10">
        <v>2</v>
      </c>
      <c r="X1719" s="10">
        <v>13</v>
      </c>
      <c r="Y1719" s="11">
        <v>0.31818181818181818</v>
      </c>
      <c r="Z1719" s="11">
        <v>9.0909090909090912E-2</v>
      </c>
      <c r="AA1719" s="11">
        <v>0.59090909090909094</v>
      </c>
    </row>
    <row r="1720" spans="21:27" x14ac:dyDescent="0.25">
      <c r="U1720" s="37">
        <v>37234</v>
      </c>
      <c r="V1720" s="10">
        <v>9</v>
      </c>
      <c r="W1720" s="10">
        <v>3</v>
      </c>
      <c r="X1720" s="10">
        <v>15</v>
      </c>
      <c r="Y1720" s="11">
        <v>0.33333333333333331</v>
      </c>
      <c r="Z1720" s="11">
        <v>0.1111111111111111</v>
      </c>
      <c r="AA1720" s="11">
        <v>0.55555555555555558</v>
      </c>
    </row>
    <row r="1721" spans="21:27" x14ac:dyDescent="0.25">
      <c r="U1721" s="37">
        <v>37241</v>
      </c>
      <c r="V1721" s="10">
        <v>2</v>
      </c>
      <c r="W1721" s="10">
        <v>2</v>
      </c>
      <c r="X1721" s="10">
        <v>4</v>
      </c>
      <c r="Y1721" s="11">
        <v>0.25</v>
      </c>
      <c r="Z1721" s="11">
        <v>0.25</v>
      </c>
      <c r="AA1721" s="11">
        <v>0.5</v>
      </c>
    </row>
    <row r="1722" spans="21:27" x14ac:dyDescent="0.25">
      <c r="U1722" s="37">
        <v>37248</v>
      </c>
      <c r="V1722" s="10">
        <v>5</v>
      </c>
      <c r="W1722" s="10">
        <v>5</v>
      </c>
      <c r="X1722" s="10">
        <v>11</v>
      </c>
      <c r="Y1722" s="11">
        <v>0.23809523809523808</v>
      </c>
      <c r="Z1722" s="11">
        <v>0.23809523809523808</v>
      </c>
      <c r="AA1722" s="11">
        <v>0.52380952380952384</v>
      </c>
    </row>
    <row r="1723" spans="21:27" x14ac:dyDescent="0.25">
      <c r="U1723" s="37">
        <v>37249</v>
      </c>
      <c r="V1723" s="10">
        <v>2</v>
      </c>
      <c r="W1723" s="10">
        <v>1</v>
      </c>
      <c r="X1723" s="10">
        <v>14</v>
      </c>
      <c r="Y1723" s="11">
        <v>0.11764705882352941</v>
      </c>
      <c r="Z1723" s="11">
        <v>5.8823529411764705E-2</v>
      </c>
      <c r="AA1723" s="11">
        <v>0.82352941176470584</v>
      </c>
    </row>
    <row r="1724" spans="21:27" x14ac:dyDescent="0.25">
      <c r="U1724" s="37">
        <v>37250</v>
      </c>
      <c r="V1724" s="10">
        <v>2</v>
      </c>
      <c r="W1724" s="10">
        <v>2</v>
      </c>
      <c r="X1724" s="10">
        <v>9</v>
      </c>
      <c r="Y1724" s="11">
        <v>0.15384615384615385</v>
      </c>
      <c r="Z1724" s="11">
        <v>0.15384615384615385</v>
      </c>
      <c r="AA1724" s="11">
        <v>0.69230769230769229</v>
      </c>
    </row>
    <row r="1725" spans="21:27" x14ac:dyDescent="0.25">
      <c r="U1725" s="37">
        <v>37255</v>
      </c>
      <c r="V1725" s="10">
        <v>2</v>
      </c>
      <c r="W1725" s="10">
        <v>0</v>
      </c>
      <c r="X1725" s="10">
        <v>1</v>
      </c>
      <c r="Y1725" s="11">
        <v>0.66666666666666663</v>
      </c>
      <c r="Z1725" s="11">
        <v>0</v>
      </c>
      <c r="AA1725" s="11">
        <v>0.33333333333333331</v>
      </c>
    </row>
    <row r="1726" spans="21:27" x14ac:dyDescent="0.25">
      <c r="U1726" s="37">
        <v>37262</v>
      </c>
      <c r="V1726" s="10">
        <v>14</v>
      </c>
      <c r="W1726" s="10">
        <v>3</v>
      </c>
      <c r="X1726" s="10">
        <v>8</v>
      </c>
      <c r="Y1726" s="11">
        <v>0.56000000000000005</v>
      </c>
      <c r="Z1726" s="11">
        <v>0.12</v>
      </c>
      <c r="AA1726" s="11">
        <v>0.32</v>
      </c>
    </row>
    <row r="1727" spans="21:27" x14ac:dyDescent="0.25">
      <c r="U1727" s="37">
        <v>37269</v>
      </c>
      <c r="V1727" s="10">
        <v>15</v>
      </c>
      <c r="W1727" s="10">
        <v>0</v>
      </c>
      <c r="X1727" s="10">
        <v>5</v>
      </c>
      <c r="Y1727" s="11">
        <v>0.75</v>
      </c>
      <c r="Z1727" s="11">
        <v>0</v>
      </c>
      <c r="AA1727" s="11">
        <v>0.25</v>
      </c>
    </row>
    <row r="1728" spans="21:27" x14ac:dyDescent="0.25">
      <c r="U1728" s="37">
        <v>37276</v>
      </c>
      <c r="V1728" s="10">
        <v>6</v>
      </c>
      <c r="W1728" s="10">
        <v>7</v>
      </c>
      <c r="X1728" s="10">
        <v>7</v>
      </c>
      <c r="Y1728" s="11">
        <v>0.3</v>
      </c>
      <c r="Z1728" s="11">
        <v>0.35</v>
      </c>
      <c r="AA1728" s="11">
        <v>0.35</v>
      </c>
    </row>
    <row r="1729" spans="21:27" x14ac:dyDescent="0.25">
      <c r="U1729" s="37">
        <v>37283</v>
      </c>
      <c r="V1729" s="10">
        <v>7</v>
      </c>
      <c r="W1729" s="10">
        <v>2</v>
      </c>
      <c r="X1729" s="10">
        <v>8</v>
      </c>
      <c r="Y1729" s="11">
        <v>0.41176470588235292</v>
      </c>
      <c r="Z1729" s="11">
        <v>0.11764705882352941</v>
      </c>
      <c r="AA1729" s="11">
        <v>0.47058823529411764</v>
      </c>
    </row>
    <row r="1730" spans="21:27" x14ac:dyDescent="0.25">
      <c r="U1730" s="37">
        <v>37290</v>
      </c>
      <c r="V1730" s="10">
        <v>3</v>
      </c>
      <c r="W1730" s="10">
        <v>2</v>
      </c>
      <c r="X1730" s="10">
        <v>8</v>
      </c>
      <c r="Y1730" s="11">
        <v>0.23076923076923078</v>
      </c>
      <c r="Z1730" s="11">
        <v>0.15384615384615385</v>
      </c>
      <c r="AA1730" s="11">
        <v>0.61538461538461542</v>
      </c>
    </row>
    <row r="1731" spans="21:27" x14ac:dyDescent="0.25">
      <c r="U1731" s="37">
        <v>37297</v>
      </c>
      <c r="V1731" s="10">
        <v>3</v>
      </c>
      <c r="W1731" s="10">
        <v>0</v>
      </c>
      <c r="X1731" s="10">
        <v>5</v>
      </c>
      <c r="Y1731" s="11">
        <v>0.375</v>
      </c>
      <c r="Z1731" s="11">
        <v>0</v>
      </c>
      <c r="AA1731" s="11">
        <v>0.625</v>
      </c>
    </row>
    <row r="1732" spans="21:27" x14ac:dyDescent="0.25">
      <c r="U1732" s="37">
        <v>37304</v>
      </c>
      <c r="V1732" s="10">
        <v>19</v>
      </c>
      <c r="W1732" s="10">
        <v>10</v>
      </c>
      <c r="X1732" s="10">
        <v>9</v>
      </c>
      <c r="Y1732" s="11">
        <v>0.5</v>
      </c>
      <c r="Z1732" s="11">
        <v>0.26315789473684209</v>
      </c>
      <c r="AA1732" s="11">
        <v>0.23684210526315788</v>
      </c>
    </row>
    <row r="1733" spans="21:27" x14ac:dyDescent="0.25">
      <c r="U1733" s="37">
        <v>37311</v>
      </c>
      <c r="V1733" s="10">
        <v>7</v>
      </c>
      <c r="W1733" s="10">
        <v>8</v>
      </c>
      <c r="X1733" s="10">
        <v>9</v>
      </c>
      <c r="Y1733" s="11">
        <v>0.29166666666666669</v>
      </c>
      <c r="Z1733" s="11">
        <v>0.33333333333333331</v>
      </c>
      <c r="AA1733" s="11">
        <v>0.375</v>
      </c>
    </row>
    <row r="1734" spans="21:27" x14ac:dyDescent="0.25">
      <c r="U1734" s="37">
        <v>37318</v>
      </c>
      <c r="V1734" s="10">
        <v>9</v>
      </c>
      <c r="W1734" s="10">
        <v>5</v>
      </c>
      <c r="X1734" s="10">
        <v>5</v>
      </c>
      <c r="Y1734" s="11">
        <v>0.47368421052631576</v>
      </c>
      <c r="Z1734" s="11">
        <v>0.26315789473684209</v>
      </c>
      <c r="AA1734" s="11">
        <v>0.26315789473684209</v>
      </c>
    </row>
    <row r="1735" spans="21:27" x14ac:dyDescent="0.25">
      <c r="U1735" s="37">
        <v>37325</v>
      </c>
      <c r="V1735" s="10">
        <v>5</v>
      </c>
      <c r="W1735" s="10">
        <v>6</v>
      </c>
      <c r="X1735" s="10">
        <v>6</v>
      </c>
      <c r="Y1735" s="11">
        <v>0.29411764705882354</v>
      </c>
      <c r="Z1735" s="11">
        <v>0.35294117647058826</v>
      </c>
      <c r="AA1735" s="11">
        <v>0.35294117647058826</v>
      </c>
    </row>
    <row r="1736" spans="21:27" x14ac:dyDescent="0.25">
      <c r="U1736" s="37">
        <v>37332</v>
      </c>
      <c r="V1736" s="10">
        <v>13</v>
      </c>
      <c r="W1736" s="10">
        <v>1</v>
      </c>
      <c r="X1736" s="10">
        <v>4</v>
      </c>
      <c r="Y1736" s="11">
        <v>0.72222222222222221</v>
      </c>
      <c r="Z1736" s="11">
        <v>5.5555555555555552E-2</v>
      </c>
      <c r="AA1736" s="11">
        <v>0.22222222222222221</v>
      </c>
    </row>
    <row r="1737" spans="21:27" x14ac:dyDescent="0.25">
      <c r="U1737" s="37">
        <v>37339</v>
      </c>
      <c r="V1737" s="10">
        <v>10</v>
      </c>
      <c r="W1737" s="10">
        <v>2</v>
      </c>
      <c r="X1737" s="10">
        <v>4</v>
      </c>
      <c r="Y1737" s="11">
        <v>0.625</v>
      </c>
      <c r="Z1737" s="11">
        <v>0.125</v>
      </c>
      <c r="AA1737" s="11">
        <v>0.25</v>
      </c>
    </row>
    <row r="1738" spans="21:27" x14ac:dyDescent="0.25">
      <c r="U1738" s="37">
        <v>37346</v>
      </c>
      <c r="V1738" s="10">
        <v>4</v>
      </c>
      <c r="W1738" s="10">
        <v>2</v>
      </c>
      <c r="X1738" s="10">
        <v>5</v>
      </c>
      <c r="Y1738" s="11">
        <v>0.36363636363636365</v>
      </c>
      <c r="Z1738" s="11">
        <v>0.18181818181818182</v>
      </c>
      <c r="AA1738" s="11">
        <v>0.45454545454545453</v>
      </c>
    </row>
    <row r="1739" spans="21:27" x14ac:dyDescent="0.25">
      <c r="U1739" s="37">
        <v>37353</v>
      </c>
      <c r="V1739" s="10">
        <v>6</v>
      </c>
      <c r="W1739" s="10">
        <v>5</v>
      </c>
      <c r="X1739" s="10">
        <v>5</v>
      </c>
      <c r="Y1739" s="11">
        <v>0.375</v>
      </c>
      <c r="Z1739" s="11">
        <v>0.3125</v>
      </c>
      <c r="AA1739" s="11">
        <v>0.3125</v>
      </c>
    </row>
    <row r="1740" spans="21:27" x14ac:dyDescent="0.25">
      <c r="U1740" s="37">
        <v>37360</v>
      </c>
      <c r="V1740" s="10">
        <v>6</v>
      </c>
      <c r="W1740" s="10">
        <v>8</v>
      </c>
      <c r="X1740" s="10">
        <v>11</v>
      </c>
      <c r="Y1740" s="11">
        <v>0.24</v>
      </c>
      <c r="Z1740" s="11">
        <v>0.32</v>
      </c>
      <c r="AA1740" s="11">
        <v>0.44</v>
      </c>
    </row>
    <row r="1741" spans="21:27" x14ac:dyDescent="0.25">
      <c r="U1741" s="37">
        <v>37367</v>
      </c>
      <c r="V1741" s="10">
        <v>8</v>
      </c>
      <c r="W1741" s="10">
        <v>5</v>
      </c>
      <c r="X1741" s="10">
        <v>7</v>
      </c>
      <c r="Y1741" s="11">
        <v>0.4</v>
      </c>
      <c r="Z1741" s="11">
        <v>0.25</v>
      </c>
      <c r="AA1741" s="11">
        <v>0.35</v>
      </c>
    </row>
    <row r="1742" spans="21:27" x14ac:dyDescent="0.25">
      <c r="U1742" s="37">
        <v>37374</v>
      </c>
      <c r="V1742" s="10">
        <v>10</v>
      </c>
      <c r="W1742" s="10">
        <v>5</v>
      </c>
      <c r="X1742" s="10">
        <v>11</v>
      </c>
      <c r="Y1742" s="11">
        <v>0.38461538461538464</v>
      </c>
      <c r="Z1742" s="11">
        <v>0.19230769230769232</v>
      </c>
      <c r="AA1742" s="11">
        <v>0.42307692307692307</v>
      </c>
    </row>
    <row r="1743" spans="21:27" x14ac:dyDescent="0.25">
      <c r="U1743" s="37">
        <v>37381</v>
      </c>
      <c r="V1743" s="10">
        <v>7</v>
      </c>
      <c r="W1743" s="10">
        <v>8</v>
      </c>
      <c r="X1743" s="10">
        <v>17</v>
      </c>
      <c r="Y1743" s="11">
        <v>0.21875</v>
      </c>
      <c r="Z1743" s="11">
        <v>0.25</v>
      </c>
      <c r="AA1743" s="11">
        <v>0.53125</v>
      </c>
    </row>
    <row r="1744" spans="21:27" x14ac:dyDescent="0.25">
      <c r="U1744" s="37">
        <v>37385</v>
      </c>
      <c r="V1744" s="10">
        <v>6</v>
      </c>
      <c r="W1744" s="10">
        <v>4</v>
      </c>
      <c r="X1744" s="10">
        <v>6</v>
      </c>
      <c r="Y1744" s="11">
        <v>0.375</v>
      </c>
      <c r="Z1744" s="11">
        <v>0.25</v>
      </c>
      <c r="AA1744" s="11">
        <v>0.375</v>
      </c>
    </row>
    <row r="1745" spans="21:27" x14ac:dyDescent="0.25">
      <c r="U1745" s="37">
        <v>37388</v>
      </c>
      <c r="V1745" s="10">
        <v>5</v>
      </c>
      <c r="W1745" s="10">
        <v>7</v>
      </c>
      <c r="X1745" s="10">
        <v>15</v>
      </c>
      <c r="Y1745" s="11">
        <v>0.18518518518518517</v>
      </c>
      <c r="Z1745" s="11">
        <v>0.25925925925925924</v>
      </c>
      <c r="AA1745" s="11">
        <v>0.55555555555555558</v>
      </c>
    </row>
    <row r="1746" spans="21:27" x14ac:dyDescent="0.25">
      <c r="U1746" s="37">
        <v>37395</v>
      </c>
      <c r="V1746" s="10">
        <v>11</v>
      </c>
      <c r="W1746" s="10">
        <v>2</v>
      </c>
      <c r="X1746" s="10">
        <v>18</v>
      </c>
      <c r="Y1746" s="11">
        <v>0.35483870967741937</v>
      </c>
      <c r="Z1746" s="11">
        <v>6.4516129032258063E-2</v>
      </c>
      <c r="AA1746" s="11">
        <v>0.58064516129032262</v>
      </c>
    </row>
    <row r="1747" spans="21:27" x14ac:dyDescent="0.25">
      <c r="U1747" s="37">
        <v>37402</v>
      </c>
      <c r="V1747" s="10">
        <v>13</v>
      </c>
      <c r="W1747" s="10">
        <v>7</v>
      </c>
      <c r="X1747" s="10">
        <v>14</v>
      </c>
      <c r="Y1747" s="11">
        <v>0.38235294117647056</v>
      </c>
      <c r="Z1747" s="11">
        <v>0.20588235294117646</v>
      </c>
      <c r="AA1747" s="11">
        <v>0.41176470588235292</v>
      </c>
    </row>
    <row r="1748" spans="21:27" x14ac:dyDescent="0.25">
      <c r="U1748" s="37">
        <v>37409</v>
      </c>
      <c r="V1748" s="10">
        <v>12</v>
      </c>
      <c r="W1748" s="10">
        <v>6</v>
      </c>
      <c r="X1748" s="10">
        <v>19</v>
      </c>
      <c r="Y1748" s="11">
        <v>0.32432432432432434</v>
      </c>
      <c r="Z1748" s="11">
        <v>0.16216216216216217</v>
      </c>
      <c r="AA1748" s="11">
        <v>0.51351351351351349</v>
      </c>
    </row>
    <row r="1749" spans="21:27" x14ac:dyDescent="0.25">
      <c r="U1749" s="37">
        <v>37416</v>
      </c>
      <c r="V1749" s="10">
        <v>8</v>
      </c>
      <c r="W1749" s="10">
        <v>7</v>
      </c>
      <c r="X1749" s="10">
        <v>7</v>
      </c>
      <c r="Y1749" s="11">
        <v>0.36363636363636365</v>
      </c>
      <c r="Z1749" s="11">
        <v>0.31818181818181818</v>
      </c>
      <c r="AA1749" s="11">
        <v>0.31818181818181818</v>
      </c>
    </row>
    <row r="1750" spans="21:27" x14ac:dyDescent="0.25">
      <c r="U1750" s="37">
        <v>37423</v>
      </c>
      <c r="V1750" s="10">
        <v>8</v>
      </c>
      <c r="W1750" s="10">
        <v>1</v>
      </c>
      <c r="X1750" s="10">
        <v>9</v>
      </c>
      <c r="Y1750" s="11">
        <v>0.44444444444444442</v>
      </c>
      <c r="Z1750" s="11">
        <v>5.5555555555555552E-2</v>
      </c>
      <c r="AA1750" s="11">
        <v>0.5</v>
      </c>
    </row>
    <row r="1751" spans="21:27" x14ac:dyDescent="0.25">
      <c r="U1751" s="37">
        <v>37430</v>
      </c>
      <c r="V1751" s="10">
        <v>2</v>
      </c>
      <c r="W1751" s="10">
        <v>3</v>
      </c>
      <c r="X1751" s="10">
        <v>7</v>
      </c>
      <c r="Y1751" s="11">
        <v>0.16666666666666666</v>
      </c>
      <c r="Z1751" s="11">
        <v>0.25</v>
      </c>
      <c r="AA1751" s="11">
        <v>0.58333333333333337</v>
      </c>
    </row>
    <row r="1752" spans="21:27" x14ac:dyDescent="0.25">
      <c r="U1752" s="37">
        <v>37437</v>
      </c>
      <c r="V1752" s="10">
        <v>9</v>
      </c>
      <c r="W1752" s="10">
        <v>7</v>
      </c>
      <c r="X1752" s="10">
        <v>12</v>
      </c>
      <c r="Y1752" s="11">
        <v>0.32142857142857145</v>
      </c>
      <c r="Z1752" s="11">
        <v>0.25</v>
      </c>
      <c r="AA1752" s="11">
        <v>0.42857142857142855</v>
      </c>
    </row>
    <row r="1753" spans="21:27" x14ac:dyDescent="0.25">
      <c r="U1753" s="37">
        <v>37444</v>
      </c>
      <c r="V1753" s="10">
        <v>16</v>
      </c>
      <c r="W1753" s="10">
        <v>5</v>
      </c>
      <c r="X1753" s="10">
        <v>6</v>
      </c>
      <c r="Y1753" s="11">
        <v>0.59259259259259256</v>
      </c>
      <c r="Z1753" s="11">
        <v>0.18518518518518517</v>
      </c>
      <c r="AA1753" s="11">
        <v>0.22222222222222221</v>
      </c>
    </row>
    <row r="1754" spans="21:27" x14ac:dyDescent="0.25">
      <c r="U1754" s="37">
        <v>37451</v>
      </c>
      <c r="V1754" s="10">
        <v>10</v>
      </c>
      <c r="W1754" s="10">
        <v>2</v>
      </c>
      <c r="X1754" s="10">
        <v>13</v>
      </c>
      <c r="Y1754" s="11">
        <v>0.4</v>
      </c>
      <c r="Z1754" s="11">
        <v>0.08</v>
      </c>
      <c r="AA1754" s="11">
        <v>0.52</v>
      </c>
    </row>
    <row r="1755" spans="21:27" x14ac:dyDescent="0.25">
      <c r="U1755" s="37">
        <v>37458</v>
      </c>
      <c r="V1755" s="10">
        <v>10</v>
      </c>
      <c r="W1755" s="10">
        <v>5</v>
      </c>
      <c r="X1755" s="10">
        <v>18</v>
      </c>
      <c r="Y1755" s="11">
        <v>0.30303030303030304</v>
      </c>
      <c r="Z1755" s="11">
        <v>0.15151515151515152</v>
      </c>
      <c r="AA1755" s="11">
        <v>0.54545454545454541</v>
      </c>
    </row>
    <row r="1756" spans="21:27" x14ac:dyDescent="0.25">
      <c r="U1756" s="37">
        <v>37465</v>
      </c>
      <c r="V1756" s="10">
        <v>10</v>
      </c>
      <c r="W1756" s="10">
        <v>5</v>
      </c>
      <c r="X1756" s="10">
        <v>10</v>
      </c>
      <c r="Y1756" s="11">
        <v>0.4</v>
      </c>
      <c r="Z1756" s="11">
        <v>0.2</v>
      </c>
      <c r="AA1756" s="11">
        <v>0.4</v>
      </c>
    </row>
    <row r="1757" spans="21:27" x14ac:dyDescent="0.25">
      <c r="U1757" s="37">
        <v>37472</v>
      </c>
      <c r="V1757" s="10">
        <v>7</v>
      </c>
      <c r="W1757" s="10">
        <v>6</v>
      </c>
      <c r="X1757" s="10">
        <v>8</v>
      </c>
      <c r="Y1757" s="11">
        <v>0.33333333333333331</v>
      </c>
      <c r="Z1757" s="11">
        <v>0.2857142857142857</v>
      </c>
      <c r="AA1757" s="11">
        <v>0.38095238095238093</v>
      </c>
    </row>
    <row r="1758" spans="21:27" x14ac:dyDescent="0.25">
      <c r="U1758" s="37">
        <v>37479</v>
      </c>
      <c r="V1758" s="10">
        <v>13</v>
      </c>
      <c r="W1758" s="10">
        <v>8</v>
      </c>
      <c r="X1758" s="10">
        <v>8</v>
      </c>
      <c r="Y1758" s="11">
        <v>0.44827586206896552</v>
      </c>
      <c r="Z1758" s="11">
        <v>0.27586206896551724</v>
      </c>
      <c r="AA1758" s="11">
        <v>0.27586206896551724</v>
      </c>
    </row>
    <row r="1759" spans="21:27" x14ac:dyDescent="0.25">
      <c r="U1759" s="37">
        <v>37483</v>
      </c>
      <c r="V1759" s="10">
        <v>9</v>
      </c>
      <c r="W1759" s="10">
        <v>4</v>
      </c>
      <c r="X1759" s="10">
        <v>8</v>
      </c>
      <c r="Y1759" s="11">
        <v>0.42857142857142855</v>
      </c>
      <c r="Z1759" s="11">
        <v>0.19047619047619047</v>
      </c>
      <c r="AA1759" s="11">
        <v>0.38095238095238093</v>
      </c>
    </row>
    <row r="1760" spans="21:27" x14ac:dyDescent="0.25">
      <c r="U1760" s="37">
        <v>37486</v>
      </c>
      <c r="V1760" s="10">
        <v>13</v>
      </c>
      <c r="W1760" s="10">
        <v>6</v>
      </c>
      <c r="X1760" s="10">
        <v>10</v>
      </c>
      <c r="Y1760" s="11">
        <v>0.44827586206896552</v>
      </c>
      <c r="Z1760" s="11">
        <v>0.20689655172413793</v>
      </c>
      <c r="AA1760" s="11">
        <v>0.34482758620689657</v>
      </c>
    </row>
    <row r="1761" spans="21:27" x14ac:dyDescent="0.25">
      <c r="U1761" s="37">
        <v>37493</v>
      </c>
      <c r="V1761" s="10">
        <v>14</v>
      </c>
      <c r="W1761" s="10">
        <v>2</v>
      </c>
      <c r="X1761" s="10">
        <v>11</v>
      </c>
      <c r="Y1761" s="11">
        <v>0.51851851851851849</v>
      </c>
      <c r="Z1761" s="11">
        <v>7.407407407407407E-2</v>
      </c>
      <c r="AA1761" s="11">
        <v>0.40740740740740738</v>
      </c>
    </row>
    <row r="1762" spans="21:27" x14ac:dyDescent="0.25">
      <c r="U1762" s="37">
        <v>37500</v>
      </c>
      <c r="V1762" s="10">
        <v>3</v>
      </c>
      <c r="W1762" s="10">
        <v>4</v>
      </c>
      <c r="X1762" s="10">
        <v>1</v>
      </c>
      <c r="Y1762" s="11">
        <v>0.375</v>
      </c>
      <c r="Z1762" s="11">
        <v>0.5</v>
      </c>
      <c r="AA1762" s="11">
        <v>0.125</v>
      </c>
    </row>
    <row r="1763" spans="21:27" x14ac:dyDescent="0.25">
      <c r="U1763" s="37">
        <v>37507</v>
      </c>
      <c r="V1763" s="10">
        <v>5</v>
      </c>
      <c r="W1763" s="10">
        <v>6</v>
      </c>
      <c r="X1763" s="10">
        <v>7</v>
      </c>
      <c r="Y1763" s="11">
        <v>0.27777777777777779</v>
      </c>
      <c r="Z1763" s="11">
        <v>0.33333333333333331</v>
      </c>
      <c r="AA1763" s="11">
        <v>0.3888888888888889</v>
      </c>
    </row>
    <row r="1764" spans="21:27" x14ac:dyDescent="0.25">
      <c r="U1764" s="37">
        <v>37514</v>
      </c>
      <c r="V1764" s="10">
        <v>7</v>
      </c>
      <c r="W1764" s="10">
        <v>2</v>
      </c>
      <c r="X1764" s="10">
        <v>3</v>
      </c>
      <c r="Y1764" s="11">
        <v>0.58333333333333337</v>
      </c>
      <c r="Z1764" s="11">
        <v>0.16666666666666666</v>
      </c>
      <c r="AA1764" s="11">
        <v>0.25</v>
      </c>
    </row>
    <row r="1765" spans="21:27" x14ac:dyDescent="0.25">
      <c r="U1765" s="37">
        <v>37521</v>
      </c>
      <c r="V1765" s="10">
        <v>15</v>
      </c>
      <c r="W1765" s="10">
        <v>10</v>
      </c>
      <c r="X1765" s="10">
        <v>10</v>
      </c>
      <c r="Y1765" s="11">
        <v>0.42857142857142855</v>
      </c>
      <c r="Z1765" s="11">
        <v>0.2857142857142857</v>
      </c>
      <c r="AA1765" s="11">
        <v>0.2857142857142857</v>
      </c>
    </row>
    <row r="1766" spans="21:27" x14ac:dyDescent="0.25">
      <c r="U1766" s="37">
        <v>37528</v>
      </c>
      <c r="V1766" s="10">
        <v>8</v>
      </c>
      <c r="W1766" s="10">
        <v>3</v>
      </c>
      <c r="X1766" s="10">
        <v>6</v>
      </c>
      <c r="Y1766" s="11">
        <v>0.47058823529411764</v>
      </c>
      <c r="Z1766" s="11">
        <v>0.17647058823529413</v>
      </c>
      <c r="AA1766" s="11">
        <v>0.35294117647058826</v>
      </c>
    </row>
    <row r="1767" spans="21:27" x14ac:dyDescent="0.25">
      <c r="U1767" s="37">
        <v>37535</v>
      </c>
      <c r="V1767" s="10">
        <v>3</v>
      </c>
      <c r="W1767" s="10">
        <v>9</v>
      </c>
      <c r="X1767" s="10">
        <v>10</v>
      </c>
      <c r="Y1767" s="11">
        <v>0.13636363636363635</v>
      </c>
      <c r="Z1767" s="11">
        <v>0.40909090909090912</v>
      </c>
      <c r="AA1767" s="11">
        <v>0.45454545454545453</v>
      </c>
    </row>
    <row r="1768" spans="21:27" x14ac:dyDescent="0.25">
      <c r="U1768" s="37">
        <v>37542</v>
      </c>
      <c r="V1768" s="10">
        <v>6</v>
      </c>
      <c r="W1768" s="10">
        <v>1</v>
      </c>
      <c r="X1768" s="10">
        <v>3</v>
      </c>
      <c r="Y1768" s="11">
        <v>0.6</v>
      </c>
      <c r="Z1768" s="11">
        <v>0.1</v>
      </c>
      <c r="AA1768" s="11">
        <v>0.3</v>
      </c>
    </row>
    <row r="1769" spans="21:27" x14ac:dyDescent="0.25">
      <c r="U1769" s="37">
        <v>37549</v>
      </c>
      <c r="V1769" s="10">
        <v>1</v>
      </c>
      <c r="W1769" s="10">
        <v>3</v>
      </c>
      <c r="X1769" s="10">
        <v>12</v>
      </c>
      <c r="Y1769" s="11">
        <v>6.25E-2</v>
      </c>
      <c r="Z1769" s="11">
        <v>0.1875</v>
      </c>
      <c r="AA1769" s="11">
        <v>0.75</v>
      </c>
    </row>
    <row r="1770" spans="21:27" x14ac:dyDescent="0.25">
      <c r="U1770" s="37">
        <v>37556</v>
      </c>
      <c r="V1770" s="10">
        <v>4</v>
      </c>
      <c r="W1770" s="10">
        <v>1</v>
      </c>
      <c r="X1770" s="10">
        <v>7</v>
      </c>
      <c r="Y1770" s="11">
        <v>0.33333333333333331</v>
      </c>
      <c r="Z1770" s="11">
        <v>8.3333333333333329E-2</v>
      </c>
      <c r="AA1770" s="11">
        <v>0.58333333333333337</v>
      </c>
    </row>
    <row r="1771" spans="21:27" x14ac:dyDescent="0.25">
      <c r="U1771" s="37">
        <v>37561</v>
      </c>
      <c r="V1771" s="10">
        <v>0</v>
      </c>
      <c r="W1771" s="10">
        <v>5</v>
      </c>
      <c r="X1771" s="10">
        <v>13</v>
      </c>
      <c r="Y1771" s="11">
        <v>0</v>
      </c>
      <c r="Z1771" s="11">
        <v>0.27777777777777779</v>
      </c>
      <c r="AA1771" s="11">
        <v>0.72222222222222221</v>
      </c>
    </row>
    <row r="1772" spans="21:27" x14ac:dyDescent="0.25">
      <c r="U1772" s="37">
        <v>37563</v>
      </c>
      <c r="V1772" s="10">
        <v>12</v>
      </c>
      <c r="W1772" s="10">
        <v>6</v>
      </c>
      <c r="X1772" s="10">
        <v>9</v>
      </c>
      <c r="Y1772" s="11">
        <v>0.44444444444444442</v>
      </c>
      <c r="Z1772" s="11">
        <v>0.22222222222222221</v>
      </c>
      <c r="AA1772" s="11">
        <v>0.33333333333333331</v>
      </c>
    </row>
    <row r="1773" spans="21:27" x14ac:dyDescent="0.25">
      <c r="U1773" s="37">
        <v>37570</v>
      </c>
      <c r="V1773" s="10">
        <v>7</v>
      </c>
      <c r="W1773" s="10">
        <v>12</v>
      </c>
      <c r="X1773" s="10">
        <v>15</v>
      </c>
      <c r="Y1773" s="11">
        <v>0.20588235294117646</v>
      </c>
      <c r="Z1773" s="11">
        <v>0.35294117647058826</v>
      </c>
      <c r="AA1773" s="11">
        <v>0.44117647058823528</v>
      </c>
    </row>
    <row r="1774" spans="21:27" x14ac:dyDescent="0.25">
      <c r="U1774" s="37">
        <v>37577</v>
      </c>
      <c r="V1774" s="10">
        <v>1</v>
      </c>
      <c r="W1774" s="10">
        <v>3</v>
      </c>
      <c r="X1774" s="10">
        <v>9</v>
      </c>
      <c r="Y1774" s="11">
        <v>7.6923076923076927E-2</v>
      </c>
      <c r="Z1774" s="11">
        <v>0.23076923076923078</v>
      </c>
      <c r="AA1774" s="11">
        <v>0.69230769230769229</v>
      </c>
    </row>
    <row r="1775" spans="21:27" x14ac:dyDescent="0.25">
      <c r="U1775" s="37">
        <v>37584</v>
      </c>
      <c r="V1775" s="10">
        <v>10</v>
      </c>
      <c r="W1775" s="10">
        <v>3</v>
      </c>
      <c r="X1775" s="10">
        <v>5</v>
      </c>
      <c r="Y1775" s="11">
        <v>0.55555555555555558</v>
      </c>
      <c r="Z1775" s="11">
        <v>0.16666666666666666</v>
      </c>
      <c r="AA1775" s="11">
        <v>0.27777777777777779</v>
      </c>
    </row>
    <row r="1776" spans="21:27" x14ac:dyDescent="0.25">
      <c r="U1776" s="37">
        <v>37591</v>
      </c>
      <c r="V1776" s="10">
        <v>8</v>
      </c>
      <c r="W1776" s="10">
        <v>5</v>
      </c>
      <c r="X1776" s="10">
        <v>5</v>
      </c>
      <c r="Y1776" s="11">
        <v>0.44444444444444442</v>
      </c>
      <c r="Z1776" s="11">
        <v>0.27777777777777779</v>
      </c>
      <c r="AA1776" s="11">
        <v>0.27777777777777779</v>
      </c>
    </row>
    <row r="1777" spans="21:27" x14ac:dyDescent="0.25">
      <c r="U1777" s="37">
        <v>37598</v>
      </c>
      <c r="V1777" s="10">
        <v>17</v>
      </c>
      <c r="W1777" s="10">
        <v>8</v>
      </c>
      <c r="X1777" s="10">
        <v>7</v>
      </c>
      <c r="Y1777" s="11">
        <v>0.53125</v>
      </c>
      <c r="Z1777" s="11">
        <v>0.25</v>
      </c>
      <c r="AA1777" s="11">
        <v>0.21875</v>
      </c>
    </row>
    <row r="1778" spans="21:27" x14ac:dyDescent="0.25">
      <c r="U1778" s="37">
        <v>37605</v>
      </c>
      <c r="V1778" s="10">
        <v>6</v>
      </c>
      <c r="W1778" s="10">
        <v>7</v>
      </c>
      <c r="X1778" s="10">
        <v>10</v>
      </c>
      <c r="Y1778" s="11">
        <v>0.2608695652173913</v>
      </c>
      <c r="Z1778" s="11">
        <v>0.30434782608695654</v>
      </c>
      <c r="AA1778" s="11">
        <v>0.43478260869565216</v>
      </c>
    </row>
    <row r="1779" spans="21:27" x14ac:dyDescent="0.25">
      <c r="U1779" s="37">
        <v>37612</v>
      </c>
      <c r="V1779" s="10">
        <v>6</v>
      </c>
      <c r="W1779" s="10">
        <v>5</v>
      </c>
      <c r="X1779" s="10">
        <v>11</v>
      </c>
      <c r="Y1779" s="11">
        <v>0.27272727272727271</v>
      </c>
      <c r="Z1779" s="11">
        <v>0.22727272727272727</v>
      </c>
      <c r="AA1779" s="11">
        <v>0.5</v>
      </c>
    </row>
    <row r="1780" spans="21:27" x14ac:dyDescent="0.25">
      <c r="U1780" s="37">
        <v>37614</v>
      </c>
      <c r="V1780" s="10">
        <v>7</v>
      </c>
      <c r="W1780" s="10">
        <v>3</v>
      </c>
      <c r="X1780" s="10">
        <v>7</v>
      </c>
      <c r="Y1780" s="11">
        <v>0.41176470588235292</v>
      </c>
      <c r="Z1780" s="11">
        <v>0.17647058823529413</v>
      </c>
      <c r="AA1780" s="11">
        <v>0.41176470588235292</v>
      </c>
    </row>
    <row r="1781" spans="21:27" x14ac:dyDescent="0.25">
      <c r="U1781" s="37">
        <v>37615</v>
      </c>
      <c r="V1781" s="10">
        <v>4</v>
      </c>
      <c r="W1781" s="10">
        <v>1</v>
      </c>
      <c r="X1781" s="10">
        <v>7</v>
      </c>
      <c r="Y1781" s="11">
        <v>0.33333333333333331</v>
      </c>
      <c r="Z1781" s="11">
        <v>8.3333333333333329E-2</v>
      </c>
      <c r="AA1781" s="11">
        <v>0.58333333333333337</v>
      </c>
    </row>
    <row r="1782" spans="21:27" x14ac:dyDescent="0.25">
      <c r="U1782" s="37">
        <v>37619</v>
      </c>
      <c r="V1782" s="10">
        <v>19</v>
      </c>
      <c r="W1782" s="10">
        <v>9</v>
      </c>
      <c r="X1782" s="10">
        <v>10</v>
      </c>
      <c r="Y1782" s="11">
        <v>0.5</v>
      </c>
      <c r="Z1782" s="11">
        <v>0.23684210526315788</v>
      </c>
      <c r="AA1782" s="11">
        <v>0.26315789473684209</v>
      </c>
    </row>
    <row r="1783" spans="21:27" x14ac:dyDescent="0.25">
      <c r="U1783" s="37">
        <v>37626</v>
      </c>
      <c r="V1783" s="10">
        <v>1</v>
      </c>
      <c r="W1783" s="10">
        <v>1</v>
      </c>
      <c r="X1783" s="10">
        <v>2</v>
      </c>
      <c r="Y1783" s="11">
        <v>0.25</v>
      </c>
      <c r="Z1783" s="11">
        <v>0.25</v>
      </c>
      <c r="AA1783" s="11">
        <v>0.5</v>
      </c>
    </row>
    <row r="1784" spans="21:27" x14ac:dyDescent="0.25">
      <c r="U1784" s="37">
        <v>37633</v>
      </c>
      <c r="V1784" s="10">
        <v>9</v>
      </c>
      <c r="W1784" s="10">
        <v>8</v>
      </c>
      <c r="X1784" s="10">
        <v>20</v>
      </c>
      <c r="Y1784" s="11">
        <v>0.24324324324324326</v>
      </c>
      <c r="Z1784" s="11">
        <v>0.21621621621621623</v>
      </c>
      <c r="AA1784" s="11">
        <v>0.54054054054054057</v>
      </c>
    </row>
    <row r="1785" spans="21:27" x14ac:dyDescent="0.25">
      <c r="U1785" s="37">
        <v>37640</v>
      </c>
      <c r="V1785" s="10">
        <v>22</v>
      </c>
      <c r="W1785" s="10">
        <v>11</v>
      </c>
      <c r="X1785" s="10">
        <v>21</v>
      </c>
      <c r="Y1785" s="11">
        <v>0.40740740740740738</v>
      </c>
      <c r="Z1785" s="11">
        <v>0.20370370370370369</v>
      </c>
      <c r="AA1785" s="11">
        <v>0.3888888888888889</v>
      </c>
    </row>
    <row r="1786" spans="21:27" x14ac:dyDescent="0.25">
      <c r="U1786" s="37">
        <v>37647</v>
      </c>
      <c r="V1786" s="10">
        <v>4</v>
      </c>
      <c r="W1786" s="10">
        <v>5</v>
      </c>
      <c r="X1786" s="10">
        <v>6</v>
      </c>
      <c r="Y1786" s="11">
        <v>0.26666666666666666</v>
      </c>
      <c r="Z1786" s="11">
        <v>0.33333333333333331</v>
      </c>
      <c r="AA1786" s="11">
        <v>0.4</v>
      </c>
    </row>
    <row r="1787" spans="21:27" x14ac:dyDescent="0.25">
      <c r="U1787" s="37">
        <v>37654</v>
      </c>
      <c r="V1787" s="10">
        <v>7</v>
      </c>
      <c r="W1787" s="10">
        <v>6</v>
      </c>
      <c r="X1787" s="10">
        <v>6</v>
      </c>
      <c r="Y1787" s="11">
        <v>0.36842105263157893</v>
      </c>
      <c r="Z1787" s="11">
        <v>0.31578947368421051</v>
      </c>
      <c r="AA1787" s="11">
        <v>0.31578947368421051</v>
      </c>
    </row>
    <row r="1788" spans="21:27" x14ac:dyDescent="0.25">
      <c r="U1788" s="37">
        <v>37661</v>
      </c>
      <c r="V1788" s="10">
        <v>9</v>
      </c>
      <c r="W1788" s="10">
        <v>2</v>
      </c>
      <c r="X1788" s="10">
        <v>7</v>
      </c>
      <c r="Y1788" s="11">
        <v>0.5</v>
      </c>
      <c r="Z1788" s="11">
        <v>0.1111111111111111</v>
      </c>
      <c r="AA1788" s="11">
        <v>0.3888888888888889</v>
      </c>
    </row>
    <row r="1789" spans="21:27" x14ac:dyDescent="0.25">
      <c r="U1789" s="37">
        <v>37668</v>
      </c>
      <c r="V1789" s="10">
        <v>9</v>
      </c>
      <c r="W1789" s="10">
        <v>8</v>
      </c>
      <c r="X1789" s="10">
        <v>8</v>
      </c>
      <c r="Y1789" s="11">
        <v>0.36</v>
      </c>
      <c r="Z1789" s="11">
        <v>0.32</v>
      </c>
      <c r="AA1789" s="11">
        <v>0.32</v>
      </c>
    </row>
    <row r="1790" spans="21:27" x14ac:dyDescent="0.25">
      <c r="U1790" s="37">
        <v>37675</v>
      </c>
      <c r="V1790" s="10">
        <v>4</v>
      </c>
      <c r="W1790" s="10">
        <v>6</v>
      </c>
      <c r="X1790" s="10">
        <v>7</v>
      </c>
      <c r="Y1790" s="11">
        <v>0.23529411764705882</v>
      </c>
      <c r="Z1790" s="11">
        <v>0.35294117647058826</v>
      </c>
      <c r="AA1790" s="11">
        <v>0.41176470588235292</v>
      </c>
    </row>
    <row r="1791" spans="21:27" x14ac:dyDescent="0.25">
      <c r="U1791" s="37">
        <v>37682</v>
      </c>
      <c r="V1791" s="10">
        <v>9</v>
      </c>
      <c r="W1791" s="10">
        <v>12</v>
      </c>
      <c r="X1791" s="10">
        <v>8</v>
      </c>
      <c r="Y1791" s="11">
        <v>0.31034482758620691</v>
      </c>
      <c r="Z1791" s="11">
        <v>0.41379310344827586</v>
      </c>
      <c r="AA1791" s="11">
        <v>0.27586206896551724</v>
      </c>
    </row>
    <row r="1792" spans="21:27" x14ac:dyDescent="0.25">
      <c r="U1792" s="37">
        <v>37689</v>
      </c>
      <c r="V1792" s="10">
        <v>7</v>
      </c>
      <c r="W1792" s="10">
        <v>5</v>
      </c>
      <c r="X1792" s="10">
        <v>12</v>
      </c>
      <c r="Y1792" s="11">
        <v>0.29166666666666669</v>
      </c>
      <c r="Z1792" s="11">
        <v>0.20833333333333334</v>
      </c>
      <c r="AA1792" s="11">
        <v>0.5</v>
      </c>
    </row>
    <row r="1793" spans="21:27" x14ac:dyDescent="0.25">
      <c r="U1793" s="37">
        <v>37696</v>
      </c>
      <c r="V1793" s="10">
        <v>5</v>
      </c>
      <c r="W1793" s="10">
        <v>8</v>
      </c>
      <c r="X1793" s="10">
        <v>10</v>
      </c>
      <c r="Y1793" s="11">
        <v>0.21739130434782608</v>
      </c>
      <c r="Z1793" s="11">
        <v>0.34782608695652173</v>
      </c>
      <c r="AA1793" s="11">
        <v>0.43478260869565216</v>
      </c>
    </row>
    <row r="1794" spans="21:27" x14ac:dyDescent="0.25">
      <c r="U1794" s="37">
        <v>37703</v>
      </c>
      <c r="V1794" s="10">
        <v>10</v>
      </c>
      <c r="W1794" s="10">
        <v>3</v>
      </c>
      <c r="X1794" s="10">
        <v>14</v>
      </c>
      <c r="Y1794" s="11">
        <v>0.37037037037037035</v>
      </c>
      <c r="Z1794" s="11">
        <v>0.1111111111111111</v>
      </c>
      <c r="AA1794" s="11">
        <v>0.51851851851851849</v>
      </c>
    </row>
    <row r="1795" spans="21:27" x14ac:dyDescent="0.25">
      <c r="U1795" s="37">
        <v>37710</v>
      </c>
      <c r="V1795" s="10">
        <v>15</v>
      </c>
      <c r="W1795" s="10">
        <v>9</v>
      </c>
      <c r="X1795" s="10">
        <v>15</v>
      </c>
      <c r="Y1795" s="11">
        <v>0.38461538461538464</v>
      </c>
      <c r="Z1795" s="11">
        <v>0.23076923076923078</v>
      </c>
      <c r="AA1795" s="11">
        <v>0.38461538461538464</v>
      </c>
    </row>
    <row r="1796" spans="21:27" x14ac:dyDescent="0.25">
      <c r="U1796" s="37">
        <v>37717</v>
      </c>
      <c r="V1796" s="10">
        <v>7</v>
      </c>
      <c r="W1796" s="10">
        <v>5</v>
      </c>
      <c r="X1796" s="10">
        <v>5</v>
      </c>
      <c r="Y1796" s="11">
        <v>0.41176470588235292</v>
      </c>
      <c r="Z1796" s="11">
        <v>0.29411764705882354</v>
      </c>
      <c r="AA1796" s="11">
        <v>0.29411764705882354</v>
      </c>
    </row>
    <row r="1797" spans="21:27" x14ac:dyDescent="0.25">
      <c r="U1797" s="37">
        <v>37724</v>
      </c>
      <c r="V1797" s="10">
        <v>12</v>
      </c>
      <c r="W1797" s="10">
        <v>4</v>
      </c>
      <c r="X1797" s="10">
        <v>7</v>
      </c>
      <c r="Y1797" s="11">
        <v>0.52173913043478259</v>
      </c>
      <c r="Z1797" s="11">
        <v>0.17391304347826086</v>
      </c>
      <c r="AA1797" s="11">
        <v>0.30434782608695654</v>
      </c>
    </row>
    <row r="1798" spans="21:27" x14ac:dyDescent="0.25">
      <c r="U1798" s="37">
        <v>37731</v>
      </c>
      <c r="V1798" s="10">
        <v>2</v>
      </c>
      <c r="W1798" s="10">
        <v>2</v>
      </c>
      <c r="X1798" s="10">
        <v>4</v>
      </c>
      <c r="Y1798" s="11">
        <v>0.25</v>
      </c>
      <c r="Z1798" s="11">
        <v>0.25</v>
      </c>
      <c r="AA1798" s="11">
        <v>0.5</v>
      </c>
    </row>
    <row r="1799" spans="21:27" x14ac:dyDescent="0.25">
      <c r="U1799" s="37">
        <v>37738</v>
      </c>
      <c r="V1799" s="10">
        <v>6</v>
      </c>
      <c r="W1799" s="10">
        <v>8</v>
      </c>
      <c r="X1799" s="10">
        <v>4</v>
      </c>
      <c r="Y1799" s="11">
        <v>0.33333333333333331</v>
      </c>
      <c r="Z1799" s="11">
        <v>0.44444444444444442</v>
      </c>
      <c r="AA1799" s="11">
        <v>0.22222222222222221</v>
      </c>
    </row>
    <row r="1800" spans="21:27" x14ac:dyDescent="0.25">
      <c r="U1800" s="37">
        <v>37745</v>
      </c>
      <c r="V1800" s="10">
        <v>1</v>
      </c>
      <c r="W1800" s="10">
        <v>7</v>
      </c>
      <c r="X1800" s="10">
        <v>7</v>
      </c>
      <c r="Y1800" s="11">
        <v>6.6666666666666666E-2</v>
      </c>
      <c r="Z1800" s="11">
        <v>0.46666666666666667</v>
      </c>
      <c r="AA1800" s="11">
        <v>0.46666666666666667</v>
      </c>
    </row>
    <row r="1801" spans="21:27" x14ac:dyDescent="0.25">
      <c r="U1801" s="37">
        <v>37752</v>
      </c>
      <c r="V1801" s="10">
        <v>4</v>
      </c>
      <c r="W1801" s="10">
        <v>2</v>
      </c>
      <c r="X1801" s="10">
        <v>10</v>
      </c>
      <c r="Y1801" s="11">
        <v>0.25</v>
      </c>
      <c r="Z1801" s="11">
        <v>0.125</v>
      </c>
      <c r="AA1801" s="11">
        <v>0.625</v>
      </c>
    </row>
    <row r="1802" spans="21:27" x14ac:dyDescent="0.25">
      <c r="U1802" s="37">
        <v>37759</v>
      </c>
      <c r="V1802" s="10">
        <v>2</v>
      </c>
      <c r="W1802" s="10">
        <v>3</v>
      </c>
      <c r="X1802" s="10">
        <v>3</v>
      </c>
      <c r="Y1802" s="11">
        <v>0.25</v>
      </c>
      <c r="Z1802" s="11">
        <v>0.375</v>
      </c>
      <c r="AA1802" s="11">
        <v>0.375</v>
      </c>
    </row>
    <row r="1803" spans="21:27" x14ac:dyDescent="0.25">
      <c r="U1803" s="37">
        <v>37766</v>
      </c>
      <c r="V1803" s="10">
        <v>11</v>
      </c>
      <c r="W1803" s="10">
        <v>5</v>
      </c>
      <c r="X1803" s="10">
        <v>8</v>
      </c>
      <c r="Y1803" s="11">
        <v>0.45833333333333331</v>
      </c>
      <c r="Z1803" s="11">
        <v>0.20833333333333334</v>
      </c>
      <c r="AA1803" s="11">
        <v>0.33333333333333331</v>
      </c>
    </row>
    <row r="1804" spans="21:27" x14ac:dyDescent="0.25">
      <c r="U1804" s="37">
        <v>37770</v>
      </c>
      <c r="V1804" s="10">
        <v>5</v>
      </c>
      <c r="W1804" s="10">
        <v>0</v>
      </c>
      <c r="X1804" s="10">
        <v>11</v>
      </c>
      <c r="Y1804" s="11">
        <v>0.3125</v>
      </c>
      <c r="Z1804" s="11">
        <v>0</v>
      </c>
      <c r="AA1804" s="11">
        <v>0.6875</v>
      </c>
    </row>
    <row r="1805" spans="21:27" x14ac:dyDescent="0.25">
      <c r="U1805" s="37">
        <v>37773</v>
      </c>
      <c r="V1805" s="10">
        <v>4</v>
      </c>
      <c r="W1805" s="10">
        <v>4</v>
      </c>
      <c r="X1805" s="10">
        <v>4</v>
      </c>
      <c r="Y1805" s="11">
        <v>0.33333333333333331</v>
      </c>
      <c r="Z1805" s="11">
        <v>0.33333333333333331</v>
      </c>
      <c r="AA1805" s="11">
        <v>0.33333333333333331</v>
      </c>
    </row>
    <row r="1806" spans="21:27" x14ac:dyDescent="0.25">
      <c r="U1806" s="37">
        <v>37780</v>
      </c>
      <c r="V1806" s="10">
        <v>7</v>
      </c>
      <c r="W1806" s="10">
        <v>4</v>
      </c>
      <c r="X1806" s="10">
        <v>17</v>
      </c>
      <c r="Y1806" s="11">
        <v>0.25</v>
      </c>
      <c r="Z1806" s="11">
        <v>0.14285714285714285</v>
      </c>
      <c r="AA1806" s="11">
        <v>0.6071428571428571</v>
      </c>
    </row>
    <row r="1807" spans="21:27" x14ac:dyDescent="0.25">
      <c r="U1807" s="37">
        <v>37787</v>
      </c>
      <c r="V1807" s="10">
        <v>27</v>
      </c>
      <c r="W1807" s="10">
        <v>4</v>
      </c>
      <c r="X1807" s="10">
        <v>11</v>
      </c>
      <c r="Y1807" s="11">
        <v>0.6428571428571429</v>
      </c>
      <c r="Z1807" s="11">
        <v>9.5238095238095233E-2</v>
      </c>
      <c r="AA1807" s="11">
        <v>0.26190476190476192</v>
      </c>
    </row>
    <row r="1808" spans="21:27" x14ac:dyDescent="0.25">
      <c r="U1808" s="37">
        <v>37794</v>
      </c>
      <c r="V1808" s="10">
        <v>3</v>
      </c>
      <c r="W1808" s="10">
        <v>1</v>
      </c>
      <c r="X1808" s="10">
        <v>11</v>
      </c>
      <c r="Y1808" s="11">
        <v>0.2</v>
      </c>
      <c r="Z1808" s="11">
        <v>6.6666666666666666E-2</v>
      </c>
      <c r="AA1808" s="11">
        <v>0.73333333333333328</v>
      </c>
    </row>
    <row r="1809" spans="21:27" x14ac:dyDescent="0.25">
      <c r="U1809" s="37">
        <v>37801</v>
      </c>
      <c r="V1809" s="10">
        <v>9</v>
      </c>
      <c r="W1809" s="10">
        <v>9</v>
      </c>
      <c r="X1809" s="10">
        <v>9</v>
      </c>
      <c r="Y1809" s="11">
        <v>0.33333333333333331</v>
      </c>
      <c r="Z1809" s="11">
        <v>0.33333333333333331</v>
      </c>
      <c r="AA1809" s="11">
        <v>0.33333333333333331</v>
      </c>
    </row>
    <row r="1810" spans="21:27" x14ac:dyDescent="0.25">
      <c r="U1810" s="37">
        <v>37808</v>
      </c>
      <c r="V1810" s="10">
        <v>8</v>
      </c>
      <c r="W1810" s="10">
        <v>2</v>
      </c>
      <c r="X1810" s="10">
        <v>12</v>
      </c>
      <c r="Y1810" s="11">
        <v>0.36363636363636365</v>
      </c>
      <c r="Z1810" s="11">
        <v>9.0909090909090912E-2</v>
      </c>
      <c r="AA1810" s="11">
        <v>0.54545454545454541</v>
      </c>
    </row>
    <row r="1811" spans="21:27" x14ac:dyDescent="0.25">
      <c r="U1811" s="37">
        <v>37815</v>
      </c>
      <c r="V1811" s="10">
        <v>10</v>
      </c>
      <c r="W1811" s="10">
        <v>6</v>
      </c>
      <c r="X1811" s="10">
        <v>10</v>
      </c>
      <c r="Y1811" s="11">
        <v>0.38461538461538464</v>
      </c>
      <c r="Z1811" s="11">
        <v>0.23076923076923078</v>
      </c>
      <c r="AA1811" s="11">
        <v>0.38461538461538464</v>
      </c>
    </row>
    <row r="1812" spans="21:27" x14ac:dyDescent="0.25">
      <c r="U1812" s="37">
        <v>37822</v>
      </c>
      <c r="V1812" s="10">
        <v>7</v>
      </c>
      <c r="W1812" s="10">
        <v>5</v>
      </c>
      <c r="X1812" s="10">
        <v>12</v>
      </c>
      <c r="Y1812" s="11">
        <v>0.29166666666666669</v>
      </c>
      <c r="Z1812" s="11">
        <v>0.20833333333333334</v>
      </c>
      <c r="AA1812" s="11">
        <v>0.5</v>
      </c>
    </row>
    <row r="1813" spans="21:27" x14ac:dyDescent="0.25">
      <c r="U1813" s="37">
        <v>37829</v>
      </c>
      <c r="V1813" s="10">
        <v>3</v>
      </c>
      <c r="W1813" s="10">
        <v>6</v>
      </c>
      <c r="X1813" s="10">
        <v>6</v>
      </c>
      <c r="Y1813" s="11">
        <v>0.2</v>
      </c>
      <c r="Z1813" s="11">
        <v>0.4</v>
      </c>
      <c r="AA1813" s="11">
        <v>0.4</v>
      </c>
    </row>
    <row r="1814" spans="21:27" x14ac:dyDescent="0.25">
      <c r="U1814" s="37">
        <v>37836</v>
      </c>
      <c r="V1814" s="10">
        <v>4</v>
      </c>
      <c r="W1814" s="10">
        <v>1</v>
      </c>
      <c r="X1814" s="10">
        <v>7</v>
      </c>
      <c r="Y1814" s="11">
        <v>0.33333333333333331</v>
      </c>
      <c r="Z1814" s="11">
        <v>8.3333333333333329E-2</v>
      </c>
      <c r="AA1814" s="11">
        <v>0.58333333333333337</v>
      </c>
    </row>
    <row r="1815" spans="21:27" x14ac:dyDescent="0.25">
      <c r="U1815" s="37">
        <v>37843</v>
      </c>
      <c r="V1815" s="10">
        <v>2</v>
      </c>
      <c r="W1815" s="10">
        <v>5</v>
      </c>
      <c r="X1815" s="10">
        <v>10</v>
      </c>
      <c r="Y1815" s="11">
        <v>0.11764705882352941</v>
      </c>
      <c r="Z1815" s="11">
        <v>0.29411764705882354</v>
      </c>
      <c r="AA1815" s="11">
        <v>0.58823529411764708</v>
      </c>
    </row>
    <row r="1816" spans="21:27" x14ac:dyDescent="0.25">
      <c r="U1816" s="37">
        <v>37848</v>
      </c>
      <c r="V1816" s="10">
        <v>5</v>
      </c>
      <c r="W1816" s="10">
        <v>6</v>
      </c>
      <c r="X1816" s="10">
        <v>17</v>
      </c>
      <c r="Y1816" s="11">
        <v>0.17857142857142858</v>
      </c>
      <c r="Z1816" s="11">
        <v>0.21428571428571427</v>
      </c>
      <c r="AA1816" s="11">
        <v>0.6071428571428571</v>
      </c>
    </row>
    <row r="1817" spans="21:27" x14ac:dyDescent="0.25">
      <c r="U1817" s="37">
        <v>37850</v>
      </c>
      <c r="V1817" s="10">
        <v>4</v>
      </c>
      <c r="W1817" s="10">
        <v>4</v>
      </c>
      <c r="X1817" s="10">
        <v>10</v>
      </c>
      <c r="Y1817" s="11">
        <v>0.22222222222222221</v>
      </c>
      <c r="Z1817" s="11">
        <v>0.22222222222222221</v>
      </c>
      <c r="AA1817" s="11">
        <v>0.55555555555555558</v>
      </c>
    </row>
    <row r="1818" spans="21:27" x14ac:dyDescent="0.25">
      <c r="U1818" s="37">
        <v>37857</v>
      </c>
      <c r="V1818" s="10">
        <v>6</v>
      </c>
      <c r="W1818" s="10">
        <v>5</v>
      </c>
      <c r="X1818" s="10">
        <v>2</v>
      </c>
      <c r="Y1818" s="11">
        <v>0.46153846153846156</v>
      </c>
      <c r="Z1818" s="11">
        <v>0.38461538461538464</v>
      </c>
      <c r="AA1818" s="11">
        <v>0.15384615384615385</v>
      </c>
    </row>
    <row r="1819" spans="21:27" x14ac:dyDescent="0.25">
      <c r="U1819" s="37">
        <v>37864</v>
      </c>
      <c r="V1819" s="10">
        <v>0</v>
      </c>
      <c r="W1819" s="10">
        <v>4</v>
      </c>
      <c r="X1819" s="10">
        <v>8</v>
      </c>
      <c r="Y1819" s="11">
        <v>0</v>
      </c>
      <c r="Z1819" s="11">
        <v>0.33333333333333331</v>
      </c>
      <c r="AA1819" s="11">
        <v>0.66666666666666663</v>
      </c>
    </row>
    <row r="1820" spans="21:27" x14ac:dyDescent="0.25">
      <c r="U1820" s="37">
        <v>37871</v>
      </c>
      <c r="V1820" s="10">
        <v>25</v>
      </c>
      <c r="W1820" s="10">
        <v>7</v>
      </c>
      <c r="X1820" s="10">
        <v>8</v>
      </c>
      <c r="Y1820" s="11">
        <v>0.625</v>
      </c>
      <c r="Z1820" s="11">
        <v>0.17499999999999999</v>
      </c>
      <c r="AA1820" s="11">
        <v>0.2</v>
      </c>
    </row>
    <row r="1821" spans="21:27" x14ac:dyDescent="0.25">
      <c r="U1821" s="37">
        <v>37878</v>
      </c>
      <c r="V1821" s="10">
        <v>8</v>
      </c>
      <c r="W1821" s="10">
        <v>1</v>
      </c>
      <c r="X1821" s="10">
        <v>8</v>
      </c>
      <c r="Y1821" s="11">
        <v>0.47058823529411764</v>
      </c>
      <c r="Z1821" s="11">
        <v>5.8823529411764705E-2</v>
      </c>
      <c r="AA1821" s="11">
        <v>0.47058823529411764</v>
      </c>
    </row>
    <row r="1822" spans="21:27" x14ac:dyDescent="0.25">
      <c r="U1822" s="37">
        <v>37885</v>
      </c>
      <c r="V1822" s="10">
        <v>4</v>
      </c>
      <c r="W1822" s="10">
        <v>1</v>
      </c>
      <c r="X1822" s="10">
        <v>15</v>
      </c>
      <c r="Y1822" s="11">
        <v>0.2</v>
      </c>
      <c r="Z1822" s="11">
        <v>0.05</v>
      </c>
      <c r="AA1822" s="11">
        <v>0.75</v>
      </c>
    </row>
    <row r="1823" spans="21:27" x14ac:dyDescent="0.25">
      <c r="U1823" s="37">
        <v>37892</v>
      </c>
      <c r="V1823" s="10">
        <v>2</v>
      </c>
      <c r="W1823" s="10">
        <v>3</v>
      </c>
      <c r="X1823" s="10">
        <v>3</v>
      </c>
      <c r="Y1823" s="11">
        <v>0.25</v>
      </c>
      <c r="Z1823" s="11">
        <v>0.375</v>
      </c>
      <c r="AA1823" s="11">
        <v>0.375</v>
      </c>
    </row>
    <row r="1824" spans="21:27" x14ac:dyDescent="0.25">
      <c r="U1824" s="37">
        <v>37899</v>
      </c>
      <c r="V1824" s="10">
        <v>5</v>
      </c>
      <c r="W1824" s="10">
        <v>1</v>
      </c>
      <c r="X1824" s="10">
        <v>4</v>
      </c>
      <c r="Y1824" s="11">
        <v>0.5</v>
      </c>
      <c r="Z1824" s="11">
        <v>0.1</v>
      </c>
      <c r="AA1824" s="11">
        <v>0.4</v>
      </c>
    </row>
    <row r="1825" spans="21:27" x14ac:dyDescent="0.25">
      <c r="U1825" s="37">
        <v>37906</v>
      </c>
      <c r="V1825" s="10">
        <v>7</v>
      </c>
      <c r="W1825" s="10">
        <v>2</v>
      </c>
      <c r="X1825" s="10">
        <v>4</v>
      </c>
      <c r="Y1825" s="11">
        <v>0.53846153846153844</v>
      </c>
      <c r="Z1825" s="11">
        <v>0.15384615384615385</v>
      </c>
      <c r="AA1825" s="11">
        <v>0.30769230769230771</v>
      </c>
    </row>
    <row r="1826" spans="21:27" x14ac:dyDescent="0.25">
      <c r="U1826" s="37">
        <v>37913</v>
      </c>
      <c r="V1826" s="10">
        <v>2</v>
      </c>
      <c r="W1826" s="10">
        <v>3</v>
      </c>
      <c r="X1826" s="10">
        <v>18</v>
      </c>
      <c r="Y1826" s="11">
        <v>8.6956521739130432E-2</v>
      </c>
      <c r="Z1826" s="11">
        <v>0.13043478260869565</v>
      </c>
      <c r="AA1826" s="11">
        <v>0.78260869565217395</v>
      </c>
    </row>
    <row r="1827" spans="21:27" x14ac:dyDescent="0.25">
      <c r="U1827" s="37">
        <v>37920</v>
      </c>
      <c r="V1827" s="10">
        <v>5</v>
      </c>
      <c r="W1827" s="10">
        <v>12</v>
      </c>
      <c r="X1827" s="10">
        <v>5</v>
      </c>
      <c r="Y1827" s="11">
        <v>0.22727272727272727</v>
      </c>
      <c r="Z1827" s="11">
        <v>0.54545454545454541</v>
      </c>
      <c r="AA1827" s="11">
        <v>0.22727272727272727</v>
      </c>
    </row>
    <row r="1828" spans="21:27" x14ac:dyDescent="0.25">
      <c r="U1828" s="37">
        <v>37926</v>
      </c>
      <c r="V1828" s="10">
        <v>3</v>
      </c>
      <c r="W1828" s="10">
        <v>1</v>
      </c>
      <c r="X1828" s="10">
        <v>7</v>
      </c>
      <c r="Y1828" s="11">
        <v>0.27272727272727271</v>
      </c>
      <c r="Z1828" s="11">
        <v>9.0909090909090912E-2</v>
      </c>
      <c r="AA1828" s="11">
        <v>0.63636363636363635</v>
      </c>
    </row>
    <row r="1829" spans="21:27" x14ac:dyDescent="0.25">
      <c r="U1829" s="37">
        <v>37927</v>
      </c>
      <c r="V1829" s="10">
        <v>5</v>
      </c>
      <c r="W1829" s="10">
        <v>0</v>
      </c>
      <c r="X1829" s="10">
        <v>2</v>
      </c>
      <c r="Y1829" s="11">
        <v>0.7142857142857143</v>
      </c>
      <c r="Z1829" s="11">
        <v>0</v>
      </c>
      <c r="AA1829" s="11">
        <v>0.2857142857142857</v>
      </c>
    </row>
    <row r="1830" spans="21:27" x14ac:dyDescent="0.25">
      <c r="U1830" s="37">
        <v>37934</v>
      </c>
      <c r="V1830" s="10">
        <v>4</v>
      </c>
      <c r="W1830" s="10">
        <v>8</v>
      </c>
      <c r="X1830" s="10">
        <v>22</v>
      </c>
      <c r="Y1830" s="11">
        <v>0.11764705882352941</v>
      </c>
      <c r="Z1830" s="11">
        <v>0.23529411764705882</v>
      </c>
      <c r="AA1830" s="11">
        <v>0.6470588235294118</v>
      </c>
    </row>
    <row r="1831" spans="21:27" x14ac:dyDescent="0.25">
      <c r="U1831" s="37">
        <v>37941</v>
      </c>
      <c r="V1831" s="10">
        <v>10</v>
      </c>
      <c r="W1831" s="10">
        <v>4</v>
      </c>
      <c r="X1831" s="10">
        <v>9</v>
      </c>
      <c r="Y1831" s="11">
        <v>0.43478260869565216</v>
      </c>
      <c r="Z1831" s="11">
        <v>0.17391304347826086</v>
      </c>
      <c r="AA1831" s="11">
        <v>0.39130434782608697</v>
      </c>
    </row>
    <row r="1832" spans="21:27" x14ac:dyDescent="0.25">
      <c r="U1832" s="37">
        <v>37948</v>
      </c>
      <c r="V1832" s="10">
        <v>0</v>
      </c>
      <c r="W1832" s="10">
        <v>4</v>
      </c>
      <c r="X1832" s="10">
        <v>7</v>
      </c>
      <c r="Y1832" s="11">
        <v>0</v>
      </c>
      <c r="Z1832" s="11">
        <v>0.36363636363636365</v>
      </c>
      <c r="AA1832" s="11">
        <v>0.63636363636363635</v>
      </c>
    </row>
    <row r="1833" spans="21:27" x14ac:dyDescent="0.25">
      <c r="U1833" s="37">
        <v>37955</v>
      </c>
      <c r="V1833" s="10">
        <v>11</v>
      </c>
      <c r="W1833" s="10">
        <v>0</v>
      </c>
      <c r="X1833" s="10">
        <v>3</v>
      </c>
      <c r="Y1833" s="11">
        <v>0.7857142857142857</v>
      </c>
      <c r="Z1833" s="11">
        <v>0</v>
      </c>
      <c r="AA1833" s="11">
        <v>0.21428571428571427</v>
      </c>
    </row>
    <row r="1834" spans="21:27" x14ac:dyDescent="0.25">
      <c r="U1834" s="37">
        <v>37962</v>
      </c>
      <c r="V1834" s="10">
        <v>10</v>
      </c>
      <c r="W1834" s="10">
        <v>2</v>
      </c>
      <c r="X1834" s="10">
        <v>5</v>
      </c>
      <c r="Y1834" s="11">
        <v>0.58823529411764708</v>
      </c>
      <c r="Z1834" s="11">
        <v>0.11764705882352941</v>
      </c>
      <c r="AA1834" s="11">
        <v>0.29411764705882354</v>
      </c>
    </row>
    <row r="1835" spans="21:27" x14ac:dyDescent="0.25">
      <c r="U1835" s="37">
        <v>37969</v>
      </c>
      <c r="V1835" s="10">
        <v>2</v>
      </c>
      <c r="W1835" s="10">
        <v>1</v>
      </c>
      <c r="X1835" s="10">
        <v>2</v>
      </c>
      <c r="Y1835" s="11">
        <v>0.4</v>
      </c>
      <c r="Z1835" s="11">
        <v>0.2</v>
      </c>
      <c r="AA1835" s="11">
        <v>0.4</v>
      </c>
    </row>
    <row r="1836" spans="21:27" x14ac:dyDescent="0.25">
      <c r="U1836" s="37">
        <v>37976</v>
      </c>
      <c r="V1836" s="10">
        <v>13</v>
      </c>
      <c r="W1836" s="10">
        <v>12</v>
      </c>
      <c r="X1836" s="10">
        <v>17</v>
      </c>
      <c r="Y1836" s="11">
        <v>0.30952380952380953</v>
      </c>
      <c r="Z1836" s="11">
        <v>0.2857142857142857</v>
      </c>
      <c r="AA1836" s="11">
        <v>0.40476190476190477</v>
      </c>
    </row>
    <row r="1837" spans="21:27" x14ac:dyDescent="0.25">
      <c r="U1837" s="37">
        <v>37979</v>
      </c>
      <c r="V1837" s="10">
        <v>14</v>
      </c>
      <c r="W1837" s="10">
        <v>1</v>
      </c>
      <c r="X1837" s="10">
        <v>10</v>
      </c>
      <c r="Y1837" s="11">
        <v>0.56000000000000005</v>
      </c>
      <c r="Z1837" s="11">
        <v>0.04</v>
      </c>
      <c r="AA1837" s="11">
        <v>0.4</v>
      </c>
    </row>
    <row r="1838" spans="21:27" x14ac:dyDescent="0.25">
      <c r="U1838" s="37">
        <v>37980</v>
      </c>
      <c r="V1838" s="10">
        <v>7</v>
      </c>
      <c r="W1838" s="10">
        <v>4</v>
      </c>
      <c r="X1838" s="10">
        <v>9</v>
      </c>
      <c r="Y1838" s="11">
        <v>0.35</v>
      </c>
      <c r="Z1838" s="11">
        <v>0.2</v>
      </c>
      <c r="AA1838" s="11">
        <v>0.45</v>
      </c>
    </row>
    <row r="1839" spans="21:27" x14ac:dyDescent="0.25">
      <c r="U1839" s="37">
        <v>37983</v>
      </c>
      <c r="V1839" s="10">
        <v>4</v>
      </c>
      <c r="W1839" s="10">
        <v>3</v>
      </c>
      <c r="X1839" s="10">
        <v>7</v>
      </c>
      <c r="Y1839" s="11">
        <v>0.2857142857142857</v>
      </c>
      <c r="Z1839" s="11">
        <v>0.21428571428571427</v>
      </c>
      <c r="AA1839" s="11">
        <v>0.5</v>
      </c>
    </row>
    <row r="1840" spans="21:27" x14ac:dyDescent="0.25">
      <c r="U1840" s="37">
        <v>37990</v>
      </c>
      <c r="V1840" s="10">
        <v>8</v>
      </c>
      <c r="W1840" s="10">
        <v>4</v>
      </c>
      <c r="X1840" s="10">
        <v>8</v>
      </c>
      <c r="Y1840" s="11">
        <v>0.4</v>
      </c>
      <c r="Z1840" s="11">
        <v>0.2</v>
      </c>
      <c r="AA1840" s="11">
        <v>0.4</v>
      </c>
    </row>
    <row r="1841" spans="21:27" x14ac:dyDescent="0.25">
      <c r="U1841" s="37">
        <v>37997</v>
      </c>
      <c r="V1841" s="10">
        <v>8</v>
      </c>
      <c r="W1841" s="10">
        <v>4</v>
      </c>
      <c r="X1841" s="10">
        <v>14</v>
      </c>
      <c r="Y1841" s="11">
        <v>0.30769230769230771</v>
      </c>
      <c r="Z1841" s="11">
        <v>0.15384615384615385</v>
      </c>
      <c r="AA1841" s="11">
        <v>0.53846153846153844</v>
      </c>
    </row>
    <row r="1842" spans="21:27" x14ac:dyDescent="0.25">
      <c r="U1842" s="37">
        <v>38004</v>
      </c>
      <c r="V1842" s="10">
        <v>8</v>
      </c>
      <c r="W1842" s="10">
        <v>6</v>
      </c>
      <c r="X1842" s="10">
        <v>14</v>
      </c>
      <c r="Y1842" s="11">
        <v>0.2857142857142857</v>
      </c>
      <c r="Z1842" s="11">
        <v>0.21428571428571427</v>
      </c>
      <c r="AA1842" s="11">
        <v>0.5</v>
      </c>
    </row>
    <row r="1843" spans="21:27" x14ac:dyDescent="0.25">
      <c r="U1843" s="37">
        <v>38011</v>
      </c>
      <c r="V1843" s="10">
        <v>8</v>
      </c>
      <c r="W1843" s="10">
        <v>2</v>
      </c>
      <c r="X1843" s="10">
        <v>6</v>
      </c>
      <c r="Y1843" s="11">
        <v>0.5</v>
      </c>
      <c r="Z1843" s="11">
        <v>0.125</v>
      </c>
      <c r="AA1843" s="11">
        <v>0.375</v>
      </c>
    </row>
    <row r="1844" spans="21:27" x14ac:dyDescent="0.25">
      <c r="U1844" s="37">
        <v>38018</v>
      </c>
      <c r="V1844" s="10">
        <v>9</v>
      </c>
      <c r="W1844" s="10">
        <v>3</v>
      </c>
      <c r="X1844" s="10">
        <v>8</v>
      </c>
      <c r="Y1844" s="11">
        <v>0.45</v>
      </c>
      <c r="Z1844" s="11">
        <v>0.15</v>
      </c>
      <c r="AA1844" s="11">
        <v>0.4</v>
      </c>
    </row>
    <row r="1845" spans="21:27" x14ac:dyDescent="0.25">
      <c r="U1845" s="37">
        <v>38025</v>
      </c>
      <c r="V1845" s="10">
        <v>8</v>
      </c>
      <c r="W1845" s="10">
        <v>2</v>
      </c>
      <c r="X1845" s="10">
        <v>8</v>
      </c>
      <c r="Y1845" s="11">
        <v>0.44444444444444442</v>
      </c>
      <c r="Z1845" s="11">
        <v>0.1111111111111111</v>
      </c>
      <c r="AA1845" s="11">
        <v>0.44444444444444442</v>
      </c>
    </row>
    <row r="1846" spans="21:27" x14ac:dyDescent="0.25">
      <c r="U1846" s="37">
        <v>38032</v>
      </c>
      <c r="V1846" s="10">
        <v>5</v>
      </c>
      <c r="W1846" s="10">
        <v>0</v>
      </c>
      <c r="X1846" s="10">
        <v>8</v>
      </c>
      <c r="Y1846" s="11">
        <v>0.38461538461538464</v>
      </c>
      <c r="Z1846" s="11">
        <v>0</v>
      </c>
      <c r="AA1846" s="11">
        <v>0.61538461538461542</v>
      </c>
    </row>
    <row r="1847" spans="21:27" x14ac:dyDescent="0.25">
      <c r="U1847" s="37">
        <v>38039</v>
      </c>
      <c r="V1847" s="10">
        <v>5</v>
      </c>
      <c r="W1847" s="10">
        <v>7</v>
      </c>
      <c r="X1847" s="10">
        <v>2</v>
      </c>
      <c r="Y1847" s="11">
        <v>0.35714285714285715</v>
      </c>
      <c r="Z1847" s="11">
        <v>0.5</v>
      </c>
      <c r="AA1847" s="11">
        <v>0.14285714285714285</v>
      </c>
    </row>
    <row r="1848" spans="21:27" x14ac:dyDescent="0.25">
      <c r="U1848" s="37">
        <v>38046</v>
      </c>
      <c r="V1848" s="10">
        <v>3</v>
      </c>
      <c r="W1848" s="10">
        <v>6</v>
      </c>
      <c r="X1848" s="10">
        <v>17</v>
      </c>
      <c r="Y1848" s="11">
        <v>0.11538461538461539</v>
      </c>
      <c r="Z1848" s="11">
        <v>0.23076923076923078</v>
      </c>
      <c r="AA1848" s="11">
        <v>0.65384615384615385</v>
      </c>
    </row>
    <row r="1849" spans="21:27" x14ac:dyDescent="0.25">
      <c r="U1849" s="37">
        <v>38053</v>
      </c>
      <c r="V1849" s="10">
        <v>6</v>
      </c>
      <c r="W1849" s="10">
        <v>1</v>
      </c>
      <c r="X1849" s="10">
        <v>2</v>
      </c>
      <c r="Y1849" s="11">
        <v>0.66666666666666663</v>
      </c>
      <c r="Z1849" s="11">
        <v>0.1111111111111111</v>
      </c>
      <c r="AA1849" s="11">
        <v>0.22222222222222221</v>
      </c>
    </row>
    <row r="1850" spans="21:27" x14ac:dyDescent="0.25">
      <c r="U1850" s="37">
        <v>38060</v>
      </c>
      <c r="V1850" s="10">
        <v>11</v>
      </c>
      <c r="W1850" s="10">
        <v>6</v>
      </c>
      <c r="X1850" s="10">
        <v>2</v>
      </c>
      <c r="Y1850" s="11">
        <v>0.57894736842105265</v>
      </c>
      <c r="Z1850" s="11">
        <v>0.31578947368421051</v>
      </c>
      <c r="AA1850" s="11">
        <v>0.10526315789473684</v>
      </c>
    </row>
    <row r="1851" spans="21:27" x14ac:dyDescent="0.25">
      <c r="U1851" s="37">
        <v>38067</v>
      </c>
      <c r="V1851" s="10">
        <v>12</v>
      </c>
      <c r="W1851" s="10">
        <v>6</v>
      </c>
      <c r="X1851" s="10">
        <v>15</v>
      </c>
      <c r="Y1851" s="11">
        <v>0.36363636363636365</v>
      </c>
      <c r="Z1851" s="11">
        <v>0.18181818181818182</v>
      </c>
      <c r="AA1851" s="11">
        <v>0.45454545454545453</v>
      </c>
    </row>
    <row r="1852" spans="21:27" x14ac:dyDescent="0.25">
      <c r="U1852" s="37">
        <v>38074</v>
      </c>
      <c r="V1852" s="10">
        <v>7</v>
      </c>
      <c r="W1852" s="10">
        <v>9</v>
      </c>
      <c r="X1852" s="10">
        <v>6</v>
      </c>
      <c r="Y1852" s="11">
        <v>0.31818181818181818</v>
      </c>
      <c r="Z1852" s="11">
        <v>0.40909090909090912</v>
      </c>
      <c r="AA1852" s="11">
        <v>0.27272727272727271</v>
      </c>
    </row>
    <row r="1853" spans="21:27" x14ac:dyDescent="0.25">
      <c r="U1853" s="37">
        <v>38081</v>
      </c>
      <c r="V1853" s="10">
        <v>3</v>
      </c>
      <c r="W1853" s="10">
        <v>2</v>
      </c>
      <c r="X1853" s="10">
        <v>6</v>
      </c>
      <c r="Y1853" s="11">
        <v>0.27272727272727271</v>
      </c>
      <c r="Z1853" s="11">
        <v>0.18181818181818182</v>
      </c>
      <c r="AA1853" s="11">
        <v>0.54545454545454541</v>
      </c>
    </row>
    <row r="1854" spans="21:27" x14ac:dyDescent="0.25">
      <c r="U1854" s="37">
        <v>38088</v>
      </c>
      <c r="V1854" s="10">
        <v>10</v>
      </c>
      <c r="W1854" s="10">
        <v>3</v>
      </c>
      <c r="X1854" s="10">
        <v>15</v>
      </c>
      <c r="Y1854" s="11">
        <v>0.35714285714285715</v>
      </c>
      <c r="Z1854" s="11">
        <v>0.10714285714285714</v>
      </c>
      <c r="AA1854" s="11">
        <v>0.5357142857142857</v>
      </c>
    </row>
    <row r="1855" spans="21:27" x14ac:dyDescent="0.25">
      <c r="U1855" s="37">
        <v>38095</v>
      </c>
      <c r="V1855" s="10">
        <v>7</v>
      </c>
      <c r="W1855" s="10">
        <v>2</v>
      </c>
      <c r="X1855" s="10">
        <v>11</v>
      </c>
      <c r="Y1855" s="11">
        <v>0.35</v>
      </c>
      <c r="Z1855" s="11">
        <v>0.1</v>
      </c>
      <c r="AA1855" s="11">
        <v>0.55000000000000004</v>
      </c>
    </row>
    <row r="1856" spans="21:27" x14ac:dyDescent="0.25">
      <c r="U1856" s="37">
        <v>38102</v>
      </c>
      <c r="V1856" s="10">
        <v>5</v>
      </c>
      <c r="W1856" s="10">
        <v>12</v>
      </c>
      <c r="X1856" s="10">
        <v>8</v>
      </c>
      <c r="Y1856" s="11">
        <v>0.2</v>
      </c>
      <c r="Z1856" s="11">
        <v>0.48</v>
      </c>
      <c r="AA1856" s="11">
        <v>0.32</v>
      </c>
    </row>
    <row r="1857" spans="21:27" x14ac:dyDescent="0.25">
      <c r="U1857" s="37">
        <v>38109</v>
      </c>
      <c r="V1857" s="10">
        <v>1</v>
      </c>
      <c r="W1857" s="10">
        <v>2</v>
      </c>
      <c r="X1857" s="10">
        <v>0</v>
      </c>
      <c r="Y1857" s="11">
        <v>0.33333333333333331</v>
      </c>
      <c r="Z1857" s="11">
        <v>0.66666666666666663</v>
      </c>
      <c r="AA1857" s="11">
        <v>0</v>
      </c>
    </row>
    <row r="1858" spans="21:27" x14ac:dyDescent="0.25">
      <c r="U1858" s="37">
        <v>38116</v>
      </c>
      <c r="V1858" s="10">
        <v>2</v>
      </c>
      <c r="W1858" s="10">
        <v>3</v>
      </c>
      <c r="X1858" s="10">
        <v>14</v>
      </c>
      <c r="Y1858" s="11">
        <v>0.10526315789473684</v>
      </c>
      <c r="Z1858" s="11">
        <v>0.15789473684210525</v>
      </c>
      <c r="AA1858" s="11">
        <v>0.73684210526315785</v>
      </c>
    </row>
    <row r="1859" spans="21:27" x14ac:dyDescent="0.25">
      <c r="U1859" s="37">
        <v>38123</v>
      </c>
      <c r="V1859" s="10">
        <v>13</v>
      </c>
      <c r="W1859" s="10">
        <v>3</v>
      </c>
      <c r="X1859" s="10">
        <v>10</v>
      </c>
      <c r="Y1859" s="11">
        <v>0.5</v>
      </c>
      <c r="Z1859" s="11">
        <v>0.11538461538461539</v>
      </c>
      <c r="AA1859" s="11">
        <v>0.38461538461538464</v>
      </c>
    </row>
    <row r="1860" spans="21:27" x14ac:dyDescent="0.25">
      <c r="U1860" s="37">
        <v>38127</v>
      </c>
      <c r="V1860" s="10">
        <v>4</v>
      </c>
      <c r="W1860" s="10">
        <v>3</v>
      </c>
      <c r="X1860" s="10">
        <v>15</v>
      </c>
      <c r="Y1860" s="11">
        <v>0.18181818181818182</v>
      </c>
      <c r="Z1860" s="11">
        <v>0.13636363636363635</v>
      </c>
      <c r="AA1860" s="11">
        <v>0.68181818181818177</v>
      </c>
    </row>
    <row r="1861" spans="21:27" x14ac:dyDescent="0.25">
      <c r="U1861" s="37">
        <v>38130</v>
      </c>
      <c r="V1861" s="10">
        <v>9</v>
      </c>
      <c r="W1861" s="10">
        <v>2</v>
      </c>
      <c r="X1861" s="10">
        <v>6</v>
      </c>
      <c r="Y1861" s="11">
        <v>0.52941176470588236</v>
      </c>
      <c r="Z1861" s="11">
        <v>0.11764705882352941</v>
      </c>
      <c r="AA1861" s="11">
        <v>0.35294117647058826</v>
      </c>
    </row>
    <row r="1862" spans="21:27" x14ac:dyDescent="0.25">
      <c r="U1862" s="37">
        <v>38137</v>
      </c>
      <c r="V1862" s="10">
        <v>25</v>
      </c>
      <c r="W1862" s="10">
        <v>9</v>
      </c>
      <c r="X1862" s="10">
        <v>22</v>
      </c>
      <c r="Y1862" s="11">
        <v>0.44642857142857145</v>
      </c>
      <c r="Z1862" s="11">
        <v>0.16071428571428573</v>
      </c>
      <c r="AA1862" s="11">
        <v>0.39285714285714285</v>
      </c>
    </row>
    <row r="1863" spans="21:27" x14ac:dyDescent="0.25">
      <c r="U1863" s="37">
        <v>38144</v>
      </c>
      <c r="V1863" s="10">
        <v>8</v>
      </c>
      <c r="W1863" s="10">
        <v>9</v>
      </c>
      <c r="X1863" s="10">
        <v>5</v>
      </c>
      <c r="Y1863" s="11">
        <v>0.36363636363636365</v>
      </c>
      <c r="Z1863" s="11">
        <v>0.40909090909090912</v>
      </c>
      <c r="AA1863" s="11">
        <v>0.22727272727272727</v>
      </c>
    </row>
    <row r="1864" spans="21:27" x14ac:dyDescent="0.25">
      <c r="U1864" s="37">
        <v>38151</v>
      </c>
      <c r="V1864" s="10">
        <v>10</v>
      </c>
      <c r="W1864" s="10">
        <v>7</v>
      </c>
      <c r="X1864" s="10">
        <v>14</v>
      </c>
      <c r="Y1864" s="11">
        <v>0.32258064516129031</v>
      </c>
      <c r="Z1864" s="11">
        <v>0.22580645161290322</v>
      </c>
      <c r="AA1864" s="11">
        <v>0.45161290322580644</v>
      </c>
    </row>
    <row r="1865" spans="21:27" x14ac:dyDescent="0.25">
      <c r="U1865" s="37">
        <v>38158</v>
      </c>
      <c r="V1865" s="10">
        <v>11</v>
      </c>
      <c r="W1865" s="10">
        <v>6</v>
      </c>
      <c r="X1865" s="10">
        <v>8</v>
      </c>
      <c r="Y1865" s="11">
        <v>0.44</v>
      </c>
      <c r="Z1865" s="11">
        <v>0.24</v>
      </c>
      <c r="AA1865" s="11">
        <v>0.32</v>
      </c>
    </row>
    <row r="1866" spans="21:27" x14ac:dyDescent="0.25">
      <c r="U1866" s="37">
        <v>38165</v>
      </c>
      <c r="V1866" s="10">
        <v>16</v>
      </c>
      <c r="W1866" s="10">
        <v>6</v>
      </c>
      <c r="X1866" s="10">
        <v>4</v>
      </c>
      <c r="Y1866" s="11">
        <v>0.61538461538461542</v>
      </c>
      <c r="Z1866" s="11">
        <v>0.23076923076923078</v>
      </c>
      <c r="AA1866" s="11">
        <v>0.15384615384615385</v>
      </c>
    </row>
    <row r="1867" spans="21:27" x14ac:dyDescent="0.25">
      <c r="U1867" s="37">
        <v>38172</v>
      </c>
      <c r="V1867" s="10">
        <v>15</v>
      </c>
      <c r="W1867" s="10">
        <v>8</v>
      </c>
      <c r="X1867" s="10">
        <v>12</v>
      </c>
      <c r="Y1867" s="11">
        <v>0.42857142857142855</v>
      </c>
      <c r="Z1867" s="11">
        <v>0.22857142857142856</v>
      </c>
      <c r="AA1867" s="11">
        <v>0.34285714285714286</v>
      </c>
    </row>
    <row r="1868" spans="21:27" x14ac:dyDescent="0.25">
      <c r="U1868" s="37">
        <v>38179</v>
      </c>
      <c r="V1868" s="10">
        <v>3</v>
      </c>
      <c r="W1868" s="10">
        <v>3</v>
      </c>
      <c r="X1868" s="10">
        <v>6</v>
      </c>
      <c r="Y1868" s="11">
        <v>0.25</v>
      </c>
      <c r="Z1868" s="11">
        <v>0.25</v>
      </c>
      <c r="AA1868" s="11">
        <v>0.5</v>
      </c>
    </row>
    <row r="1869" spans="21:27" x14ac:dyDescent="0.25">
      <c r="U1869" s="37">
        <v>38186</v>
      </c>
      <c r="V1869" s="10">
        <v>9</v>
      </c>
      <c r="W1869" s="10">
        <v>3</v>
      </c>
      <c r="X1869" s="10">
        <v>4</v>
      </c>
      <c r="Y1869" s="11">
        <v>0.5625</v>
      </c>
      <c r="Z1869" s="11">
        <v>0.1875</v>
      </c>
      <c r="AA1869" s="11">
        <v>0.25</v>
      </c>
    </row>
    <row r="1870" spans="21:27" x14ac:dyDescent="0.25">
      <c r="U1870" s="37">
        <v>38193</v>
      </c>
      <c r="V1870" s="10">
        <v>6</v>
      </c>
      <c r="W1870" s="10">
        <v>5</v>
      </c>
      <c r="X1870" s="10">
        <v>5</v>
      </c>
      <c r="Y1870" s="11">
        <v>0.375</v>
      </c>
      <c r="Z1870" s="11">
        <v>0.3125</v>
      </c>
      <c r="AA1870" s="11">
        <v>0.3125</v>
      </c>
    </row>
    <row r="1871" spans="21:27" x14ac:dyDescent="0.25">
      <c r="U1871" s="37">
        <v>38200</v>
      </c>
      <c r="V1871" s="10">
        <v>1</v>
      </c>
      <c r="W1871" s="10">
        <v>1</v>
      </c>
      <c r="X1871" s="10">
        <v>5</v>
      </c>
      <c r="Y1871" s="11">
        <v>0.14285714285714285</v>
      </c>
      <c r="Z1871" s="11">
        <v>0.14285714285714285</v>
      </c>
      <c r="AA1871" s="11">
        <v>0.7142857142857143</v>
      </c>
    </row>
    <row r="1872" spans="21:27" x14ac:dyDescent="0.25">
      <c r="U1872" s="37">
        <v>38207</v>
      </c>
      <c r="V1872" s="10">
        <v>6</v>
      </c>
      <c r="W1872" s="10">
        <v>6</v>
      </c>
      <c r="X1872" s="10">
        <v>10</v>
      </c>
      <c r="Y1872" s="11">
        <v>0.27272727272727271</v>
      </c>
      <c r="Z1872" s="11">
        <v>0.27272727272727271</v>
      </c>
      <c r="AA1872" s="11">
        <v>0.45454545454545453</v>
      </c>
    </row>
    <row r="1873" spans="21:27" x14ac:dyDescent="0.25">
      <c r="U1873" s="37">
        <v>38214</v>
      </c>
      <c r="V1873" s="10">
        <v>1</v>
      </c>
      <c r="W1873" s="10">
        <v>2</v>
      </c>
      <c r="X1873" s="10">
        <v>3</v>
      </c>
      <c r="Y1873" s="11">
        <v>0.16666666666666666</v>
      </c>
      <c r="Z1873" s="11">
        <v>0.33333333333333331</v>
      </c>
      <c r="AA1873" s="11">
        <v>0.5</v>
      </c>
    </row>
    <row r="1874" spans="21:27" x14ac:dyDescent="0.25">
      <c r="U1874" s="37">
        <v>38221</v>
      </c>
      <c r="V1874" s="10">
        <v>15</v>
      </c>
      <c r="W1874" s="10">
        <v>10</v>
      </c>
      <c r="X1874" s="10">
        <v>6</v>
      </c>
      <c r="Y1874" s="11">
        <v>0.4838709677419355</v>
      </c>
      <c r="Z1874" s="11">
        <v>0.32258064516129031</v>
      </c>
      <c r="AA1874" s="11">
        <v>0.19354838709677419</v>
      </c>
    </row>
    <row r="1875" spans="21:27" x14ac:dyDescent="0.25">
      <c r="U1875" s="37">
        <v>38228</v>
      </c>
      <c r="V1875" s="10">
        <v>5</v>
      </c>
      <c r="W1875" s="10">
        <v>5</v>
      </c>
      <c r="X1875" s="10">
        <v>9</v>
      </c>
      <c r="Y1875" s="11">
        <v>0.26315789473684209</v>
      </c>
      <c r="Z1875" s="11">
        <v>0.26315789473684209</v>
      </c>
      <c r="AA1875" s="11">
        <v>0.47368421052631576</v>
      </c>
    </row>
    <row r="1876" spans="21:27" x14ac:dyDescent="0.25">
      <c r="U1876" s="37">
        <v>38235</v>
      </c>
      <c r="V1876" s="10">
        <v>2</v>
      </c>
      <c r="W1876" s="10">
        <v>1</v>
      </c>
      <c r="X1876" s="10">
        <v>2</v>
      </c>
      <c r="Y1876" s="11">
        <v>0.4</v>
      </c>
      <c r="Z1876" s="11">
        <v>0.2</v>
      </c>
      <c r="AA1876" s="11">
        <v>0.4</v>
      </c>
    </row>
    <row r="1877" spans="21:27" x14ac:dyDescent="0.25">
      <c r="U1877" s="37">
        <v>38242</v>
      </c>
      <c r="V1877" s="10">
        <v>9</v>
      </c>
      <c r="W1877" s="10">
        <v>3</v>
      </c>
      <c r="X1877" s="10">
        <v>12</v>
      </c>
      <c r="Y1877" s="11">
        <v>0.375</v>
      </c>
      <c r="Z1877" s="11">
        <v>0.125</v>
      </c>
      <c r="AA1877" s="11">
        <v>0.5</v>
      </c>
    </row>
    <row r="1878" spans="21:27" x14ac:dyDescent="0.25">
      <c r="U1878" s="37">
        <v>38249</v>
      </c>
      <c r="V1878" s="10">
        <v>5</v>
      </c>
      <c r="W1878" s="10">
        <v>3</v>
      </c>
      <c r="X1878" s="10">
        <v>2</v>
      </c>
      <c r="Y1878" s="11">
        <v>0.5</v>
      </c>
      <c r="Z1878" s="11">
        <v>0.3</v>
      </c>
      <c r="AA1878" s="11">
        <v>0.2</v>
      </c>
    </row>
    <row r="1879" spans="21:27" x14ac:dyDescent="0.25">
      <c r="U1879" s="37">
        <v>38256</v>
      </c>
      <c r="V1879" s="10">
        <v>16</v>
      </c>
      <c r="W1879" s="10">
        <v>3</v>
      </c>
      <c r="X1879" s="10">
        <v>5</v>
      </c>
      <c r="Y1879" s="11">
        <v>0.66666666666666663</v>
      </c>
      <c r="Z1879" s="11">
        <v>0.125</v>
      </c>
      <c r="AA1879" s="11">
        <v>0.20833333333333334</v>
      </c>
    </row>
    <row r="1880" spans="21:27" x14ac:dyDescent="0.25">
      <c r="U1880" s="37">
        <v>38263</v>
      </c>
      <c r="V1880" s="10">
        <v>2</v>
      </c>
      <c r="W1880" s="10">
        <v>5</v>
      </c>
      <c r="X1880" s="10">
        <v>8</v>
      </c>
      <c r="Y1880" s="11">
        <v>0.13333333333333333</v>
      </c>
      <c r="Z1880" s="11">
        <v>0.33333333333333331</v>
      </c>
      <c r="AA1880" s="11">
        <v>0.53333333333333333</v>
      </c>
    </row>
    <row r="1881" spans="21:27" x14ac:dyDescent="0.25">
      <c r="U1881" s="37">
        <v>38270</v>
      </c>
      <c r="V1881" s="10">
        <v>6</v>
      </c>
      <c r="W1881" s="10">
        <v>7</v>
      </c>
      <c r="X1881" s="10">
        <v>8</v>
      </c>
      <c r="Y1881" s="11">
        <v>0.2857142857142857</v>
      </c>
      <c r="Z1881" s="11">
        <v>0.33333333333333331</v>
      </c>
      <c r="AA1881" s="11">
        <v>0.38095238095238093</v>
      </c>
    </row>
    <row r="1882" spans="21:27" x14ac:dyDescent="0.25">
      <c r="U1882" s="37">
        <v>38277</v>
      </c>
      <c r="V1882" s="10">
        <v>4</v>
      </c>
      <c r="W1882" s="10">
        <v>1</v>
      </c>
      <c r="X1882" s="10">
        <v>10</v>
      </c>
      <c r="Y1882" s="11">
        <v>0.26666666666666666</v>
      </c>
      <c r="Z1882" s="11">
        <v>6.6666666666666666E-2</v>
      </c>
      <c r="AA1882" s="11">
        <v>0.66666666666666663</v>
      </c>
    </row>
    <row r="1883" spans="21:27" x14ac:dyDescent="0.25">
      <c r="U1883" s="37">
        <v>38284</v>
      </c>
      <c r="V1883" s="10">
        <v>0</v>
      </c>
      <c r="W1883" s="10">
        <v>2</v>
      </c>
      <c r="X1883" s="10">
        <v>0</v>
      </c>
      <c r="Y1883" s="11">
        <v>0</v>
      </c>
      <c r="Z1883" s="11">
        <v>1</v>
      </c>
      <c r="AA1883" s="11">
        <v>0</v>
      </c>
    </row>
    <row r="1884" spans="21:27" x14ac:dyDescent="0.25">
      <c r="U1884" s="37">
        <v>38291</v>
      </c>
      <c r="V1884" s="10">
        <v>3</v>
      </c>
      <c r="W1884" s="10">
        <v>5</v>
      </c>
      <c r="X1884" s="10">
        <v>27</v>
      </c>
      <c r="Y1884" s="11">
        <v>8.5714285714285715E-2</v>
      </c>
      <c r="Z1884" s="11">
        <v>0.14285714285714285</v>
      </c>
      <c r="AA1884" s="11">
        <v>0.77142857142857146</v>
      </c>
    </row>
    <row r="1885" spans="21:27" x14ac:dyDescent="0.25">
      <c r="U1885" s="37">
        <v>38292</v>
      </c>
      <c r="V1885" s="10">
        <v>10</v>
      </c>
      <c r="W1885" s="10">
        <v>5</v>
      </c>
      <c r="X1885" s="10">
        <v>4</v>
      </c>
      <c r="Y1885" s="11">
        <v>0.52631578947368418</v>
      </c>
      <c r="Z1885" s="11">
        <v>0.26315789473684209</v>
      </c>
      <c r="AA1885" s="11">
        <v>0.21052631578947367</v>
      </c>
    </row>
    <row r="1886" spans="21:27" x14ac:dyDescent="0.25">
      <c r="U1886" s="37">
        <v>38298</v>
      </c>
      <c r="V1886" s="10">
        <v>5</v>
      </c>
      <c r="W1886" s="10">
        <v>6</v>
      </c>
      <c r="X1886" s="10">
        <v>7</v>
      </c>
      <c r="Y1886" s="11">
        <v>0.27777777777777779</v>
      </c>
      <c r="Z1886" s="11">
        <v>0.33333333333333331</v>
      </c>
      <c r="AA1886" s="11">
        <v>0.3888888888888889</v>
      </c>
    </row>
    <row r="1887" spans="21:27" x14ac:dyDescent="0.25">
      <c r="U1887" s="37">
        <v>38305</v>
      </c>
      <c r="V1887" s="10">
        <v>12</v>
      </c>
      <c r="W1887" s="10">
        <v>5</v>
      </c>
      <c r="X1887" s="10">
        <v>4</v>
      </c>
      <c r="Y1887" s="11">
        <v>0.5714285714285714</v>
      </c>
      <c r="Z1887" s="11">
        <v>0.23809523809523808</v>
      </c>
      <c r="AA1887" s="11">
        <v>0.19047619047619047</v>
      </c>
    </row>
    <row r="1888" spans="21:27" x14ac:dyDescent="0.25">
      <c r="U1888" s="37">
        <v>38312</v>
      </c>
      <c r="V1888" s="10">
        <v>4</v>
      </c>
      <c r="W1888" s="10">
        <v>5</v>
      </c>
      <c r="X1888" s="10">
        <v>7</v>
      </c>
      <c r="Y1888" s="11">
        <v>0.25</v>
      </c>
      <c r="Z1888" s="11">
        <v>0.3125</v>
      </c>
      <c r="AA1888" s="11">
        <v>0.4375</v>
      </c>
    </row>
    <row r="1889" spans="21:27" x14ac:dyDescent="0.25">
      <c r="U1889" s="37">
        <v>38319</v>
      </c>
      <c r="V1889" s="10">
        <v>5</v>
      </c>
      <c r="W1889" s="10">
        <v>4</v>
      </c>
      <c r="X1889" s="10">
        <v>9</v>
      </c>
      <c r="Y1889" s="11">
        <v>0.27777777777777779</v>
      </c>
      <c r="Z1889" s="11">
        <v>0.22222222222222221</v>
      </c>
      <c r="AA1889" s="11">
        <v>0.5</v>
      </c>
    </row>
    <row r="1890" spans="21:27" x14ac:dyDescent="0.25">
      <c r="U1890" s="37">
        <v>38326</v>
      </c>
      <c r="V1890" s="10">
        <v>3</v>
      </c>
      <c r="W1890" s="10">
        <v>3</v>
      </c>
      <c r="X1890" s="10">
        <v>6</v>
      </c>
      <c r="Y1890" s="11">
        <v>0.25</v>
      </c>
      <c r="Z1890" s="11">
        <v>0.25</v>
      </c>
      <c r="AA1890" s="11">
        <v>0.5</v>
      </c>
    </row>
    <row r="1891" spans="21:27" x14ac:dyDescent="0.25">
      <c r="U1891" s="37">
        <v>38333</v>
      </c>
      <c r="V1891" s="10">
        <v>6</v>
      </c>
      <c r="W1891" s="10">
        <v>5</v>
      </c>
      <c r="X1891" s="10">
        <v>13</v>
      </c>
      <c r="Y1891" s="11">
        <v>0.25</v>
      </c>
      <c r="Z1891" s="11">
        <v>0.20833333333333334</v>
      </c>
      <c r="AA1891" s="11">
        <v>0.54166666666666663</v>
      </c>
    </row>
    <row r="1892" spans="21:27" x14ac:dyDescent="0.25">
      <c r="U1892" s="37">
        <v>38340</v>
      </c>
      <c r="V1892" s="10">
        <v>5</v>
      </c>
      <c r="W1892" s="10">
        <v>2</v>
      </c>
      <c r="X1892" s="10">
        <v>7</v>
      </c>
      <c r="Y1892" s="11">
        <v>0.35714285714285715</v>
      </c>
      <c r="Z1892" s="11">
        <v>0.14285714285714285</v>
      </c>
      <c r="AA1892" s="11">
        <v>0.5</v>
      </c>
    </row>
    <row r="1893" spans="21:27" x14ac:dyDescent="0.25">
      <c r="U1893" s="37">
        <v>38345</v>
      </c>
      <c r="V1893" s="10">
        <v>6</v>
      </c>
      <c r="W1893" s="10">
        <v>4</v>
      </c>
      <c r="X1893" s="10">
        <v>13</v>
      </c>
      <c r="Y1893" s="11">
        <v>0.2608695652173913</v>
      </c>
      <c r="Z1893" s="11">
        <v>0.17391304347826086</v>
      </c>
      <c r="AA1893" s="11">
        <v>0.56521739130434778</v>
      </c>
    </row>
    <row r="1894" spans="21:27" x14ac:dyDescent="0.25">
      <c r="U1894" s="37">
        <v>38346</v>
      </c>
      <c r="V1894" s="10">
        <v>6</v>
      </c>
      <c r="W1894" s="10">
        <v>7</v>
      </c>
      <c r="X1894" s="10">
        <v>4</v>
      </c>
      <c r="Y1894" s="11">
        <v>0.35294117647058826</v>
      </c>
      <c r="Z1894" s="11">
        <v>0.41176470588235292</v>
      </c>
      <c r="AA1894" s="11">
        <v>0.23529411764705882</v>
      </c>
    </row>
    <row r="1895" spans="21:27" x14ac:dyDescent="0.25">
      <c r="U1895" s="37">
        <v>38347</v>
      </c>
      <c r="V1895" s="10">
        <v>10</v>
      </c>
      <c r="W1895" s="10">
        <v>5</v>
      </c>
      <c r="X1895" s="10">
        <v>17</v>
      </c>
      <c r="Y1895" s="11">
        <v>0.3125</v>
      </c>
      <c r="Z1895" s="11">
        <v>0.15625</v>
      </c>
      <c r="AA1895" s="11">
        <v>0.53125</v>
      </c>
    </row>
    <row r="1896" spans="21:27" x14ac:dyDescent="0.25">
      <c r="U1896" s="37">
        <v>38354</v>
      </c>
      <c r="V1896" s="10">
        <v>7</v>
      </c>
      <c r="W1896" s="10">
        <v>11</v>
      </c>
      <c r="X1896" s="10">
        <v>24</v>
      </c>
      <c r="Y1896" s="11">
        <v>0.16666666666666666</v>
      </c>
      <c r="Z1896" s="11">
        <v>0.26190476190476192</v>
      </c>
      <c r="AA1896" s="11">
        <v>0.5714285714285714</v>
      </c>
    </row>
    <row r="1897" spans="21:27" x14ac:dyDescent="0.25">
      <c r="U1897" s="37">
        <v>38361</v>
      </c>
      <c r="V1897" s="10">
        <v>10</v>
      </c>
      <c r="W1897" s="10">
        <v>0</v>
      </c>
      <c r="X1897" s="10">
        <v>14</v>
      </c>
      <c r="Y1897" s="11">
        <v>0.41666666666666669</v>
      </c>
      <c r="Z1897" s="11">
        <v>0</v>
      </c>
      <c r="AA1897" s="11">
        <v>0.58333333333333337</v>
      </c>
    </row>
    <row r="1898" spans="21:27" x14ac:dyDescent="0.25">
      <c r="U1898" s="37">
        <v>38368</v>
      </c>
      <c r="V1898" s="10">
        <v>4</v>
      </c>
      <c r="W1898" s="10">
        <v>7</v>
      </c>
      <c r="X1898" s="10">
        <v>16</v>
      </c>
      <c r="Y1898" s="11">
        <v>0.14814814814814814</v>
      </c>
      <c r="Z1898" s="11">
        <v>0.25925925925925924</v>
      </c>
      <c r="AA1898" s="11">
        <v>0.59259259259259256</v>
      </c>
    </row>
    <row r="1899" spans="21:27" x14ac:dyDescent="0.25">
      <c r="U1899" s="37">
        <v>38375</v>
      </c>
      <c r="V1899" s="10">
        <v>6</v>
      </c>
      <c r="W1899" s="10">
        <v>5</v>
      </c>
      <c r="X1899" s="10">
        <v>10</v>
      </c>
      <c r="Y1899" s="11">
        <v>0.2857142857142857</v>
      </c>
      <c r="Z1899" s="11">
        <v>0.23809523809523808</v>
      </c>
      <c r="AA1899" s="11">
        <v>0.47619047619047616</v>
      </c>
    </row>
    <row r="1900" spans="21:27" x14ac:dyDescent="0.25">
      <c r="U1900" s="37">
        <v>38382</v>
      </c>
      <c r="V1900" s="10">
        <v>3</v>
      </c>
      <c r="W1900" s="10">
        <v>2</v>
      </c>
      <c r="X1900" s="10">
        <v>9</v>
      </c>
      <c r="Y1900" s="11">
        <v>0.21428571428571427</v>
      </c>
      <c r="Z1900" s="11">
        <v>0.14285714285714285</v>
      </c>
      <c r="AA1900" s="11">
        <v>0.6428571428571429</v>
      </c>
    </row>
    <row r="1901" spans="21:27" x14ac:dyDescent="0.25">
      <c r="U1901" s="37">
        <v>38389</v>
      </c>
      <c r="V1901" s="10">
        <v>3</v>
      </c>
      <c r="W1901" s="10">
        <v>3</v>
      </c>
      <c r="X1901" s="10">
        <v>4</v>
      </c>
      <c r="Y1901" s="11">
        <v>0.3</v>
      </c>
      <c r="Z1901" s="11">
        <v>0.3</v>
      </c>
      <c r="AA1901" s="11">
        <v>0.4</v>
      </c>
    </row>
    <row r="1902" spans="21:27" x14ac:dyDescent="0.25">
      <c r="U1902" s="37">
        <v>38396</v>
      </c>
      <c r="V1902" s="10">
        <v>1</v>
      </c>
      <c r="W1902" s="10">
        <v>2</v>
      </c>
      <c r="X1902" s="10">
        <v>5</v>
      </c>
      <c r="Y1902" s="11">
        <v>0.125</v>
      </c>
      <c r="Z1902" s="11">
        <v>0.25</v>
      </c>
      <c r="AA1902" s="11">
        <v>0.625</v>
      </c>
    </row>
    <row r="1903" spans="21:27" x14ac:dyDescent="0.25">
      <c r="U1903" s="37">
        <v>38403</v>
      </c>
      <c r="V1903" s="10">
        <v>4</v>
      </c>
      <c r="W1903" s="10">
        <v>5</v>
      </c>
      <c r="X1903" s="10">
        <v>9</v>
      </c>
      <c r="Y1903" s="11">
        <v>0.22222222222222221</v>
      </c>
      <c r="Z1903" s="11">
        <v>0.27777777777777779</v>
      </c>
      <c r="AA1903" s="11">
        <v>0.5</v>
      </c>
    </row>
    <row r="1904" spans="21:27" x14ac:dyDescent="0.25">
      <c r="U1904" s="37">
        <v>38410</v>
      </c>
      <c r="V1904" s="10">
        <v>7</v>
      </c>
      <c r="W1904" s="10">
        <v>7</v>
      </c>
      <c r="X1904" s="10">
        <v>6</v>
      </c>
      <c r="Y1904" s="11">
        <v>0.35</v>
      </c>
      <c r="Z1904" s="11">
        <v>0.35</v>
      </c>
      <c r="AA1904" s="11">
        <v>0.3</v>
      </c>
    </row>
    <row r="1905" spans="21:27" x14ac:dyDescent="0.25">
      <c r="U1905" s="37">
        <v>38417</v>
      </c>
      <c r="V1905" s="10">
        <v>6</v>
      </c>
      <c r="W1905" s="10">
        <v>0</v>
      </c>
      <c r="X1905" s="10">
        <v>7</v>
      </c>
      <c r="Y1905" s="11">
        <v>0.46153846153846156</v>
      </c>
      <c r="Z1905" s="11">
        <v>0</v>
      </c>
      <c r="AA1905" s="11">
        <v>0.53846153846153844</v>
      </c>
    </row>
    <row r="1906" spans="21:27" x14ac:dyDescent="0.25">
      <c r="U1906" s="37">
        <v>38424</v>
      </c>
      <c r="V1906" s="10">
        <v>7</v>
      </c>
      <c r="W1906" s="10">
        <v>5</v>
      </c>
      <c r="X1906" s="10">
        <v>5</v>
      </c>
      <c r="Y1906" s="11">
        <v>0.41176470588235292</v>
      </c>
      <c r="Z1906" s="11">
        <v>0.29411764705882354</v>
      </c>
      <c r="AA1906" s="11">
        <v>0.29411764705882354</v>
      </c>
    </row>
    <row r="1907" spans="21:27" x14ac:dyDescent="0.25">
      <c r="U1907" s="37">
        <v>38431</v>
      </c>
      <c r="V1907" s="10">
        <v>3</v>
      </c>
      <c r="W1907" s="10">
        <v>1</v>
      </c>
      <c r="X1907" s="10">
        <v>3</v>
      </c>
      <c r="Y1907" s="11">
        <v>0.42857142857142855</v>
      </c>
      <c r="Z1907" s="11">
        <v>0.14285714285714285</v>
      </c>
      <c r="AA1907" s="11">
        <v>0.42857142857142855</v>
      </c>
    </row>
    <row r="1908" spans="21:27" x14ac:dyDescent="0.25">
      <c r="U1908" s="37">
        <v>38431</v>
      </c>
      <c r="V1908" s="10">
        <v>9</v>
      </c>
      <c r="W1908" s="10">
        <v>1</v>
      </c>
      <c r="X1908" s="10">
        <v>5</v>
      </c>
      <c r="Y1908" s="11">
        <v>0.6</v>
      </c>
      <c r="Z1908" s="11">
        <v>6.6666666666666666E-2</v>
      </c>
      <c r="AA1908" s="11">
        <v>0.33333333333333331</v>
      </c>
    </row>
    <row r="1909" spans="21:27" x14ac:dyDescent="0.25">
      <c r="U1909" s="37">
        <v>38438</v>
      </c>
      <c r="V1909" s="10">
        <v>10</v>
      </c>
      <c r="W1909" s="10">
        <v>5</v>
      </c>
      <c r="X1909" s="10">
        <v>11</v>
      </c>
      <c r="Y1909" s="11">
        <v>0.38461538461538464</v>
      </c>
      <c r="Z1909" s="11">
        <v>0.19230769230769232</v>
      </c>
      <c r="AA1909" s="11">
        <v>0.42307692307692307</v>
      </c>
    </row>
    <row r="1910" spans="21:27" x14ac:dyDescent="0.25">
      <c r="U1910" s="37">
        <v>38445</v>
      </c>
      <c r="V1910" s="10">
        <v>7</v>
      </c>
      <c r="W1910" s="10">
        <v>6</v>
      </c>
      <c r="X1910" s="10">
        <v>5</v>
      </c>
      <c r="Y1910" s="11">
        <v>0.3888888888888889</v>
      </c>
      <c r="Z1910" s="11">
        <v>0.33333333333333331</v>
      </c>
      <c r="AA1910" s="11">
        <v>0.27777777777777779</v>
      </c>
    </row>
    <row r="1911" spans="21:27" x14ac:dyDescent="0.25">
      <c r="U1911" s="37">
        <v>38450</v>
      </c>
      <c r="V1911" s="10">
        <v>7</v>
      </c>
      <c r="W1911" s="10">
        <v>6</v>
      </c>
      <c r="X1911" s="10">
        <v>5</v>
      </c>
      <c r="Y1911" s="11">
        <v>0.3888888888888889</v>
      </c>
      <c r="Z1911" s="11">
        <v>0.33333333333333331</v>
      </c>
      <c r="AA1911" s="11">
        <v>0.27777777777777779</v>
      </c>
    </row>
    <row r="1912" spans="21:27" x14ac:dyDescent="0.25">
      <c r="U1912" s="37">
        <v>38452</v>
      </c>
      <c r="V1912" s="10">
        <v>10</v>
      </c>
      <c r="W1912" s="10">
        <v>5</v>
      </c>
      <c r="X1912" s="10">
        <v>4</v>
      </c>
      <c r="Y1912" s="11">
        <v>0.52631578947368418</v>
      </c>
      <c r="Z1912" s="11">
        <v>0.26315789473684209</v>
      </c>
      <c r="AA1912" s="11">
        <v>0.21052631578947367</v>
      </c>
    </row>
    <row r="1913" spans="21:27" x14ac:dyDescent="0.25">
      <c r="U1913" s="37">
        <v>38459</v>
      </c>
      <c r="V1913" s="10">
        <v>17</v>
      </c>
      <c r="W1913" s="10">
        <v>12</v>
      </c>
      <c r="X1913" s="10">
        <v>39</v>
      </c>
      <c r="Y1913" s="11">
        <v>0.25</v>
      </c>
      <c r="Z1913" s="11">
        <v>0.17647058823529413</v>
      </c>
      <c r="AA1913" s="11">
        <v>0.57352941176470584</v>
      </c>
    </row>
    <row r="1914" spans="21:27" x14ac:dyDescent="0.25">
      <c r="U1914" s="37">
        <v>38466</v>
      </c>
      <c r="V1914" s="10">
        <v>5</v>
      </c>
      <c r="W1914" s="10">
        <v>6</v>
      </c>
      <c r="X1914" s="10">
        <v>10</v>
      </c>
      <c r="Y1914" s="11">
        <v>0.23809523809523808</v>
      </c>
      <c r="Z1914" s="11">
        <v>0.2857142857142857</v>
      </c>
      <c r="AA1914" s="11">
        <v>0.47619047619047616</v>
      </c>
    </row>
    <row r="1915" spans="21:27" x14ac:dyDescent="0.25">
      <c r="U1915" s="37">
        <v>38473</v>
      </c>
      <c r="V1915" s="10">
        <v>9</v>
      </c>
      <c r="W1915" s="10">
        <v>3</v>
      </c>
      <c r="X1915" s="10">
        <v>10</v>
      </c>
      <c r="Y1915" s="11">
        <v>0.40909090909090912</v>
      </c>
      <c r="Z1915" s="11">
        <v>0.13636363636363635</v>
      </c>
      <c r="AA1915" s="11">
        <v>0.45454545454545453</v>
      </c>
    </row>
    <row r="1916" spans="21:27" x14ac:dyDescent="0.25">
      <c r="U1916" s="37">
        <v>38477</v>
      </c>
      <c r="V1916" s="10">
        <v>13</v>
      </c>
      <c r="W1916" s="10">
        <v>1</v>
      </c>
      <c r="X1916" s="10">
        <v>10</v>
      </c>
      <c r="Y1916" s="11">
        <v>0.54166666666666663</v>
      </c>
      <c r="Z1916" s="11">
        <v>4.1666666666666664E-2</v>
      </c>
      <c r="AA1916" s="11">
        <v>0.41666666666666669</v>
      </c>
    </row>
    <row r="1917" spans="21:27" x14ac:dyDescent="0.25">
      <c r="U1917" s="37">
        <v>38480</v>
      </c>
      <c r="V1917" s="10">
        <v>11</v>
      </c>
      <c r="W1917" s="10">
        <v>5</v>
      </c>
      <c r="X1917" s="10">
        <v>16</v>
      </c>
      <c r="Y1917" s="11">
        <v>0.34375</v>
      </c>
      <c r="Z1917" s="11">
        <v>0.15625</v>
      </c>
      <c r="AA1917" s="11">
        <v>0.5</v>
      </c>
    </row>
    <row r="1918" spans="21:27" x14ac:dyDescent="0.25">
      <c r="U1918" s="37">
        <v>38487</v>
      </c>
      <c r="V1918" s="10">
        <v>5</v>
      </c>
      <c r="W1918" s="10">
        <v>1</v>
      </c>
      <c r="X1918" s="10">
        <v>5</v>
      </c>
      <c r="Y1918" s="11">
        <v>0.45454545454545453</v>
      </c>
      <c r="Z1918" s="11">
        <v>9.0909090909090912E-2</v>
      </c>
      <c r="AA1918" s="11">
        <v>0.45454545454545453</v>
      </c>
    </row>
    <row r="1919" spans="21:27" x14ac:dyDescent="0.25">
      <c r="U1919" s="37">
        <v>38494</v>
      </c>
      <c r="V1919" s="10">
        <v>1</v>
      </c>
      <c r="W1919" s="10">
        <v>2</v>
      </c>
      <c r="X1919" s="10">
        <v>16</v>
      </c>
      <c r="Y1919" s="11">
        <v>5.2631578947368418E-2</v>
      </c>
      <c r="Z1919" s="11">
        <v>0.10526315789473684</v>
      </c>
      <c r="AA1919" s="11">
        <v>0.84210526315789469</v>
      </c>
    </row>
    <row r="1920" spans="21:27" x14ac:dyDescent="0.25">
      <c r="U1920" s="37">
        <v>38501</v>
      </c>
      <c r="V1920" s="10">
        <v>11</v>
      </c>
      <c r="W1920" s="10">
        <v>4</v>
      </c>
      <c r="X1920" s="10">
        <v>7</v>
      </c>
      <c r="Y1920" s="11">
        <v>0.5</v>
      </c>
      <c r="Z1920" s="11">
        <v>0.18181818181818182</v>
      </c>
      <c r="AA1920" s="11">
        <v>0.31818181818181818</v>
      </c>
    </row>
    <row r="1921" spans="21:27" x14ac:dyDescent="0.25">
      <c r="U1921" s="37">
        <v>38508</v>
      </c>
      <c r="V1921" s="10">
        <v>11</v>
      </c>
      <c r="W1921" s="10">
        <v>1</v>
      </c>
      <c r="X1921" s="10">
        <v>8</v>
      </c>
      <c r="Y1921" s="11">
        <v>0.55000000000000004</v>
      </c>
      <c r="Z1921" s="11">
        <v>0.05</v>
      </c>
      <c r="AA1921" s="11">
        <v>0.4</v>
      </c>
    </row>
    <row r="1922" spans="21:27" x14ac:dyDescent="0.25">
      <c r="U1922" s="37">
        <v>38515</v>
      </c>
      <c r="V1922" s="10">
        <v>11</v>
      </c>
      <c r="W1922" s="10">
        <v>1</v>
      </c>
      <c r="X1922" s="10">
        <v>8</v>
      </c>
      <c r="Y1922" s="11">
        <v>0.55000000000000004</v>
      </c>
      <c r="Z1922" s="11">
        <v>0.05</v>
      </c>
      <c r="AA1922" s="11">
        <v>0.4</v>
      </c>
    </row>
    <row r="1923" spans="21:27" x14ac:dyDescent="0.25">
      <c r="U1923" s="37">
        <v>38522</v>
      </c>
      <c r="V1923" s="10">
        <v>3</v>
      </c>
      <c r="W1923" s="10">
        <v>4</v>
      </c>
      <c r="X1923" s="10">
        <v>9</v>
      </c>
      <c r="Y1923" s="11">
        <v>0.1875</v>
      </c>
      <c r="Z1923" s="11">
        <v>0.25</v>
      </c>
      <c r="AA1923" s="11">
        <v>0.5625</v>
      </c>
    </row>
    <row r="1924" spans="21:27" x14ac:dyDescent="0.25">
      <c r="U1924" s="37">
        <v>38529</v>
      </c>
      <c r="V1924" s="10">
        <v>6</v>
      </c>
      <c r="W1924" s="10">
        <v>5</v>
      </c>
      <c r="X1924" s="10">
        <v>5</v>
      </c>
      <c r="Y1924" s="11">
        <v>0.375</v>
      </c>
      <c r="Z1924" s="11">
        <v>0.3125</v>
      </c>
      <c r="AA1924" s="11">
        <v>0.3125</v>
      </c>
    </row>
    <row r="1925" spans="21:27" x14ac:dyDescent="0.25">
      <c r="U1925" s="37">
        <v>38536</v>
      </c>
      <c r="V1925" s="10">
        <v>10</v>
      </c>
      <c r="W1925" s="10">
        <v>5</v>
      </c>
      <c r="X1925" s="10">
        <v>12</v>
      </c>
      <c r="Y1925" s="11">
        <v>0.37037037037037035</v>
      </c>
      <c r="Z1925" s="11">
        <v>0.18518518518518517</v>
      </c>
      <c r="AA1925" s="11">
        <v>0.44444444444444442</v>
      </c>
    </row>
    <row r="1926" spans="21:27" x14ac:dyDescent="0.25">
      <c r="U1926" s="37">
        <v>38543</v>
      </c>
      <c r="V1926" s="10">
        <v>11</v>
      </c>
      <c r="W1926" s="10">
        <v>2</v>
      </c>
      <c r="X1926" s="10">
        <v>3</v>
      </c>
      <c r="Y1926" s="11">
        <v>0.6875</v>
      </c>
      <c r="Z1926" s="11">
        <v>0.125</v>
      </c>
      <c r="AA1926" s="11">
        <v>0.1875</v>
      </c>
    </row>
    <row r="1927" spans="21:27" x14ac:dyDescent="0.25">
      <c r="U1927" s="37">
        <v>38550</v>
      </c>
      <c r="V1927" s="10">
        <v>3</v>
      </c>
      <c r="W1927" s="10">
        <v>2</v>
      </c>
      <c r="X1927" s="10">
        <v>4</v>
      </c>
      <c r="Y1927" s="11">
        <v>0.33333333333333331</v>
      </c>
      <c r="Z1927" s="11">
        <v>0.22222222222222221</v>
      </c>
      <c r="AA1927" s="11">
        <v>0.44444444444444442</v>
      </c>
    </row>
    <row r="1928" spans="21:27" x14ac:dyDescent="0.25">
      <c r="U1928" s="37">
        <v>38557</v>
      </c>
      <c r="V1928" s="10">
        <v>7</v>
      </c>
      <c r="W1928" s="10">
        <v>4</v>
      </c>
      <c r="X1928" s="10">
        <v>7</v>
      </c>
      <c r="Y1928" s="11">
        <v>0.3888888888888889</v>
      </c>
      <c r="Z1928" s="11">
        <v>0.22222222222222221</v>
      </c>
      <c r="AA1928" s="11">
        <v>0.3888888888888889</v>
      </c>
    </row>
    <row r="1929" spans="21:27" x14ac:dyDescent="0.25">
      <c r="U1929" s="37">
        <v>38564</v>
      </c>
      <c r="V1929" s="10">
        <v>5</v>
      </c>
      <c r="W1929" s="10">
        <v>3</v>
      </c>
      <c r="X1929" s="10">
        <v>5</v>
      </c>
      <c r="Y1929" s="11">
        <v>0.38461538461538464</v>
      </c>
      <c r="Z1929" s="11">
        <v>0.23076923076923078</v>
      </c>
      <c r="AA1929" s="11">
        <v>0.38461538461538464</v>
      </c>
    </row>
    <row r="1930" spans="21:27" x14ac:dyDescent="0.25">
      <c r="U1930" s="37">
        <v>38571</v>
      </c>
      <c r="V1930" s="10">
        <v>6</v>
      </c>
      <c r="W1930" s="10">
        <v>6</v>
      </c>
      <c r="X1930" s="10">
        <v>5</v>
      </c>
      <c r="Y1930" s="11">
        <v>0.35294117647058826</v>
      </c>
      <c r="Z1930" s="11">
        <v>0.35294117647058826</v>
      </c>
      <c r="AA1930" s="11">
        <v>0.29411764705882354</v>
      </c>
    </row>
    <row r="1931" spans="21:27" x14ac:dyDescent="0.25">
      <c r="U1931" s="37">
        <v>38578</v>
      </c>
      <c r="V1931" s="10">
        <v>8</v>
      </c>
      <c r="W1931" s="10">
        <v>3</v>
      </c>
      <c r="X1931" s="10">
        <v>11</v>
      </c>
      <c r="Y1931" s="11">
        <v>0.36363636363636365</v>
      </c>
      <c r="Z1931" s="11">
        <v>0.13636363636363635</v>
      </c>
      <c r="AA1931" s="11">
        <v>0.5</v>
      </c>
    </row>
    <row r="1932" spans="21:27" x14ac:dyDescent="0.25">
      <c r="U1932" s="37">
        <v>38579</v>
      </c>
      <c r="V1932" s="10">
        <v>5</v>
      </c>
      <c r="W1932" s="10">
        <v>4</v>
      </c>
      <c r="X1932" s="10">
        <v>9</v>
      </c>
      <c r="Y1932" s="11">
        <v>0.27777777777777779</v>
      </c>
      <c r="Z1932" s="11">
        <v>0.22222222222222221</v>
      </c>
      <c r="AA1932" s="11">
        <v>0.5</v>
      </c>
    </row>
    <row r="1933" spans="21:27" x14ac:dyDescent="0.25">
      <c r="U1933" s="37">
        <v>38585</v>
      </c>
      <c r="V1933" s="10">
        <v>0</v>
      </c>
      <c r="W1933" s="10">
        <v>0</v>
      </c>
      <c r="X1933" s="10">
        <v>0</v>
      </c>
      <c r="Y1933" s="11" t="e">
        <v>#DIV/0!</v>
      </c>
      <c r="Z1933" s="11" t="e">
        <v>#DIV/0!</v>
      </c>
      <c r="AA1933" s="11" t="e">
        <v>#DIV/0!</v>
      </c>
    </row>
    <row r="1934" spans="21:27" x14ac:dyDescent="0.25">
      <c r="U1934" s="37">
        <v>38592</v>
      </c>
      <c r="V1934" s="10">
        <v>8</v>
      </c>
      <c r="W1934" s="10">
        <v>2</v>
      </c>
      <c r="X1934" s="10">
        <v>11</v>
      </c>
      <c r="Y1934" s="11">
        <v>0.38095238095238093</v>
      </c>
      <c r="Z1934" s="11">
        <v>9.5238095238095233E-2</v>
      </c>
      <c r="AA1934" s="11">
        <v>0.52380952380952384</v>
      </c>
    </row>
    <row r="1935" spans="21:27" x14ac:dyDescent="0.25">
      <c r="U1935" s="37">
        <v>38599</v>
      </c>
      <c r="V1935" s="10">
        <v>7</v>
      </c>
      <c r="W1935" s="10">
        <v>3</v>
      </c>
      <c r="X1935" s="10">
        <v>2</v>
      </c>
      <c r="Y1935" s="11">
        <v>0.58333333333333337</v>
      </c>
      <c r="Z1935" s="11">
        <v>0.25</v>
      </c>
      <c r="AA1935" s="11">
        <v>0.16666666666666666</v>
      </c>
    </row>
    <row r="1936" spans="21:27" x14ac:dyDescent="0.25">
      <c r="U1936" s="37">
        <v>38606</v>
      </c>
      <c r="V1936" s="10">
        <v>2</v>
      </c>
      <c r="W1936" s="10">
        <v>1</v>
      </c>
      <c r="X1936" s="10">
        <v>2</v>
      </c>
      <c r="Y1936" s="11">
        <v>0.4</v>
      </c>
      <c r="Z1936" s="11">
        <v>0.2</v>
      </c>
      <c r="AA1936" s="11">
        <v>0.4</v>
      </c>
    </row>
    <row r="1937" spans="21:27" x14ac:dyDescent="0.25">
      <c r="U1937" s="37">
        <v>38613</v>
      </c>
      <c r="V1937" s="10">
        <v>2</v>
      </c>
      <c r="W1937" s="10">
        <v>2</v>
      </c>
      <c r="X1937" s="10">
        <v>12</v>
      </c>
      <c r="Y1937" s="11">
        <v>0.125</v>
      </c>
      <c r="Z1937" s="11">
        <v>0.125</v>
      </c>
      <c r="AA1937" s="11">
        <v>0.75</v>
      </c>
    </row>
    <row r="1938" spans="21:27" x14ac:dyDescent="0.25">
      <c r="U1938" s="37">
        <v>38620</v>
      </c>
      <c r="V1938" s="10">
        <v>11</v>
      </c>
      <c r="W1938" s="10">
        <v>6</v>
      </c>
      <c r="X1938" s="10">
        <v>6</v>
      </c>
      <c r="Y1938" s="11">
        <v>0.47826086956521741</v>
      </c>
      <c r="Z1938" s="11">
        <v>0.2608695652173913</v>
      </c>
      <c r="AA1938" s="11">
        <v>0.2608695652173913</v>
      </c>
    </row>
    <row r="1939" spans="21:27" x14ac:dyDescent="0.25">
      <c r="U1939" s="37">
        <v>38627</v>
      </c>
      <c r="V1939" s="10">
        <v>7</v>
      </c>
      <c r="W1939" s="10">
        <v>5</v>
      </c>
      <c r="X1939" s="10">
        <v>14</v>
      </c>
      <c r="Y1939" s="11">
        <v>0.26923076923076922</v>
      </c>
      <c r="Z1939" s="11">
        <v>0.19230769230769232</v>
      </c>
      <c r="AA1939" s="11">
        <v>0.53846153846153844</v>
      </c>
    </row>
    <row r="1940" spans="21:27" x14ac:dyDescent="0.25">
      <c r="U1940" s="37">
        <v>38634</v>
      </c>
      <c r="V1940" s="10">
        <v>7</v>
      </c>
      <c r="W1940" s="10">
        <v>12</v>
      </c>
      <c r="X1940" s="10">
        <v>10</v>
      </c>
      <c r="Y1940" s="11">
        <v>0.2413793103448276</v>
      </c>
      <c r="Z1940" s="11">
        <v>0.41379310344827586</v>
      </c>
      <c r="AA1940" s="11">
        <v>0.34482758620689657</v>
      </c>
    </row>
    <row r="1941" spans="21:27" x14ac:dyDescent="0.25">
      <c r="U1941" s="37">
        <v>38641</v>
      </c>
      <c r="V1941" s="10">
        <v>9</v>
      </c>
      <c r="W1941" s="10">
        <v>6</v>
      </c>
      <c r="X1941" s="10">
        <v>11</v>
      </c>
      <c r="Y1941" s="11">
        <v>0.34615384615384615</v>
      </c>
      <c r="Z1941" s="11">
        <v>0.23076923076923078</v>
      </c>
      <c r="AA1941" s="11">
        <v>0.42307692307692307</v>
      </c>
    </row>
    <row r="1942" spans="21:27" x14ac:dyDescent="0.25">
      <c r="U1942" s="37">
        <v>38648</v>
      </c>
      <c r="V1942" s="10">
        <v>6</v>
      </c>
      <c r="W1942" s="10">
        <v>12</v>
      </c>
      <c r="X1942" s="10">
        <v>13</v>
      </c>
      <c r="Y1942" s="11">
        <v>0.19354838709677419</v>
      </c>
      <c r="Z1942" s="11">
        <v>0.38709677419354838</v>
      </c>
      <c r="AA1942" s="11">
        <v>0.41935483870967744</v>
      </c>
    </row>
    <row r="1943" spans="21:27" x14ac:dyDescent="0.25">
      <c r="U1943" s="37">
        <v>38655</v>
      </c>
      <c r="V1943" s="10">
        <v>2</v>
      </c>
      <c r="W1943" s="10">
        <v>6</v>
      </c>
      <c r="X1943" s="10">
        <v>5</v>
      </c>
      <c r="Y1943" s="11">
        <v>0.15384615384615385</v>
      </c>
      <c r="Z1943" s="11">
        <v>0.46153846153846156</v>
      </c>
      <c r="AA1943" s="11">
        <v>0.38461538461538464</v>
      </c>
    </row>
    <row r="1944" spans="21:27" x14ac:dyDescent="0.25">
      <c r="U1944" s="37">
        <v>38657</v>
      </c>
      <c r="V1944" s="10">
        <v>3</v>
      </c>
      <c r="W1944" s="10">
        <v>9</v>
      </c>
      <c r="X1944" s="10">
        <v>7</v>
      </c>
      <c r="Y1944" s="11">
        <v>0.15789473684210525</v>
      </c>
      <c r="Z1944" s="11">
        <v>0.47368421052631576</v>
      </c>
      <c r="AA1944" s="11">
        <v>0.36842105263157893</v>
      </c>
    </row>
    <row r="1945" spans="21:27" x14ac:dyDescent="0.25">
      <c r="U1945" s="37">
        <v>38662</v>
      </c>
      <c r="V1945" s="10">
        <v>3</v>
      </c>
      <c r="W1945" s="10">
        <v>3</v>
      </c>
      <c r="X1945" s="10">
        <v>11</v>
      </c>
      <c r="Y1945" s="11">
        <v>0.17647058823529413</v>
      </c>
      <c r="Z1945" s="11">
        <v>0.17647058823529413</v>
      </c>
      <c r="AA1945" s="11">
        <v>0.6470588235294118</v>
      </c>
    </row>
    <row r="1946" spans="21:27" x14ac:dyDescent="0.25">
      <c r="U1946" s="37">
        <v>38669</v>
      </c>
      <c r="V1946" s="10">
        <v>4</v>
      </c>
      <c r="W1946" s="10">
        <v>3</v>
      </c>
      <c r="X1946" s="10">
        <v>12</v>
      </c>
      <c r="Y1946" s="11">
        <v>0.21052631578947367</v>
      </c>
      <c r="Z1946" s="11">
        <v>0.15789473684210525</v>
      </c>
      <c r="AA1946" s="11">
        <v>0.63157894736842102</v>
      </c>
    </row>
    <row r="1947" spans="21:27" x14ac:dyDescent="0.25">
      <c r="U1947" s="37">
        <v>38676</v>
      </c>
      <c r="V1947" s="10">
        <v>5</v>
      </c>
      <c r="W1947" s="10">
        <v>9</v>
      </c>
      <c r="X1947" s="10">
        <v>8</v>
      </c>
      <c r="Y1947" s="11">
        <v>0.22727272727272727</v>
      </c>
      <c r="Z1947" s="11">
        <v>0.40909090909090912</v>
      </c>
      <c r="AA1947" s="11">
        <v>0.36363636363636365</v>
      </c>
    </row>
    <row r="1948" spans="21:27" x14ac:dyDescent="0.25">
      <c r="U1948" s="37">
        <v>38683</v>
      </c>
      <c r="V1948" s="10">
        <v>5</v>
      </c>
      <c r="W1948" s="10">
        <v>5</v>
      </c>
      <c r="X1948" s="10">
        <v>18</v>
      </c>
      <c r="Y1948" s="11">
        <v>0.17857142857142858</v>
      </c>
      <c r="Z1948" s="11">
        <v>0.17857142857142858</v>
      </c>
      <c r="AA1948" s="11">
        <v>0.6428571428571429</v>
      </c>
    </row>
    <row r="1949" spans="21:27" x14ac:dyDescent="0.25">
      <c r="U1949" s="37">
        <v>38690</v>
      </c>
      <c r="V1949" s="10">
        <v>5</v>
      </c>
      <c r="W1949" s="10">
        <v>3</v>
      </c>
      <c r="X1949" s="10">
        <v>10</v>
      </c>
      <c r="Y1949" s="11">
        <v>0.27777777777777779</v>
      </c>
      <c r="Z1949" s="11">
        <v>0.16666666666666666</v>
      </c>
      <c r="AA1949" s="11">
        <v>0.55555555555555558</v>
      </c>
    </row>
    <row r="1950" spans="21:27" x14ac:dyDescent="0.25">
      <c r="U1950" s="37">
        <v>38697</v>
      </c>
      <c r="V1950" s="10">
        <v>9</v>
      </c>
      <c r="W1950" s="10">
        <v>2</v>
      </c>
      <c r="X1950" s="10">
        <v>5</v>
      </c>
      <c r="Y1950" s="11">
        <v>0.5625</v>
      </c>
      <c r="Z1950" s="11">
        <v>0.125</v>
      </c>
      <c r="AA1950" s="11">
        <v>0.3125</v>
      </c>
    </row>
    <row r="1951" spans="21:27" x14ac:dyDescent="0.25">
      <c r="U1951" s="37">
        <v>38704</v>
      </c>
      <c r="V1951" s="10">
        <v>14</v>
      </c>
      <c r="W1951" s="10">
        <v>7</v>
      </c>
      <c r="X1951" s="10">
        <v>22</v>
      </c>
      <c r="Y1951" s="11">
        <v>0.32558139534883723</v>
      </c>
      <c r="Z1951" s="11">
        <v>0.16279069767441862</v>
      </c>
      <c r="AA1951" s="11">
        <v>0.51162790697674421</v>
      </c>
    </row>
    <row r="1952" spans="21:27" x14ac:dyDescent="0.25">
      <c r="U1952" s="37">
        <v>38710</v>
      </c>
      <c r="V1952" s="10">
        <v>8</v>
      </c>
      <c r="W1952" s="10">
        <v>2</v>
      </c>
      <c r="X1952" s="10">
        <v>8</v>
      </c>
      <c r="Y1952" s="11">
        <v>0.44444444444444442</v>
      </c>
      <c r="Z1952" s="11">
        <v>0.1111111111111111</v>
      </c>
      <c r="AA1952" s="11">
        <v>0.44444444444444442</v>
      </c>
    </row>
    <row r="1953" spans="21:27" x14ac:dyDescent="0.25">
      <c r="U1953" s="37">
        <v>38711</v>
      </c>
      <c r="V1953" s="10">
        <v>8</v>
      </c>
      <c r="W1953" s="10">
        <v>2</v>
      </c>
      <c r="X1953" s="10">
        <v>8</v>
      </c>
      <c r="Y1953" s="11">
        <v>0.44444444444444442</v>
      </c>
      <c r="Z1953" s="11">
        <v>0.1111111111111111</v>
      </c>
      <c r="AA1953" s="11">
        <v>0.44444444444444442</v>
      </c>
    </row>
    <row r="1954" spans="21:27" x14ac:dyDescent="0.25">
      <c r="U1954" s="37">
        <v>38718</v>
      </c>
      <c r="V1954" s="10">
        <v>5</v>
      </c>
      <c r="W1954" s="10">
        <v>1</v>
      </c>
      <c r="X1954" s="10">
        <v>8</v>
      </c>
      <c r="Y1954" s="11">
        <v>0.35714285714285715</v>
      </c>
      <c r="Z1954" s="11">
        <v>7.1428571428571425E-2</v>
      </c>
      <c r="AA1954" s="11">
        <v>0.5714285714285714</v>
      </c>
    </row>
    <row r="1955" spans="21:27" x14ac:dyDescent="0.25">
      <c r="U1955" s="37">
        <v>38725</v>
      </c>
      <c r="V1955" s="10">
        <v>2</v>
      </c>
      <c r="W1955" s="10">
        <v>2</v>
      </c>
      <c r="X1955" s="10">
        <v>3</v>
      </c>
      <c r="Y1955" s="11">
        <v>0.2857142857142857</v>
      </c>
      <c r="Z1955" s="11">
        <v>0.2857142857142857</v>
      </c>
      <c r="AA1955" s="11">
        <v>0.42857142857142855</v>
      </c>
    </row>
    <row r="1956" spans="21:27" x14ac:dyDescent="0.25">
      <c r="U1956" s="37">
        <v>38732</v>
      </c>
      <c r="V1956" s="10">
        <v>2</v>
      </c>
      <c r="W1956" s="10">
        <v>0</v>
      </c>
      <c r="X1956" s="10">
        <v>6</v>
      </c>
      <c r="Y1956" s="11">
        <v>0.25</v>
      </c>
      <c r="Z1956" s="11">
        <v>0</v>
      </c>
      <c r="AA1956" s="11">
        <v>0.75</v>
      </c>
    </row>
    <row r="1957" spans="21:27" x14ac:dyDescent="0.25">
      <c r="U1957" s="37">
        <v>38739</v>
      </c>
      <c r="V1957" s="10">
        <v>9</v>
      </c>
      <c r="W1957" s="10">
        <v>3</v>
      </c>
      <c r="X1957" s="10">
        <v>1</v>
      </c>
      <c r="Y1957" s="11">
        <v>0.69230769230769229</v>
      </c>
      <c r="Z1957" s="11">
        <v>0.23076923076923078</v>
      </c>
      <c r="AA1957" s="11">
        <v>7.6923076923076927E-2</v>
      </c>
    </row>
    <row r="1958" spans="21:27" x14ac:dyDescent="0.25">
      <c r="U1958" s="37">
        <v>38746</v>
      </c>
      <c r="V1958" s="10">
        <v>5</v>
      </c>
      <c r="W1958" s="10">
        <v>2</v>
      </c>
      <c r="X1958" s="10">
        <v>2</v>
      </c>
      <c r="Y1958" s="11">
        <v>0.55555555555555558</v>
      </c>
      <c r="Z1958" s="11">
        <v>0.22222222222222221</v>
      </c>
      <c r="AA1958" s="11">
        <v>0.22222222222222221</v>
      </c>
    </row>
    <row r="1959" spans="21:27" x14ac:dyDescent="0.25">
      <c r="U1959" s="37">
        <v>38753</v>
      </c>
      <c r="V1959" s="10">
        <v>7</v>
      </c>
      <c r="W1959" s="10">
        <v>5</v>
      </c>
      <c r="X1959" s="10">
        <v>4</v>
      </c>
      <c r="Y1959" s="11">
        <v>0.4375</v>
      </c>
      <c r="Z1959" s="11">
        <v>0.3125</v>
      </c>
      <c r="AA1959" s="11">
        <v>0.25</v>
      </c>
    </row>
    <row r="1960" spans="21:27" x14ac:dyDescent="0.25">
      <c r="U1960" s="37">
        <v>38760</v>
      </c>
      <c r="V1960" s="10">
        <v>5</v>
      </c>
      <c r="W1960" s="10">
        <v>0</v>
      </c>
      <c r="X1960" s="10">
        <v>3</v>
      </c>
      <c r="Y1960" s="11">
        <v>0.625</v>
      </c>
      <c r="Z1960" s="11">
        <v>0</v>
      </c>
      <c r="AA1960" s="11">
        <v>0.375</v>
      </c>
    </row>
    <row r="1961" spans="21:27" x14ac:dyDescent="0.25">
      <c r="U1961" s="37">
        <v>38767</v>
      </c>
      <c r="V1961" s="10">
        <v>10</v>
      </c>
      <c r="W1961" s="10">
        <v>6</v>
      </c>
      <c r="X1961" s="10">
        <v>9</v>
      </c>
      <c r="Y1961" s="11">
        <v>0.4</v>
      </c>
      <c r="Z1961" s="11">
        <v>0.24</v>
      </c>
      <c r="AA1961" s="11">
        <v>0.36</v>
      </c>
    </row>
    <row r="1962" spans="21:27" x14ac:dyDescent="0.25">
      <c r="U1962" s="37">
        <v>38774</v>
      </c>
      <c r="V1962" s="10">
        <v>3</v>
      </c>
      <c r="W1962" s="10">
        <v>3</v>
      </c>
      <c r="X1962" s="10">
        <v>4</v>
      </c>
      <c r="Y1962" s="11">
        <v>0.3</v>
      </c>
      <c r="Z1962" s="11">
        <v>0.3</v>
      </c>
      <c r="AA1962" s="11">
        <v>0.4</v>
      </c>
    </row>
    <row r="1963" spans="21:27" x14ac:dyDescent="0.25">
      <c r="U1963" s="37">
        <v>38781</v>
      </c>
      <c r="V1963" s="10">
        <v>2</v>
      </c>
      <c r="W1963" s="10">
        <v>1</v>
      </c>
      <c r="X1963" s="10">
        <v>2</v>
      </c>
      <c r="Y1963" s="11">
        <v>0.4</v>
      </c>
      <c r="Z1963" s="11">
        <v>0.2</v>
      </c>
      <c r="AA1963" s="11">
        <v>0.4</v>
      </c>
    </row>
    <row r="1964" spans="21:27" x14ac:dyDescent="0.25">
      <c r="U1964" s="37">
        <v>38788</v>
      </c>
      <c r="V1964" s="10">
        <v>14</v>
      </c>
      <c r="W1964" s="10">
        <v>4</v>
      </c>
      <c r="X1964" s="10">
        <v>9</v>
      </c>
      <c r="Y1964" s="11">
        <v>0.51851851851851849</v>
      </c>
      <c r="Z1964" s="11">
        <v>0.14814814814814814</v>
      </c>
      <c r="AA1964" s="11">
        <v>0.33333333333333331</v>
      </c>
    </row>
    <row r="1965" spans="21:27" x14ac:dyDescent="0.25">
      <c r="U1965" s="37">
        <v>38795</v>
      </c>
      <c r="V1965" s="10">
        <v>10</v>
      </c>
      <c r="W1965" s="10">
        <v>4</v>
      </c>
      <c r="X1965" s="10">
        <v>15</v>
      </c>
      <c r="Y1965" s="11">
        <v>0.34482758620689657</v>
      </c>
      <c r="Z1965" s="11">
        <v>0.13793103448275862</v>
      </c>
      <c r="AA1965" s="11">
        <v>0.51724137931034486</v>
      </c>
    </row>
    <row r="1966" spans="21:27" x14ac:dyDescent="0.25">
      <c r="U1966" s="37">
        <v>38802</v>
      </c>
      <c r="V1966" s="10">
        <v>6</v>
      </c>
      <c r="W1966" s="10">
        <v>5</v>
      </c>
      <c r="X1966" s="10">
        <v>5</v>
      </c>
      <c r="Y1966" s="11">
        <v>0.375</v>
      </c>
      <c r="Z1966" s="11">
        <v>0.3125</v>
      </c>
      <c r="AA1966" s="11">
        <v>0.3125</v>
      </c>
    </row>
    <row r="1967" spans="21:27" x14ac:dyDescent="0.25">
      <c r="U1967" s="37">
        <v>38809</v>
      </c>
      <c r="V1967" s="10">
        <v>4</v>
      </c>
      <c r="W1967" s="10">
        <v>7</v>
      </c>
      <c r="X1967" s="10">
        <v>4</v>
      </c>
      <c r="Y1967" s="11">
        <v>0.26666666666666666</v>
      </c>
      <c r="Z1967" s="11">
        <v>0.46666666666666667</v>
      </c>
      <c r="AA1967" s="11">
        <v>0.26666666666666666</v>
      </c>
    </row>
    <row r="1968" spans="21:27" x14ac:dyDescent="0.25">
      <c r="U1968" s="37">
        <v>38816</v>
      </c>
      <c r="V1968" s="10">
        <v>5</v>
      </c>
      <c r="W1968" s="10">
        <v>5</v>
      </c>
      <c r="X1968" s="10">
        <v>2</v>
      </c>
      <c r="Y1968" s="11">
        <v>0.41666666666666669</v>
      </c>
      <c r="Z1968" s="11">
        <v>0.41666666666666669</v>
      </c>
      <c r="AA1968" s="11">
        <v>0.16666666666666666</v>
      </c>
    </row>
    <row r="1969" spans="21:27" x14ac:dyDescent="0.25">
      <c r="U1969" s="37">
        <v>38823</v>
      </c>
      <c r="V1969" s="10">
        <v>4</v>
      </c>
      <c r="W1969" s="10">
        <v>4</v>
      </c>
      <c r="X1969" s="10">
        <v>13</v>
      </c>
      <c r="Y1969" s="11">
        <v>0.19047619047619047</v>
      </c>
      <c r="Z1969" s="11">
        <v>0.19047619047619047</v>
      </c>
      <c r="AA1969" s="11">
        <v>0.61904761904761907</v>
      </c>
    </row>
    <row r="1970" spans="21:27" x14ac:dyDescent="0.25">
      <c r="U1970" s="37">
        <v>38830</v>
      </c>
      <c r="V1970" s="10">
        <v>9</v>
      </c>
      <c r="W1970" s="10">
        <v>7</v>
      </c>
      <c r="X1970" s="10">
        <v>5</v>
      </c>
      <c r="Y1970" s="11">
        <v>0.42857142857142855</v>
      </c>
      <c r="Z1970" s="11">
        <v>0.33333333333333331</v>
      </c>
      <c r="AA1970" s="11">
        <v>0.23809523809523808</v>
      </c>
    </row>
    <row r="1971" spans="21:27" x14ac:dyDescent="0.25">
      <c r="U1971" s="37">
        <v>38837</v>
      </c>
      <c r="V1971" s="10">
        <v>3</v>
      </c>
      <c r="W1971" s="10">
        <v>2</v>
      </c>
      <c r="X1971" s="10">
        <v>4</v>
      </c>
      <c r="Y1971" s="11">
        <v>0.33333333333333331</v>
      </c>
      <c r="Z1971" s="11">
        <v>0.22222222222222221</v>
      </c>
      <c r="AA1971" s="11">
        <v>0.44444444444444442</v>
      </c>
    </row>
    <row r="1972" spans="21:27" x14ac:dyDescent="0.25">
      <c r="U1972" s="37">
        <v>38844</v>
      </c>
      <c r="V1972" s="10">
        <v>2</v>
      </c>
      <c r="W1972" s="10">
        <v>3</v>
      </c>
      <c r="X1972" s="10">
        <v>9</v>
      </c>
      <c r="Y1972" s="11">
        <v>0.14285714285714285</v>
      </c>
      <c r="Z1972" s="11">
        <v>0.21428571428571427</v>
      </c>
      <c r="AA1972" s="11">
        <v>0.6428571428571429</v>
      </c>
    </row>
    <row r="1973" spans="21:27" x14ac:dyDescent="0.25">
      <c r="U1973" s="37">
        <v>38851</v>
      </c>
      <c r="V1973" s="10">
        <v>5</v>
      </c>
      <c r="W1973" s="10">
        <v>3</v>
      </c>
      <c r="X1973" s="10">
        <v>7</v>
      </c>
      <c r="Y1973" s="11">
        <v>0.33333333333333331</v>
      </c>
      <c r="Z1973" s="11">
        <v>0.2</v>
      </c>
      <c r="AA1973" s="11">
        <v>0.46666666666666667</v>
      </c>
    </row>
    <row r="1974" spans="21:27" x14ac:dyDescent="0.25">
      <c r="U1974" s="37">
        <v>38858</v>
      </c>
      <c r="V1974" s="10">
        <v>3</v>
      </c>
      <c r="W1974" s="10">
        <v>0</v>
      </c>
      <c r="X1974" s="10">
        <v>1</v>
      </c>
      <c r="Y1974" s="11">
        <v>0.75</v>
      </c>
      <c r="Z1974" s="11">
        <v>0</v>
      </c>
      <c r="AA1974" s="11">
        <v>0.25</v>
      </c>
    </row>
    <row r="1975" spans="21:27" x14ac:dyDescent="0.25">
      <c r="U1975" s="37">
        <v>38862</v>
      </c>
      <c r="V1975" s="10">
        <v>8</v>
      </c>
      <c r="W1975" s="10">
        <v>5</v>
      </c>
      <c r="X1975" s="10">
        <v>10</v>
      </c>
      <c r="Y1975" s="11">
        <v>0.34782608695652173</v>
      </c>
      <c r="Z1975" s="11">
        <v>0.21739130434782608</v>
      </c>
      <c r="AA1975" s="11">
        <v>0.43478260869565216</v>
      </c>
    </row>
    <row r="1976" spans="21:27" x14ac:dyDescent="0.25">
      <c r="U1976" s="37">
        <v>38865</v>
      </c>
      <c r="V1976" s="10">
        <v>2</v>
      </c>
      <c r="W1976" s="10">
        <v>0</v>
      </c>
      <c r="X1976" s="10">
        <v>1</v>
      </c>
      <c r="Y1976" s="11">
        <v>0.66666666666666663</v>
      </c>
      <c r="Z1976" s="11">
        <v>0</v>
      </c>
      <c r="AA1976" s="11">
        <v>0.33333333333333331</v>
      </c>
    </row>
    <row r="1977" spans="21:27" x14ac:dyDescent="0.25">
      <c r="U1977" s="37">
        <v>38872</v>
      </c>
      <c r="V1977" s="10">
        <v>25</v>
      </c>
      <c r="W1977" s="10">
        <v>3</v>
      </c>
      <c r="X1977" s="10">
        <v>18</v>
      </c>
      <c r="Y1977" s="11">
        <v>0.54347826086956519</v>
      </c>
      <c r="Z1977" s="11">
        <v>6.5217391304347824E-2</v>
      </c>
      <c r="AA1977" s="11">
        <v>0.39130434782608697</v>
      </c>
    </row>
    <row r="1978" spans="21:27" x14ac:dyDescent="0.25">
      <c r="U1978" s="37">
        <v>38879</v>
      </c>
      <c r="V1978" s="10">
        <v>12</v>
      </c>
      <c r="W1978" s="10">
        <v>6</v>
      </c>
      <c r="X1978" s="10">
        <v>11</v>
      </c>
      <c r="Y1978" s="11">
        <v>0.41379310344827586</v>
      </c>
      <c r="Z1978" s="11">
        <v>0.20689655172413793</v>
      </c>
      <c r="AA1978" s="11">
        <v>0.37931034482758619</v>
      </c>
    </row>
    <row r="1979" spans="21:27" x14ac:dyDescent="0.25">
      <c r="U1979" s="37">
        <v>38886</v>
      </c>
      <c r="V1979" s="10">
        <v>4</v>
      </c>
      <c r="W1979" s="10">
        <v>7</v>
      </c>
      <c r="X1979" s="10">
        <v>17</v>
      </c>
      <c r="Y1979" s="11">
        <v>0.14285714285714285</v>
      </c>
      <c r="Z1979" s="11">
        <v>0.25</v>
      </c>
      <c r="AA1979" s="11">
        <v>0.6071428571428571</v>
      </c>
    </row>
    <row r="1980" spans="21:27" x14ac:dyDescent="0.25">
      <c r="U1980" s="37">
        <v>38893</v>
      </c>
      <c r="V1980" s="10">
        <v>1</v>
      </c>
      <c r="W1980" s="10">
        <v>4</v>
      </c>
      <c r="X1980" s="10">
        <v>8</v>
      </c>
      <c r="Y1980" s="11">
        <v>7.6923076923076927E-2</v>
      </c>
      <c r="Z1980" s="11">
        <v>0.30769230769230771</v>
      </c>
      <c r="AA1980" s="11">
        <v>0.61538461538461542</v>
      </c>
    </row>
    <row r="1981" spans="21:27" x14ac:dyDescent="0.25">
      <c r="U1981" s="37">
        <v>38900</v>
      </c>
      <c r="V1981" s="10">
        <v>6</v>
      </c>
      <c r="W1981" s="10">
        <v>8</v>
      </c>
      <c r="X1981" s="10">
        <v>4</v>
      </c>
      <c r="Y1981" s="11">
        <v>0.33333333333333331</v>
      </c>
      <c r="Z1981" s="11">
        <v>0.44444444444444442</v>
      </c>
      <c r="AA1981" s="11">
        <v>0.22222222222222221</v>
      </c>
    </row>
    <row r="1982" spans="21:27" x14ac:dyDescent="0.25">
      <c r="U1982" s="37">
        <v>38907</v>
      </c>
      <c r="V1982" s="10">
        <v>9</v>
      </c>
      <c r="W1982" s="10">
        <v>4</v>
      </c>
      <c r="X1982" s="10">
        <v>9</v>
      </c>
      <c r="Y1982" s="11">
        <v>0.40909090909090912</v>
      </c>
      <c r="Z1982" s="11">
        <v>0.18181818181818182</v>
      </c>
      <c r="AA1982" s="11">
        <v>0.40909090909090912</v>
      </c>
    </row>
    <row r="1983" spans="21:27" x14ac:dyDescent="0.25">
      <c r="U1983" s="37">
        <v>38914</v>
      </c>
      <c r="V1983" s="10">
        <v>8</v>
      </c>
      <c r="W1983" s="10">
        <v>1</v>
      </c>
      <c r="X1983" s="10">
        <v>13</v>
      </c>
      <c r="Y1983" s="11">
        <v>0.36363636363636365</v>
      </c>
      <c r="Z1983" s="11">
        <v>4.5454545454545456E-2</v>
      </c>
      <c r="AA1983" s="11">
        <v>0.59090909090909094</v>
      </c>
    </row>
    <row r="1984" spans="21:27" x14ac:dyDescent="0.25">
      <c r="U1984" s="37">
        <v>38921</v>
      </c>
      <c r="V1984" s="10">
        <v>11</v>
      </c>
      <c r="W1984" s="10">
        <v>9</v>
      </c>
      <c r="X1984" s="10">
        <v>8</v>
      </c>
      <c r="Y1984" s="11">
        <v>0.39285714285714285</v>
      </c>
      <c r="Z1984" s="11">
        <v>0.32142857142857145</v>
      </c>
      <c r="AA1984" s="11">
        <v>0.2857142857142857</v>
      </c>
    </row>
    <row r="1985" spans="21:27" x14ac:dyDescent="0.25">
      <c r="U1985" s="37">
        <v>38928</v>
      </c>
      <c r="V1985" s="10">
        <v>10</v>
      </c>
      <c r="W1985" s="10">
        <v>2</v>
      </c>
      <c r="X1985" s="10">
        <v>1</v>
      </c>
      <c r="Y1985" s="11">
        <v>0.76923076923076927</v>
      </c>
      <c r="Z1985" s="11">
        <v>0.15384615384615385</v>
      </c>
      <c r="AA1985" s="11">
        <v>7.6923076923076927E-2</v>
      </c>
    </row>
    <row r="1986" spans="21:27" x14ac:dyDescent="0.25">
      <c r="U1986" s="37">
        <v>38935</v>
      </c>
      <c r="V1986" s="10">
        <v>12</v>
      </c>
      <c r="W1986" s="10">
        <v>5</v>
      </c>
      <c r="X1986" s="10">
        <v>10</v>
      </c>
      <c r="Y1986" s="11">
        <v>0.44444444444444442</v>
      </c>
      <c r="Z1986" s="11">
        <v>0.18518518518518517</v>
      </c>
      <c r="AA1986" s="11">
        <v>0.37037037037037035</v>
      </c>
    </row>
    <row r="1987" spans="21:27" x14ac:dyDescent="0.25">
      <c r="U1987" s="37">
        <v>38942</v>
      </c>
      <c r="V1987" s="10">
        <v>13</v>
      </c>
      <c r="W1987" s="10">
        <v>3</v>
      </c>
      <c r="X1987" s="10">
        <v>11</v>
      </c>
      <c r="Y1987" s="11">
        <v>0.48148148148148145</v>
      </c>
      <c r="Z1987" s="11">
        <v>0.1111111111111111</v>
      </c>
      <c r="AA1987" s="11">
        <v>0.40740740740740738</v>
      </c>
    </row>
    <row r="1988" spans="21:27" x14ac:dyDescent="0.25">
      <c r="U1988" s="37">
        <v>38944</v>
      </c>
      <c r="V1988" s="10">
        <v>2</v>
      </c>
      <c r="W1988" s="10">
        <v>3</v>
      </c>
      <c r="X1988" s="10">
        <v>6</v>
      </c>
      <c r="Y1988" s="11">
        <v>0.18181818181818182</v>
      </c>
      <c r="Z1988" s="11">
        <v>0.27272727272727271</v>
      </c>
      <c r="AA1988" s="11">
        <v>0.54545454545454541</v>
      </c>
    </row>
    <row r="1989" spans="21:27" x14ac:dyDescent="0.25">
      <c r="U1989" s="37">
        <v>38949</v>
      </c>
      <c r="V1989" s="10">
        <v>16</v>
      </c>
      <c r="W1989" s="10">
        <v>2</v>
      </c>
      <c r="X1989" s="10">
        <v>12</v>
      </c>
      <c r="Y1989" s="11">
        <v>0.53333333333333333</v>
      </c>
      <c r="Z1989" s="11">
        <v>6.6666666666666666E-2</v>
      </c>
      <c r="AA1989" s="11">
        <v>0.4</v>
      </c>
    </row>
    <row r="1990" spans="21:27" x14ac:dyDescent="0.25">
      <c r="U1990" s="37">
        <v>38956</v>
      </c>
      <c r="V1990" s="10">
        <v>5</v>
      </c>
      <c r="W1990" s="10">
        <v>5</v>
      </c>
      <c r="X1990" s="10">
        <v>9</v>
      </c>
      <c r="Y1990" s="11">
        <v>0.26315789473684209</v>
      </c>
      <c r="Z1990" s="11">
        <v>0.26315789473684209</v>
      </c>
      <c r="AA1990" s="11">
        <v>0.47368421052631576</v>
      </c>
    </row>
    <row r="1991" spans="21:27" x14ac:dyDescent="0.25">
      <c r="U1991" s="37">
        <v>38963</v>
      </c>
      <c r="V1991" s="10">
        <v>5</v>
      </c>
      <c r="W1991" s="10">
        <v>5</v>
      </c>
      <c r="X1991" s="10">
        <v>5</v>
      </c>
      <c r="Y1991" s="11">
        <v>0.33333333333333331</v>
      </c>
      <c r="Z1991" s="11">
        <v>0.33333333333333331</v>
      </c>
      <c r="AA1991" s="11">
        <v>0.33333333333333331</v>
      </c>
    </row>
    <row r="1992" spans="21:27" x14ac:dyDescent="0.25">
      <c r="U1992" s="37">
        <v>38970</v>
      </c>
      <c r="V1992" s="10">
        <v>13</v>
      </c>
      <c r="W1992" s="10">
        <v>6</v>
      </c>
      <c r="X1992" s="10">
        <v>12</v>
      </c>
      <c r="Y1992" s="11">
        <v>0.41935483870967744</v>
      </c>
      <c r="Z1992" s="11">
        <v>0.19354838709677419</v>
      </c>
      <c r="AA1992" s="11">
        <v>0.38709677419354838</v>
      </c>
    </row>
    <row r="1993" spans="21:27" x14ac:dyDescent="0.25">
      <c r="U1993" s="37">
        <v>38977</v>
      </c>
      <c r="V1993" s="10">
        <v>13</v>
      </c>
      <c r="W1993" s="10">
        <v>6</v>
      </c>
      <c r="X1993" s="10">
        <v>11</v>
      </c>
      <c r="Y1993" s="11">
        <v>0.43333333333333335</v>
      </c>
      <c r="Z1993" s="11">
        <v>0.2</v>
      </c>
      <c r="AA1993" s="11">
        <v>0.36666666666666664</v>
      </c>
    </row>
    <row r="1994" spans="21:27" x14ac:dyDescent="0.25">
      <c r="U1994" s="37">
        <v>38984</v>
      </c>
      <c r="V1994" s="10">
        <v>9</v>
      </c>
      <c r="W1994" s="10">
        <v>4</v>
      </c>
      <c r="X1994" s="10">
        <v>7</v>
      </c>
      <c r="Y1994" s="11">
        <v>0.45</v>
      </c>
      <c r="Z1994" s="11">
        <v>0.2</v>
      </c>
      <c r="AA1994" s="11">
        <v>0.35</v>
      </c>
    </row>
    <row r="1995" spans="21:27" x14ac:dyDescent="0.25">
      <c r="U1995" s="37">
        <v>38991</v>
      </c>
      <c r="V1995" s="10">
        <v>5</v>
      </c>
      <c r="W1995" s="10">
        <v>5</v>
      </c>
      <c r="X1995" s="10">
        <v>9</v>
      </c>
      <c r="Y1995" s="11">
        <v>0.26315789473684209</v>
      </c>
      <c r="Z1995" s="11">
        <v>0.26315789473684209</v>
      </c>
      <c r="AA1995" s="11">
        <v>0.47368421052631576</v>
      </c>
    </row>
    <row r="1996" spans="21:27" x14ac:dyDescent="0.25">
      <c r="U1996" s="37">
        <v>38998</v>
      </c>
      <c r="V1996" s="10">
        <v>3</v>
      </c>
      <c r="W1996" s="10">
        <v>6</v>
      </c>
      <c r="X1996" s="10">
        <v>3</v>
      </c>
      <c r="Y1996" s="11">
        <v>0.25</v>
      </c>
      <c r="Z1996" s="11">
        <v>0.5</v>
      </c>
      <c r="AA1996" s="11">
        <v>0.25</v>
      </c>
    </row>
    <row r="1997" spans="21:27" x14ac:dyDescent="0.25">
      <c r="U1997" s="37">
        <v>39005</v>
      </c>
      <c r="V1997" s="10">
        <v>8</v>
      </c>
      <c r="W1997" s="10">
        <v>6</v>
      </c>
      <c r="X1997" s="10">
        <v>5</v>
      </c>
      <c r="Y1997" s="11">
        <v>0.42105263157894735</v>
      </c>
      <c r="Z1997" s="11">
        <v>0.31578947368421051</v>
      </c>
      <c r="AA1997" s="11">
        <v>0.26315789473684209</v>
      </c>
    </row>
    <row r="1998" spans="21:27" x14ac:dyDescent="0.25">
      <c r="U1998" s="37">
        <v>39012</v>
      </c>
      <c r="V1998" s="10">
        <v>7</v>
      </c>
      <c r="W1998" s="10">
        <v>6</v>
      </c>
      <c r="X1998" s="10">
        <v>5</v>
      </c>
      <c r="Y1998" s="11">
        <v>0.3888888888888889</v>
      </c>
      <c r="Z1998" s="11">
        <v>0.33333333333333331</v>
      </c>
      <c r="AA1998" s="11">
        <v>0.27777777777777779</v>
      </c>
    </row>
    <row r="1999" spans="21:27" x14ac:dyDescent="0.25">
      <c r="U1999" s="37">
        <v>39019</v>
      </c>
      <c r="V1999" s="10">
        <v>5</v>
      </c>
      <c r="W1999" s="10">
        <v>4</v>
      </c>
      <c r="X1999" s="10">
        <v>6</v>
      </c>
      <c r="Y1999" s="11">
        <v>0.33333333333333331</v>
      </c>
      <c r="Z1999" s="11">
        <v>0.26666666666666666</v>
      </c>
      <c r="AA1999" s="11">
        <v>0.4</v>
      </c>
    </row>
    <row r="2000" spans="21:27" x14ac:dyDescent="0.25">
      <c r="U2000" s="37">
        <v>39022</v>
      </c>
      <c r="V2000" s="10">
        <v>8</v>
      </c>
      <c r="W2000" s="10">
        <v>2</v>
      </c>
      <c r="X2000" s="10">
        <v>6</v>
      </c>
      <c r="Y2000" s="11">
        <v>0.5</v>
      </c>
      <c r="Z2000" s="11">
        <v>0.125</v>
      </c>
      <c r="AA2000" s="11">
        <v>0.375</v>
      </c>
    </row>
    <row r="2001" spans="21:27" x14ac:dyDescent="0.25">
      <c r="U2001" s="37">
        <v>39026</v>
      </c>
      <c r="V2001" s="10">
        <v>2</v>
      </c>
      <c r="W2001" s="10">
        <v>10</v>
      </c>
      <c r="X2001" s="10">
        <v>7</v>
      </c>
      <c r="Y2001" s="11">
        <v>0.10526315789473684</v>
      </c>
      <c r="Z2001" s="11">
        <v>0.52631578947368418</v>
      </c>
      <c r="AA2001" s="11">
        <v>0.36842105263157893</v>
      </c>
    </row>
    <row r="2002" spans="21:27" x14ac:dyDescent="0.25">
      <c r="U2002" s="37">
        <v>39033</v>
      </c>
      <c r="V2002" s="10">
        <v>7</v>
      </c>
      <c r="W2002" s="10">
        <v>5</v>
      </c>
      <c r="X2002" s="10">
        <v>9</v>
      </c>
      <c r="Y2002" s="11">
        <v>0.33333333333333331</v>
      </c>
      <c r="Z2002" s="11">
        <v>0.23809523809523808</v>
      </c>
      <c r="AA2002" s="11">
        <v>0.42857142857142855</v>
      </c>
    </row>
    <row r="2003" spans="21:27" x14ac:dyDescent="0.25">
      <c r="U2003" s="37">
        <v>39040</v>
      </c>
      <c r="V2003" s="10">
        <v>7</v>
      </c>
      <c r="W2003" s="10">
        <v>3</v>
      </c>
      <c r="X2003" s="10">
        <v>16</v>
      </c>
      <c r="Y2003" s="11">
        <v>0.26923076923076922</v>
      </c>
      <c r="Z2003" s="11">
        <v>0.11538461538461539</v>
      </c>
      <c r="AA2003" s="11">
        <v>0.61538461538461542</v>
      </c>
    </row>
    <row r="2004" spans="21:27" x14ac:dyDescent="0.25">
      <c r="U2004" s="37">
        <v>39047</v>
      </c>
      <c r="V2004" s="10">
        <v>6</v>
      </c>
      <c r="W2004" s="10">
        <v>2</v>
      </c>
      <c r="X2004" s="10">
        <v>6</v>
      </c>
      <c r="Y2004" s="11">
        <v>0.42857142857142855</v>
      </c>
      <c r="Z2004" s="11">
        <v>0.14285714285714285</v>
      </c>
      <c r="AA2004" s="11">
        <v>0.42857142857142855</v>
      </c>
    </row>
    <row r="2005" spans="21:27" x14ac:dyDescent="0.25">
      <c r="U2005" s="37">
        <v>39054</v>
      </c>
      <c r="V2005" s="10">
        <v>4</v>
      </c>
      <c r="W2005" s="10">
        <v>1</v>
      </c>
      <c r="X2005" s="10">
        <v>11</v>
      </c>
      <c r="Y2005" s="11">
        <v>0.25</v>
      </c>
      <c r="Z2005" s="11">
        <v>6.25E-2</v>
      </c>
      <c r="AA2005" s="11">
        <v>0.6875</v>
      </c>
    </row>
    <row r="2006" spans="21:27" x14ac:dyDescent="0.25">
      <c r="U2006" s="37">
        <v>39061</v>
      </c>
      <c r="V2006" s="10">
        <v>3</v>
      </c>
      <c r="W2006" s="10">
        <v>0</v>
      </c>
      <c r="X2006" s="10">
        <v>7</v>
      </c>
      <c r="Y2006" s="11">
        <v>0.3</v>
      </c>
      <c r="Z2006" s="11">
        <v>0</v>
      </c>
      <c r="AA2006" s="11">
        <v>0.7</v>
      </c>
    </row>
    <row r="2007" spans="21:27" x14ac:dyDescent="0.25">
      <c r="U2007" s="37">
        <v>39068</v>
      </c>
      <c r="V2007" s="10">
        <v>4</v>
      </c>
      <c r="W2007" s="10">
        <v>1</v>
      </c>
      <c r="X2007" s="10">
        <v>7</v>
      </c>
      <c r="Y2007" s="11">
        <v>0.33333333333333331</v>
      </c>
      <c r="Z2007" s="11">
        <v>8.3333333333333329E-2</v>
      </c>
      <c r="AA2007" s="11">
        <v>0.58333333333333337</v>
      </c>
    </row>
    <row r="2008" spans="21:27" x14ac:dyDescent="0.25">
      <c r="U2008" s="37">
        <v>39075</v>
      </c>
      <c r="V2008" s="10">
        <v>2</v>
      </c>
      <c r="W2008" s="10">
        <v>1</v>
      </c>
      <c r="X2008" s="10">
        <v>3</v>
      </c>
      <c r="Y2008" s="11">
        <v>0.33333333333333331</v>
      </c>
      <c r="Z2008" s="11">
        <v>0.16666666666666666</v>
      </c>
      <c r="AA2008" s="11">
        <v>0.5</v>
      </c>
    </row>
    <row r="2009" spans="21:27" x14ac:dyDescent="0.25">
      <c r="U2009" s="37">
        <v>39075</v>
      </c>
      <c r="V2009" s="10">
        <v>4</v>
      </c>
      <c r="W2009" s="10">
        <v>3</v>
      </c>
      <c r="X2009" s="10">
        <v>10</v>
      </c>
      <c r="Y2009" s="11">
        <v>0.23529411764705882</v>
      </c>
      <c r="Z2009" s="11">
        <v>0.17647058823529413</v>
      </c>
      <c r="AA2009" s="11">
        <v>0.58823529411764708</v>
      </c>
    </row>
    <row r="2010" spans="21:27" x14ac:dyDescent="0.25">
      <c r="U2010" s="37">
        <v>39076</v>
      </c>
      <c r="V2010" s="10">
        <v>12</v>
      </c>
      <c r="W2010" s="10">
        <v>10</v>
      </c>
      <c r="X2010" s="10">
        <v>16</v>
      </c>
      <c r="Y2010" s="11">
        <v>0.31578947368421051</v>
      </c>
      <c r="Z2010" s="11">
        <v>0.26315789473684209</v>
      </c>
      <c r="AA2010" s="11">
        <v>0.42105263157894735</v>
      </c>
    </row>
    <row r="2011" spans="21:27" x14ac:dyDescent="0.25">
      <c r="U2011" s="37">
        <v>39082</v>
      </c>
      <c r="V2011" s="10">
        <v>6</v>
      </c>
      <c r="W2011" s="10">
        <v>3</v>
      </c>
      <c r="X2011" s="10">
        <v>9</v>
      </c>
      <c r="Y2011" s="11">
        <v>0.33333333333333331</v>
      </c>
      <c r="Z2011" s="11">
        <v>0.16666666666666666</v>
      </c>
      <c r="AA2011" s="11">
        <v>0.5</v>
      </c>
    </row>
    <row r="2012" spans="21:27" x14ac:dyDescent="0.25">
      <c r="U2012" s="37">
        <v>39089</v>
      </c>
      <c r="V2012" s="10">
        <v>4</v>
      </c>
      <c r="W2012" s="10">
        <v>5</v>
      </c>
      <c r="X2012" s="10">
        <v>8</v>
      </c>
      <c r="Y2012" s="11">
        <v>0.23529411764705882</v>
      </c>
      <c r="Z2012" s="11">
        <v>0.29411764705882354</v>
      </c>
      <c r="AA2012" s="11">
        <v>0.47058823529411764</v>
      </c>
    </row>
    <row r="2013" spans="21:27" x14ac:dyDescent="0.25">
      <c r="U2013" s="37">
        <v>39096</v>
      </c>
      <c r="V2013" s="10">
        <v>4</v>
      </c>
      <c r="W2013" s="10">
        <v>2</v>
      </c>
      <c r="X2013" s="10">
        <v>8</v>
      </c>
      <c r="Y2013" s="11">
        <v>0.2857142857142857</v>
      </c>
      <c r="Z2013" s="11">
        <v>0.14285714285714285</v>
      </c>
      <c r="AA2013" s="11">
        <v>0.5714285714285714</v>
      </c>
    </row>
    <row r="2014" spans="21:27" x14ac:dyDescent="0.25">
      <c r="U2014" s="37">
        <v>39103</v>
      </c>
      <c r="V2014" s="10">
        <v>4</v>
      </c>
      <c r="W2014" s="10">
        <v>1</v>
      </c>
      <c r="X2014" s="10">
        <v>7</v>
      </c>
      <c r="Y2014" s="11">
        <v>0.33333333333333331</v>
      </c>
      <c r="Z2014" s="11">
        <v>8.3333333333333329E-2</v>
      </c>
      <c r="AA2014" s="11">
        <v>0.58333333333333337</v>
      </c>
    </row>
    <row r="2015" spans="21:27" x14ac:dyDescent="0.25">
      <c r="U2015" s="37">
        <v>39110</v>
      </c>
      <c r="V2015" s="10">
        <v>6</v>
      </c>
      <c r="W2015" s="10">
        <v>1</v>
      </c>
      <c r="X2015" s="10">
        <v>10</v>
      </c>
      <c r="Y2015" s="11">
        <v>0.35294117647058826</v>
      </c>
      <c r="Z2015" s="11">
        <v>5.8823529411764705E-2</v>
      </c>
      <c r="AA2015" s="11">
        <v>0.58823529411764708</v>
      </c>
    </row>
    <row r="2016" spans="21:27" x14ac:dyDescent="0.25">
      <c r="U2016" s="37">
        <v>39117</v>
      </c>
      <c r="V2016" s="10">
        <v>3</v>
      </c>
      <c r="W2016" s="10">
        <v>6</v>
      </c>
      <c r="X2016" s="10">
        <v>12</v>
      </c>
      <c r="Y2016" s="11">
        <v>0.14285714285714285</v>
      </c>
      <c r="Z2016" s="11">
        <v>0.2857142857142857</v>
      </c>
      <c r="AA2016" s="11">
        <v>0.5714285714285714</v>
      </c>
    </row>
    <row r="2017" spans="21:27" x14ac:dyDescent="0.25">
      <c r="U2017" s="37">
        <v>39124</v>
      </c>
      <c r="V2017" s="10">
        <v>3</v>
      </c>
      <c r="W2017" s="10">
        <v>1</v>
      </c>
      <c r="X2017" s="10">
        <v>1</v>
      </c>
      <c r="Y2017" s="11">
        <v>0.6</v>
      </c>
      <c r="Z2017" s="11">
        <v>0.2</v>
      </c>
      <c r="AA2017" s="11">
        <v>0.2</v>
      </c>
    </row>
    <row r="2018" spans="21:27" x14ac:dyDescent="0.25">
      <c r="U2018" s="37">
        <v>39131</v>
      </c>
      <c r="V2018" s="10">
        <v>10</v>
      </c>
      <c r="W2018" s="10">
        <v>8</v>
      </c>
      <c r="X2018" s="10">
        <v>12</v>
      </c>
      <c r="Y2018" s="11">
        <v>0.33333333333333331</v>
      </c>
      <c r="Z2018" s="11">
        <v>0.26666666666666666</v>
      </c>
      <c r="AA2018" s="11">
        <v>0.4</v>
      </c>
    </row>
    <row r="2019" spans="21:27" x14ac:dyDescent="0.25">
      <c r="U2019" s="37">
        <v>39138</v>
      </c>
      <c r="V2019" s="10">
        <v>4</v>
      </c>
      <c r="W2019" s="10">
        <v>4</v>
      </c>
      <c r="X2019" s="10">
        <v>7</v>
      </c>
      <c r="Y2019" s="11">
        <v>0.26666666666666666</v>
      </c>
      <c r="Z2019" s="11">
        <v>0.26666666666666666</v>
      </c>
      <c r="AA2019" s="11">
        <v>0.46666666666666667</v>
      </c>
    </row>
    <row r="2020" spans="21:27" x14ac:dyDescent="0.25">
      <c r="U2020" s="37">
        <v>39145</v>
      </c>
      <c r="V2020" s="10">
        <v>12</v>
      </c>
      <c r="W2020" s="10">
        <v>9</v>
      </c>
      <c r="X2020" s="10">
        <v>9</v>
      </c>
      <c r="Y2020" s="11">
        <v>0.4</v>
      </c>
      <c r="Z2020" s="11">
        <v>0.3</v>
      </c>
      <c r="AA2020" s="11">
        <v>0.3</v>
      </c>
    </row>
    <row r="2021" spans="21:27" x14ac:dyDescent="0.25">
      <c r="U2021" s="37">
        <v>39152</v>
      </c>
      <c r="V2021" s="10">
        <v>13</v>
      </c>
      <c r="W2021" s="10">
        <v>2</v>
      </c>
      <c r="X2021" s="10">
        <v>10</v>
      </c>
      <c r="Y2021" s="11">
        <v>0.52</v>
      </c>
      <c r="Z2021" s="11">
        <v>0.08</v>
      </c>
      <c r="AA2021" s="11">
        <v>0.4</v>
      </c>
    </row>
    <row r="2022" spans="21:27" x14ac:dyDescent="0.25">
      <c r="U2022" s="37">
        <v>39159</v>
      </c>
      <c r="V2022" s="10">
        <v>5</v>
      </c>
      <c r="W2022" s="10">
        <v>5</v>
      </c>
      <c r="X2022" s="10">
        <v>12</v>
      </c>
      <c r="Y2022" s="11">
        <v>0.22727272727272727</v>
      </c>
      <c r="Z2022" s="11">
        <v>0.22727272727272727</v>
      </c>
      <c r="AA2022" s="11">
        <v>0.54545454545454541</v>
      </c>
    </row>
    <row r="2023" spans="21:27" x14ac:dyDescent="0.25">
      <c r="U2023" s="37">
        <v>39166</v>
      </c>
      <c r="V2023" s="10">
        <v>5</v>
      </c>
      <c r="W2023" s="10">
        <v>2</v>
      </c>
      <c r="X2023" s="10">
        <v>4</v>
      </c>
      <c r="Y2023" s="11">
        <v>0.45454545454545453</v>
      </c>
      <c r="Z2023" s="11">
        <v>0.18181818181818182</v>
      </c>
      <c r="AA2023" s="11">
        <v>0.36363636363636365</v>
      </c>
    </row>
    <row r="2024" spans="21:27" x14ac:dyDescent="0.25">
      <c r="U2024" s="37">
        <v>39173</v>
      </c>
      <c r="V2024" s="10">
        <v>4</v>
      </c>
      <c r="W2024" s="10">
        <v>1</v>
      </c>
      <c r="X2024" s="10">
        <v>3</v>
      </c>
      <c r="Y2024" s="11">
        <v>0.5</v>
      </c>
      <c r="Z2024" s="11">
        <v>0.125</v>
      </c>
      <c r="AA2024" s="11">
        <v>0.375</v>
      </c>
    </row>
    <row r="2025" spans="21:27" x14ac:dyDescent="0.25">
      <c r="U2025" s="37">
        <v>39180</v>
      </c>
      <c r="V2025" s="10">
        <v>6</v>
      </c>
      <c r="W2025" s="10">
        <v>4</v>
      </c>
      <c r="X2025" s="10">
        <v>2</v>
      </c>
      <c r="Y2025" s="11">
        <v>0.5</v>
      </c>
      <c r="Z2025" s="11">
        <v>0.33333333333333331</v>
      </c>
      <c r="AA2025" s="11">
        <v>0.16666666666666666</v>
      </c>
    </row>
    <row r="2026" spans="21:27" x14ac:dyDescent="0.25">
      <c r="U2026" s="37">
        <v>39187</v>
      </c>
      <c r="V2026" s="10">
        <v>6</v>
      </c>
      <c r="W2026" s="10">
        <v>0</v>
      </c>
      <c r="X2026" s="10">
        <v>7</v>
      </c>
      <c r="Y2026" s="11">
        <v>0.46153846153846156</v>
      </c>
      <c r="Z2026" s="11">
        <v>0</v>
      </c>
      <c r="AA2026" s="11">
        <v>0.53846153846153844</v>
      </c>
    </row>
    <row r="2027" spans="21:27" x14ac:dyDescent="0.25">
      <c r="U2027" s="37">
        <v>39194</v>
      </c>
      <c r="V2027" s="10">
        <v>6</v>
      </c>
      <c r="W2027" s="10">
        <v>0</v>
      </c>
      <c r="X2027" s="10">
        <v>7</v>
      </c>
      <c r="Y2027" s="11">
        <v>0.46153846153846156</v>
      </c>
      <c r="Z2027" s="11">
        <v>0</v>
      </c>
      <c r="AA2027" s="11">
        <v>0.53846153846153844</v>
      </c>
    </row>
    <row r="2028" spans="21:27" x14ac:dyDescent="0.25">
      <c r="U2028" s="37">
        <v>39201</v>
      </c>
      <c r="V2028" s="10">
        <v>3</v>
      </c>
      <c r="W2028" s="10">
        <v>4</v>
      </c>
      <c r="X2028" s="10">
        <v>11</v>
      </c>
      <c r="Y2028" s="11">
        <v>0.16666666666666666</v>
      </c>
      <c r="Z2028" s="11">
        <v>0.22222222222222221</v>
      </c>
      <c r="AA2028" s="11">
        <v>0.61111111111111116</v>
      </c>
    </row>
    <row r="2029" spans="21:27" x14ac:dyDescent="0.25">
      <c r="U2029" s="37">
        <v>39208</v>
      </c>
      <c r="V2029" s="10">
        <v>11</v>
      </c>
      <c r="W2029" s="10">
        <v>3</v>
      </c>
      <c r="X2029" s="10">
        <v>7</v>
      </c>
      <c r="Y2029" s="11">
        <v>0.52380952380952384</v>
      </c>
      <c r="Z2029" s="11">
        <v>0.14285714285714285</v>
      </c>
      <c r="AA2029" s="11">
        <v>0.33333333333333331</v>
      </c>
    </row>
    <row r="2030" spans="21:27" x14ac:dyDescent="0.25">
      <c r="U2030" s="37">
        <v>39215</v>
      </c>
      <c r="V2030" s="10">
        <v>5</v>
      </c>
      <c r="W2030" s="10">
        <v>9</v>
      </c>
      <c r="X2030" s="10">
        <v>13</v>
      </c>
      <c r="Y2030" s="11">
        <v>0.18518518518518517</v>
      </c>
      <c r="Z2030" s="11">
        <v>0.33333333333333331</v>
      </c>
      <c r="AA2030" s="11">
        <v>0.48148148148148145</v>
      </c>
    </row>
    <row r="2031" spans="21:27" x14ac:dyDescent="0.25">
      <c r="U2031" s="37">
        <v>39219</v>
      </c>
      <c r="V2031" s="10">
        <v>5</v>
      </c>
      <c r="W2031" s="10">
        <v>8</v>
      </c>
      <c r="X2031" s="10">
        <v>10</v>
      </c>
      <c r="Y2031" s="11">
        <v>0.21739130434782608</v>
      </c>
      <c r="Z2031" s="11">
        <v>0.34782608695652173</v>
      </c>
      <c r="AA2031" s="11">
        <v>0.43478260869565216</v>
      </c>
    </row>
    <row r="2032" spans="21:27" x14ac:dyDescent="0.25">
      <c r="U2032" s="37">
        <v>39222</v>
      </c>
      <c r="V2032" s="10">
        <v>5</v>
      </c>
      <c r="W2032" s="10">
        <v>1</v>
      </c>
      <c r="X2032" s="10">
        <v>9</v>
      </c>
      <c r="Y2032" s="11">
        <v>0.33333333333333331</v>
      </c>
      <c r="Z2032" s="11">
        <v>6.6666666666666666E-2</v>
      </c>
      <c r="AA2032" s="11">
        <v>0.6</v>
      </c>
    </row>
    <row r="2033" spans="21:27" x14ac:dyDescent="0.25">
      <c r="U2033" s="37">
        <v>39229</v>
      </c>
      <c r="V2033" s="10">
        <v>5</v>
      </c>
      <c r="W2033" s="10">
        <v>2</v>
      </c>
      <c r="X2033" s="10">
        <v>1</v>
      </c>
      <c r="Y2033" s="11">
        <v>0.625</v>
      </c>
      <c r="Z2033" s="11">
        <v>0.25</v>
      </c>
      <c r="AA2033" s="11">
        <v>0.125</v>
      </c>
    </row>
    <row r="2034" spans="21:27" x14ac:dyDescent="0.25">
      <c r="U2034" s="37">
        <v>39236</v>
      </c>
      <c r="V2034" s="10">
        <v>10</v>
      </c>
      <c r="W2034" s="10">
        <v>7</v>
      </c>
      <c r="X2034" s="10">
        <v>12</v>
      </c>
      <c r="Y2034" s="11">
        <v>0.34482758620689657</v>
      </c>
      <c r="Z2034" s="11">
        <v>0.2413793103448276</v>
      </c>
      <c r="AA2034" s="11">
        <v>0.41379310344827586</v>
      </c>
    </row>
    <row r="2035" spans="21:27" x14ac:dyDescent="0.25">
      <c r="U2035" s="37">
        <v>39243</v>
      </c>
      <c r="V2035" s="10">
        <v>6</v>
      </c>
      <c r="W2035" s="10">
        <v>2</v>
      </c>
      <c r="X2035" s="10">
        <v>6</v>
      </c>
      <c r="Y2035" s="11">
        <v>0.42857142857142855</v>
      </c>
      <c r="Z2035" s="11">
        <v>0.14285714285714285</v>
      </c>
      <c r="AA2035" s="11">
        <v>0.42857142857142855</v>
      </c>
    </row>
    <row r="2036" spans="21:27" x14ac:dyDescent="0.25">
      <c r="U2036" s="37">
        <v>39250</v>
      </c>
      <c r="V2036" s="10">
        <v>9</v>
      </c>
      <c r="W2036" s="10">
        <v>1</v>
      </c>
      <c r="X2036" s="10">
        <v>9</v>
      </c>
      <c r="Y2036" s="11">
        <v>0.47368421052631576</v>
      </c>
      <c r="Z2036" s="11">
        <v>5.2631578947368418E-2</v>
      </c>
      <c r="AA2036" s="11">
        <v>0.47368421052631576</v>
      </c>
    </row>
    <row r="2037" spans="21:27" x14ac:dyDescent="0.25">
      <c r="U2037" s="37">
        <v>39257</v>
      </c>
      <c r="V2037" s="10">
        <v>4</v>
      </c>
      <c r="W2037" s="10">
        <v>0</v>
      </c>
      <c r="X2037" s="10">
        <v>7</v>
      </c>
      <c r="Y2037" s="11">
        <v>0.36363636363636365</v>
      </c>
      <c r="Z2037" s="11">
        <v>0</v>
      </c>
      <c r="AA2037" s="11">
        <v>0.63636363636363635</v>
      </c>
    </row>
    <row r="2038" spans="21:27" x14ac:dyDescent="0.25">
      <c r="U2038" s="37">
        <v>39264</v>
      </c>
      <c r="V2038" s="10">
        <v>3</v>
      </c>
      <c r="W2038" s="10">
        <v>5</v>
      </c>
      <c r="X2038" s="10">
        <v>11</v>
      </c>
      <c r="Y2038" s="11">
        <v>0.15789473684210525</v>
      </c>
      <c r="Z2038" s="11">
        <v>0.26315789473684209</v>
      </c>
      <c r="AA2038" s="11">
        <v>0.57894736842105265</v>
      </c>
    </row>
    <row r="2039" spans="21:27" x14ac:dyDescent="0.25">
      <c r="U2039" s="37">
        <v>39271</v>
      </c>
      <c r="V2039" s="10">
        <v>5</v>
      </c>
      <c r="W2039" s="10">
        <v>3</v>
      </c>
      <c r="X2039" s="10">
        <v>7</v>
      </c>
      <c r="Y2039" s="11">
        <v>0.33333333333333331</v>
      </c>
      <c r="Z2039" s="11">
        <v>0.2</v>
      </c>
      <c r="AA2039" s="11">
        <v>0.46666666666666667</v>
      </c>
    </row>
    <row r="2040" spans="21:27" x14ac:dyDescent="0.25">
      <c r="U2040" s="37">
        <v>39278</v>
      </c>
      <c r="V2040" s="10">
        <v>5</v>
      </c>
      <c r="W2040" s="10">
        <v>4</v>
      </c>
      <c r="X2040" s="10">
        <v>10</v>
      </c>
      <c r="Y2040" s="11">
        <v>0.26315789473684209</v>
      </c>
      <c r="Z2040" s="11">
        <v>0.21052631578947367</v>
      </c>
      <c r="AA2040" s="11">
        <v>0.52631578947368418</v>
      </c>
    </row>
    <row r="2041" spans="21:27" x14ac:dyDescent="0.25">
      <c r="U2041" s="37">
        <v>39285</v>
      </c>
      <c r="V2041" s="10">
        <v>3</v>
      </c>
      <c r="W2041" s="10">
        <v>5</v>
      </c>
      <c r="X2041" s="10">
        <v>7</v>
      </c>
      <c r="Y2041" s="11">
        <v>0.2</v>
      </c>
      <c r="Z2041" s="11">
        <v>0.33333333333333331</v>
      </c>
      <c r="AA2041" s="11">
        <v>0.46666666666666667</v>
      </c>
    </row>
    <row r="2042" spans="21:27" x14ac:dyDescent="0.25">
      <c r="U2042" s="37">
        <v>39292</v>
      </c>
      <c r="V2042" s="10">
        <v>11</v>
      </c>
      <c r="W2042" s="10">
        <v>10</v>
      </c>
      <c r="X2042" s="10">
        <v>11</v>
      </c>
      <c r="Y2042" s="11">
        <v>0.34375</v>
      </c>
      <c r="Z2042" s="11">
        <v>0.3125</v>
      </c>
      <c r="AA2042" s="11">
        <v>0.34375</v>
      </c>
    </row>
    <row r="2043" spans="21:27" x14ac:dyDescent="0.25">
      <c r="U2043" s="37">
        <v>39299</v>
      </c>
      <c r="V2043" s="10">
        <v>9</v>
      </c>
      <c r="W2043" s="10">
        <v>4</v>
      </c>
      <c r="X2043" s="10">
        <v>5</v>
      </c>
      <c r="Y2043" s="11">
        <v>0.5</v>
      </c>
      <c r="Z2043" s="11">
        <v>0.22222222222222221</v>
      </c>
      <c r="AA2043" s="11">
        <v>0.27777777777777779</v>
      </c>
    </row>
    <row r="2044" spans="21:27" x14ac:dyDescent="0.25">
      <c r="U2044" s="37">
        <v>39306</v>
      </c>
      <c r="V2044" s="10">
        <v>5</v>
      </c>
      <c r="W2044" s="10">
        <v>5</v>
      </c>
      <c r="X2044" s="10">
        <v>14</v>
      </c>
      <c r="Y2044" s="11">
        <v>0.20833333333333334</v>
      </c>
      <c r="Z2044" s="11">
        <v>0.20833333333333334</v>
      </c>
      <c r="AA2044" s="11">
        <v>0.58333333333333337</v>
      </c>
    </row>
    <row r="2045" spans="21:27" x14ac:dyDescent="0.25">
      <c r="U2045" s="37">
        <v>39309</v>
      </c>
      <c r="V2045" s="10">
        <v>5</v>
      </c>
      <c r="W2045" s="10">
        <v>3</v>
      </c>
      <c r="X2045" s="10">
        <v>7</v>
      </c>
      <c r="Y2045" s="11">
        <v>0.33333333333333331</v>
      </c>
      <c r="Z2045" s="11">
        <v>0.2</v>
      </c>
      <c r="AA2045" s="11">
        <v>0.46666666666666667</v>
      </c>
    </row>
    <row r="2046" spans="21:27" x14ac:dyDescent="0.25">
      <c r="U2046" s="37">
        <v>39313</v>
      </c>
      <c r="V2046" s="10">
        <v>9</v>
      </c>
      <c r="W2046" s="10">
        <v>6</v>
      </c>
      <c r="X2046" s="10">
        <v>14</v>
      </c>
      <c r="Y2046" s="11">
        <v>0.31034482758620691</v>
      </c>
      <c r="Z2046" s="11">
        <v>0.20689655172413793</v>
      </c>
      <c r="AA2046" s="11">
        <v>0.48275862068965519</v>
      </c>
    </row>
    <row r="2047" spans="21:27" x14ac:dyDescent="0.25">
      <c r="U2047" s="37">
        <v>39320</v>
      </c>
      <c r="V2047" s="10">
        <v>7</v>
      </c>
      <c r="W2047" s="10">
        <v>6</v>
      </c>
      <c r="X2047" s="10">
        <v>4</v>
      </c>
      <c r="Y2047" s="11">
        <v>0.41176470588235292</v>
      </c>
      <c r="Z2047" s="11">
        <v>0.35294117647058826</v>
      </c>
      <c r="AA2047" s="11">
        <v>0.23529411764705882</v>
      </c>
    </row>
    <row r="2048" spans="21:27" x14ac:dyDescent="0.25">
      <c r="U2048" s="37">
        <v>39327</v>
      </c>
      <c r="V2048" s="10">
        <v>8</v>
      </c>
      <c r="W2048" s="10">
        <v>3</v>
      </c>
      <c r="X2048" s="10">
        <v>5</v>
      </c>
      <c r="Y2048" s="11">
        <v>0.5</v>
      </c>
      <c r="Z2048" s="11">
        <v>0.1875</v>
      </c>
      <c r="AA2048" s="11">
        <v>0.3125</v>
      </c>
    </row>
    <row r="2049" spans="21:27" x14ac:dyDescent="0.25">
      <c r="U2049" s="37">
        <v>39334</v>
      </c>
      <c r="V2049" s="10">
        <v>7</v>
      </c>
      <c r="W2049" s="10">
        <v>2</v>
      </c>
      <c r="X2049" s="10">
        <v>9</v>
      </c>
      <c r="Y2049" s="11">
        <v>0.3888888888888889</v>
      </c>
      <c r="Z2049" s="11">
        <v>0.1111111111111111</v>
      </c>
      <c r="AA2049" s="11">
        <v>0.5</v>
      </c>
    </row>
    <row r="2050" spans="21:27" x14ac:dyDescent="0.25">
      <c r="U2050" s="37">
        <v>39341</v>
      </c>
      <c r="V2050" s="10">
        <v>14</v>
      </c>
      <c r="W2050" s="10">
        <v>6</v>
      </c>
      <c r="X2050" s="10">
        <v>5</v>
      </c>
      <c r="Y2050" s="11">
        <v>0.56000000000000005</v>
      </c>
      <c r="Z2050" s="11">
        <v>0.24</v>
      </c>
      <c r="AA2050" s="11">
        <v>0.2</v>
      </c>
    </row>
    <row r="2051" spans="21:27" x14ac:dyDescent="0.25">
      <c r="U2051" s="37">
        <v>39348</v>
      </c>
      <c r="V2051" s="10">
        <v>20</v>
      </c>
      <c r="W2051" s="10">
        <v>11</v>
      </c>
      <c r="X2051" s="10">
        <v>9</v>
      </c>
      <c r="Y2051" s="11">
        <v>0.5</v>
      </c>
      <c r="Z2051" s="11">
        <v>0.27500000000000002</v>
      </c>
      <c r="AA2051" s="11">
        <v>0.22500000000000001</v>
      </c>
    </row>
    <row r="2052" spans="21:27" x14ac:dyDescent="0.25">
      <c r="U2052" s="37">
        <v>39355</v>
      </c>
      <c r="V2052" s="10">
        <v>2</v>
      </c>
      <c r="W2052" s="10">
        <v>0</v>
      </c>
      <c r="X2052" s="10">
        <v>9</v>
      </c>
      <c r="Y2052" s="11">
        <v>0.18181818181818182</v>
      </c>
      <c r="Z2052" s="11">
        <v>0</v>
      </c>
      <c r="AA2052" s="11">
        <v>0.81818181818181823</v>
      </c>
    </row>
    <row r="2053" spans="21:27" x14ac:dyDescent="0.25">
      <c r="U2053" s="37">
        <v>39362</v>
      </c>
      <c r="V2053" s="10">
        <v>4</v>
      </c>
      <c r="W2053" s="10">
        <v>6</v>
      </c>
      <c r="X2053" s="10">
        <v>9</v>
      </c>
      <c r="Y2053" s="11">
        <v>0.21052631578947367</v>
      </c>
      <c r="Z2053" s="11">
        <v>0.31578947368421051</v>
      </c>
      <c r="AA2053" s="11">
        <v>0.47368421052631576</v>
      </c>
    </row>
    <row r="2054" spans="21:27" x14ac:dyDescent="0.25">
      <c r="U2054" s="37">
        <v>39369</v>
      </c>
      <c r="V2054" s="10">
        <v>12</v>
      </c>
      <c r="W2054" s="10">
        <v>10</v>
      </c>
      <c r="X2054" s="10">
        <v>24</v>
      </c>
      <c r="Y2054" s="11">
        <v>0.2608695652173913</v>
      </c>
      <c r="Z2054" s="11">
        <v>0.21739130434782608</v>
      </c>
      <c r="AA2054" s="11">
        <v>0.52173913043478259</v>
      </c>
    </row>
    <row r="2055" spans="21:27" x14ac:dyDescent="0.25">
      <c r="U2055" s="37">
        <v>39376</v>
      </c>
      <c r="V2055" s="10">
        <v>15</v>
      </c>
      <c r="W2055" s="10">
        <v>6</v>
      </c>
      <c r="X2055" s="10">
        <v>8</v>
      </c>
      <c r="Y2055" s="11">
        <v>0.51724137931034486</v>
      </c>
      <c r="Z2055" s="11">
        <v>0.20689655172413793</v>
      </c>
      <c r="AA2055" s="11">
        <v>0.27586206896551724</v>
      </c>
    </row>
    <row r="2056" spans="21:27" x14ac:dyDescent="0.25">
      <c r="U2056" s="37">
        <v>39383</v>
      </c>
      <c r="V2056" s="10">
        <v>7</v>
      </c>
      <c r="W2056" s="10">
        <v>10</v>
      </c>
      <c r="X2056" s="10">
        <v>11</v>
      </c>
      <c r="Y2056" s="11">
        <v>0.25</v>
      </c>
      <c r="Z2056" s="11">
        <v>0.35714285714285715</v>
      </c>
      <c r="AA2056" s="11">
        <v>0.39285714285714285</v>
      </c>
    </row>
    <row r="2057" spans="21:27" x14ac:dyDescent="0.25">
      <c r="U2057" s="37">
        <v>39387</v>
      </c>
      <c r="V2057" s="10">
        <v>1</v>
      </c>
      <c r="W2057" s="10">
        <v>3</v>
      </c>
      <c r="X2057" s="10">
        <v>4</v>
      </c>
      <c r="Y2057" s="11">
        <v>0.125</v>
      </c>
      <c r="Z2057" s="11">
        <v>0.375</v>
      </c>
      <c r="AA2057" s="11">
        <v>0.5</v>
      </c>
    </row>
    <row r="2058" spans="21:27" x14ac:dyDescent="0.25">
      <c r="U2058" s="37">
        <v>39390</v>
      </c>
      <c r="V2058" s="10">
        <v>10</v>
      </c>
      <c r="W2058" s="10">
        <v>9</v>
      </c>
      <c r="X2058" s="10">
        <v>17</v>
      </c>
      <c r="Y2058" s="11">
        <v>0.27777777777777779</v>
      </c>
      <c r="Z2058" s="11">
        <v>0.25</v>
      </c>
      <c r="AA2058" s="11">
        <v>0.47222222222222221</v>
      </c>
    </row>
    <row r="2059" spans="21:27" x14ac:dyDescent="0.25">
      <c r="U2059" s="37">
        <v>39397</v>
      </c>
      <c r="V2059" s="10">
        <v>8</v>
      </c>
      <c r="W2059" s="10">
        <v>5</v>
      </c>
      <c r="X2059" s="10">
        <v>5</v>
      </c>
      <c r="Y2059" s="11">
        <v>0.44444444444444442</v>
      </c>
      <c r="Z2059" s="11">
        <v>0.27777777777777779</v>
      </c>
      <c r="AA2059" s="11">
        <v>0.27777777777777779</v>
      </c>
    </row>
    <row r="2060" spans="21:27" x14ac:dyDescent="0.25">
      <c r="U2060" s="37">
        <v>39404</v>
      </c>
      <c r="V2060" s="10">
        <v>10</v>
      </c>
      <c r="W2060" s="10">
        <v>5</v>
      </c>
      <c r="X2060" s="10">
        <v>13</v>
      </c>
      <c r="Y2060" s="11">
        <v>0.35714285714285715</v>
      </c>
      <c r="Z2060" s="11">
        <v>0.17857142857142858</v>
      </c>
      <c r="AA2060" s="11">
        <v>0.4642857142857143</v>
      </c>
    </row>
    <row r="2061" spans="21:27" x14ac:dyDescent="0.25">
      <c r="U2061" s="37">
        <v>39411</v>
      </c>
      <c r="V2061" s="10">
        <v>11</v>
      </c>
      <c r="W2061" s="10">
        <v>6</v>
      </c>
      <c r="X2061" s="10">
        <v>12</v>
      </c>
      <c r="Y2061" s="11">
        <v>0.37931034482758619</v>
      </c>
      <c r="Z2061" s="11">
        <v>0.20689655172413793</v>
      </c>
      <c r="AA2061" s="11">
        <v>0.41379310344827586</v>
      </c>
    </row>
    <row r="2062" spans="21:27" x14ac:dyDescent="0.25">
      <c r="U2062" s="37">
        <v>39418</v>
      </c>
      <c r="V2062" s="10">
        <v>8</v>
      </c>
      <c r="W2062" s="10">
        <v>5</v>
      </c>
      <c r="X2062" s="10">
        <v>3</v>
      </c>
      <c r="Y2062" s="11">
        <v>0.5</v>
      </c>
      <c r="Z2062" s="11">
        <v>0.3125</v>
      </c>
      <c r="AA2062" s="11">
        <v>0.1875</v>
      </c>
    </row>
    <row r="2063" spans="21:27" x14ac:dyDescent="0.25">
      <c r="U2063" s="37">
        <v>39425</v>
      </c>
      <c r="V2063" s="10">
        <v>5</v>
      </c>
      <c r="W2063" s="10">
        <v>0</v>
      </c>
      <c r="X2063" s="10">
        <v>3</v>
      </c>
      <c r="Y2063" s="11">
        <v>0.625</v>
      </c>
      <c r="Z2063" s="11">
        <v>0</v>
      </c>
      <c r="AA2063" s="11">
        <v>0.375</v>
      </c>
    </row>
    <row r="2064" spans="21:27" x14ac:dyDescent="0.25">
      <c r="U2064" s="37">
        <v>39432</v>
      </c>
      <c r="V2064" s="10">
        <v>3</v>
      </c>
      <c r="W2064" s="10">
        <v>6</v>
      </c>
      <c r="X2064" s="10">
        <v>6</v>
      </c>
      <c r="Y2064" s="11">
        <v>0.2</v>
      </c>
      <c r="Z2064" s="11">
        <v>0.4</v>
      </c>
      <c r="AA2064" s="11">
        <v>0.4</v>
      </c>
    </row>
    <row r="2065" spans="21:27" x14ac:dyDescent="0.25">
      <c r="U2065" s="37">
        <v>39439</v>
      </c>
      <c r="V2065" s="10">
        <v>3</v>
      </c>
      <c r="W2065" s="10">
        <v>1</v>
      </c>
      <c r="X2065" s="10">
        <v>3</v>
      </c>
      <c r="Y2065" s="11">
        <v>0.42857142857142855</v>
      </c>
      <c r="Z2065" s="11">
        <v>0.14285714285714285</v>
      </c>
      <c r="AA2065" s="11">
        <v>0.42857142857142855</v>
      </c>
    </row>
    <row r="2066" spans="21:27" x14ac:dyDescent="0.25">
      <c r="U2066" s="37">
        <v>39440</v>
      </c>
      <c r="V2066" s="10">
        <v>4</v>
      </c>
      <c r="W2066" s="10">
        <v>3</v>
      </c>
      <c r="X2066" s="10">
        <v>5</v>
      </c>
      <c r="Y2066" s="11">
        <v>0.33333333333333331</v>
      </c>
      <c r="Z2066" s="11">
        <v>0.25</v>
      </c>
      <c r="AA2066" s="11">
        <v>0.41666666666666669</v>
      </c>
    </row>
    <row r="2067" spans="21:27" x14ac:dyDescent="0.25">
      <c r="U2067" s="37">
        <v>39441</v>
      </c>
      <c r="V2067" s="10">
        <v>2</v>
      </c>
      <c r="W2067" s="10">
        <v>0</v>
      </c>
      <c r="X2067" s="10">
        <v>10</v>
      </c>
      <c r="Y2067" s="11">
        <v>0.16666666666666666</v>
      </c>
      <c r="Z2067" s="11">
        <v>0</v>
      </c>
      <c r="AA2067" s="11">
        <v>0.83333333333333337</v>
      </c>
    </row>
    <row r="2068" spans="21:27" x14ac:dyDescent="0.25">
      <c r="U2068" s="37">
        <v>39446</v>
      </c>
      <c r="V2068" s="10">
        <v>4</v>
      </c>
      <c r="W2068" s="10">
        <v>5</v>
      </c>
      <c r="X2068" s="10">
        <v>4</v>
      </c>
      <c r="Y2068" s="11">
        <v>0.30769230769230771</v>
      </c>
      <c r="Z2068" s="11">
        <v>0.38461538461538464</v>
      </c>
      <c r="AA2068" s="11">
        <v>0.30769230769230771</v>
      </c>
    </row>
    <row r="2069" spans="21:27" x14ac:dyDescent="0.25">
      <c r="U2069" s="37">
        <v>39453</v>
      </c>
      <c r="V2069" s="10">
        <v>4</v>
      </c>
      <c r="W2069" s="10">
        <v>3</v>
      </c>
      <c r="X2069" s="10">
        <v>9</v>
      </c>
      <c r="Y2069" s="11">
        <v>0.25</v>
      </c>
      <c r="Z2069" s="11">
        <v>0.1875</v>
      </c>
      <c r="AA2069" s="11">
        <v>0.5625</v>
      </c>
    </row>
    <row r="2070" spans="21:27" x14ac:dyDescent="0.25">
      <c r="U2070" s="37">
        <v>39460</v>
      </c>
      <c r="V2070" s="10">
        <v>5</v>
      </c>
      <c r="W2070" s="10">
        <v>2</v>
      </c>
      <c r="X2070" s="10">
        <v>6</v>
      </c>
      <c r="Y2070" s="11">
        <v>0.38461538461538464</v>
      </c>
      <c r="Z2070" s="11">
        <v>0.15384615384615385</v>
      </c>
      <c r="AA2070" s="11">
        <v>0.46153846153846156</v>
      </c>
    </row>
    <row r="2071" spans="21:27" x14ac:dyDescent="0.25">
      <c r="U2071" s="37">
        <v>39467</v>
      </c>
      <c r="V2071" s="10">
        <v>6</v>
      </c>
      <c r="W2071" s="10">
        <v>5</v>
      </c>
      <c r="X2071" s="10">
        <v>12</v>
      </c>
      <c r="Y2071" s="11">
        <v>0.2608695652173913</v>
      </c>
      <c r="Z2071" s="11">
        <v>0.21739130434782608</v>
      </c>
      <c r="AA2071" s="11">
        <v>0.52173913043478259</v>
      </c>
    </row>
    <row r="2072" spans="21:27" x14ac:dyDescent="0.25">
      <c r="U2072" s="37">
        <v>39474</v>
      </c>
      <c r="V2072" s="10">
        <v>11</v>
      </c>
      <c r="W2072" s="10">
        <v>6</v>
      </c>
      <c r="X2072" s="10">
        <v>7</v>
      </c>
      <c r="Y2072" s="11">
        <v>0.45833333333333331</v>
      </c>
      <c r="Z2072" s="11">
        <v>0.25</v>
      </c>
      <c r="AA2072" s="11">
        <v>0.29166666666666669</v>
      </c>
    </row>
    <row r="2073" spans="21:27" x14ac:dyDescent="0.25">
      <c r="U2073" s="37">
        <v>39481</v>
      </c>
      <c r="V2073" s="10">
        <v>5</v>
      </c>
      <c r="W2073" s="10">
        <v>4</v>
      </c>
      <c r="X2073" s="10">
        <v>4</v>
      </c>
      <c r="Y2073" s="11">
        <v>0.38461538461538464</v>
      </c>
      <c r="Z2073" s="11">
        <v>0.30769230769230771</v>
      </c>
      <c r="AA2073" s="11">
        <v>0.30769230769230771</v>
      </c>
    </row>
    <row r="2074" spans="21:27" x14ac:dyDescent="0.25">
      <c r="U2074" s="37">
        <v>39488</v>
      </c>
      <c r="V2074" s="10">
        <v>3</v>
      </c>
      <c r="W2074" s="10">
        <v>3</v>
      </c>
      <c r="X2074" s="10">
        <v>0</v>
      </c>
      <c r="Y2074" s="11">
        <v>0.5</v>
      </c>
      <c r="Z2074" s="11">
        <v>0.5</v>
      </c>
      <c r="AA2074" s="11">
        <v>0</v>
      </c>
    </row>
    <row r="2075" spans="21:27" x14ac:dyDescent="0.25">
      <c r="U2075" s="37">
        <v>39495</v>
      </c>
      <c r="V2075" s="10">
        <v>7</v>
      </c>
      <c r="W2075" s="10">
        <v>3</v>
      </c>
      <c r="X2075" s="10">
        <v>12</v>
      </c>
      <c r="Y2075" s="11">
        <v>0.31818181818181818</v>
      </c>
      <c r="Z2075" s="11">
        <v>0.13636363636363635</v>
      </c>
      <c r="AA2075" s="11">
        <v>0.54545454545454541</v>
      </c>
    </row>
    <row r="2076" spans="21:27" x14ac:dyDescent="0.25">
      <c r="U2076" s="37">
        <v>39502</v>
      </c>
      <c r="V2076" s="10">
        <v>2</v>
      </c>
      <c r="W2076" s="10">
        <v>2</v>
      </c>
      <c r="X2076" s="10">
        <v>11</v>
      </c>
      <c r="Y2076" s="11">
        <v>0.13333333333333333</v>
      </c>
      <c r="Z2076" s="11">
        <v>0.13333333333333333</v>
      </c>
      <c r="AA2076" s="11">
        <v>0.73333333333333328</v>
      </c>
    </row>
    <row r="2077" spans="21:27" x14ac:dyDescent="0.25">
      <c r="U2077" s="37">
        <v>39509</v>
      </c>
      <c r="V2077" s="10">
        <v>3</v>
      </c>
      <c r="W2077" s="10">
        <v>7</v>
      </c>
      <c r="X2077" s="10">
        <v>13</v>
      </c>
      <c r="Y2077" s="11">
        <v>0.13043478260869565</v>
      </c>
      <c r="Z2077" s="11">
        <v>0.30434782608695654</v>
      </c>
      <c r="AA2077" s="11">
        <v>0.56521739130434778</v>
      </c>
    </row>
    <row r="2078" spans="21:27" x14ac:dyDescent="0.25">
      <c r="U2078" s="37">
        <v>39516</v>
      </c>
      <c r="V2078" s="10">
        <v>13</v>
      </c>
      <c r="W2078" s="10">
        <v>2</v>
      </c>
      <c r="X2078" s="10">
        <v>9</v>
      </c>
      <c r="Y2078" s="11">
        <v>0.54166666666666663</v>
      </c>
      <c r="Z2078" s="11">
        <v>8.3333333333333329E-2</v>
      </c>
      <c r="AA2078" s="11">
        <v>0.375</v>
      </c>
    </row>
    <row r="2079" spans="21:27" x14ac:dyDescent="0.25">
      <c r="U2079" s="37">
        <v>39523</v>
      </c>
      <c r="V2079" s="10">
        <v>3</v>
      </c>
      <c r="W2079" s="10">
        <v>1</v>
      </c>
      <c r="X2079" s="10">
        <v>10</v>
      </c>
      <c r="Y2079" s="11">
        <v>0.21428571428571427</v>
      </c>
      <c r="Z2079" s="11">
        <v>7.1428571428571425E-2</v>
      </c>
      <c r="AA2079" s="11">
        <v>0.7142857142857143</v>
      </c>
    </row>
    <row r="2080" spans="21:27" x14ac:dyDescent="0.25">
      <c r="U2080" s="37">
        <v>39530</v>
      </c>
      <c r="V2080" s="10">
        <v>12</v>
      </c>
      <c r="W2080" s="10">
        <v>3</v>
      </c>
      <c r="X2080" s="10">
        <v>7</v>
      </c>
      <c r="Y2080" s="11">
        <v>0.54545454545454541</v>
      </c>
      <c r="Z2080" s="11">
        <v>0.13636363636363635</v>
      </c>
      <c r="AA2080" s="11">
        <v>0.31818181818181818</v>
      </c>
    </row>
    <row r="2081" spans="21:27" x14ac:dyDescent="0.25">
      <c r="U2081" s="37">
        <v>39537</v>
      </c>
      <c r="V2081" s="10">
        <v>1</v>
      </c>
      <c r="W2081" s="10">
        <v>4</v>
      </c>
      <c r="X2081" s="10">
        <v>10</v>
      </c>
      <c r="Y2081" s="11">
        <v>6.6666666666666666E-2</v>
      </c>
      <c r="Z2081" s="11">
        <v>0.26666666666666666</v>
      </c>
      <c r="AA2081" s="11">
        <v>0.66666666666666663</v>
      </c>
    </row>
    <row r="2082" spans="21:27" x14ac:dyDescent="0.25">
      <c r="U2082" s="37">
        <v>39544</v>
      </c>
      <c r="V2082" s="10">
        <v>6</v>
      </c>
      <c r="W2082" s="10">
        <v>4</v>
      </c>
      <c r="X2082" s="10">
        <v>5</v>
      </c>
      <c r="Y2082" s="11">
        <v>0.4</v>
      </c>
      <c r="Z2082" s="11">
        <v>0.26666666666666666</v>
      </c>
      <c r="AA2082" s="11">
        <v>0.33333333333333331</v>
      </c>
    </row>
    <row r="2083" spans="21:27" x14ac:dyDescent="0.25">
      <c r="U2083" s="37">
        <v>39551</v>
      </c>
      <c r="V2083" s="10">
        <v>6</v>
      </c>
      <c r="W2083" s="10">
        <v>1</v>
      </c>
      <c r="X2083" s="10">
        <v>3</v>
      </c>
      <c r="Y2083" s="11">
        <v>0.6</v>
      </c>
      <c r="Z2083" s="11">
        <v>0.1</v>
      </c>
      <c r="AA2083" s="11">
        <v>0.3</v>
      </c>
    </row>
    <row r="2084" spans="21:27" x14ac:dyDescent="0.25">
      <c r="U2084" s="37">
        <v>39558</v>
      </c>
      <c r="V2084" s="10">
        <v>4</v>
      </c>
      <c r="W2084" s="10">
        <v>12</v>
      </c>
      <c r="X2084" s="10">
        <v>3</v>
      </c>
      <c r="Y2084" s="11">
        <v>0.21052631578947367</v>
      </c>
      <c r="Z2084" s="11">
        <v>0.63157894736842102</v>
      </c>
      <c r="AA2084" s="11">
        <v>0.15789473684210525</v>
      </c>
    </row>
    <row r="2085" spans="21:27" x14ac:dyDescent="0.25">
      <c r="U2085" s="37">
        <v>39565</v>
      </c>
      <c r="V2085" s="10">
        <v>10</v>
      </c>
      <c r="W2085" s="10">
        <v>2</v>
      </c>
      <c r="X2085" s="10">
        <v>9</v>
      </c>
      <c r="Y2085" s="11">
        <v>0.47619047619047616</v>
      </c>
      <c r="Z2085" s="11">
        <v>9.5238095238095233E-2</v>
      </c>
      <c r="AA2085" s="11">
        <v>0.42857142857142855</v>
      </c>
    </row>
    <row r="2086" spans="21:27" x14ac:dyDescent="0.25">
      <c r="U2086" s="37">
        <v>39569</v>
      </c>
      <c r="V2086" s="10">
        <v>3</v>
      </c>
      <c r="W2086" s="10">
        <v>0</v>
      </c>
      <c r="X2086" s="10">
        <v>4</v>
      </c>
      <c r="Y2086" s="11">
        <v>0.42857142857142855</v>
      </c>
      <c r="Z2086" s="11">
        <v>0</v>
      </c>
      <c r="AA2086" s="11">
        <v>0.5714285714285714</v>
      </c>
    </row>
    <row r="2087" spans="21:27" x14ac:dyDescent="0.25">
      <c r="U2087" s="37">
        <v>39572</v>
      </c>
      <c r="V2087" s="10">
        <v>3</v>
      </c>
      <c r="W2087" s="10">
        <v>5</v>
      </c>
      <c r="X2087" s="10">
        <v>11</v>
      </c>
      <c r="Y2087" s="11">
        <v>0.15789473684210525</v>
      </c>
      <c r="Z2087" s="11">
        <v>0.26315789473684209</v>
      </c>
      <c r="AA2087" s="11">
        <v>0.57894736842105265</v>
      </c>
    </row>
    <row r="2088" spans="21:27" x14ac:dyDescent="0.25">
      <c r="U2088" s="37">
        <v>39579</v>
      </c>
      <c r="V2088" s="10">
        <v>8</v>
      </c>
      <c r="W2088" s="10">
        <v>5</v>
      </c>
      <c r="X2088" s="10">
        <v>14</v>
      </c>
      <c r="Y2088" s="11">
        <v>0.29629629629629628</v>
      </c>
      <c r="Z2088" s="11">
        <v>0.18518518518518517</v>
      </c>
      <c r="AA2088" s="11">
        <v>0.51851851851851849</v>
      </c>
    </row>
    <row r="2089" spans="21:27" x14ac:dyDescent="0.25">
      <c r="U2089" s="37">
        <v>39586</v>
      </c>
      <c r="V2089" s="10">
        <v>7</v>
      </c>
      <c r="W2089" s="10">
        <v>7</v>
      </c>
      <c r="X2089" s="10">
        <v>23</v>
      </c>
      <c r="Y2089" s="11">
        <v>0.1891891891891892</v>
      </c>
      <c r="Z2089" s="11">
        <v>0.1891891891891892</v>
      </c>
      <c r="AA2089" s="11">
        <v>0.6216216216216216</v>
      </c>
    </row>
    <row r="2090" spans="21:27" x14ac:dyDescent="0.25">
      <c r="U2090" s="37">
        <v>39593</v>
      </c>
      <c r="V2090" s="10">
        <v>5</v>
      </c>
      <c r="W2090" s="10">
        <v>0</v>
      </c>
      <c r="X2090" s="10">
        <v>9</v>
      </c>
      <c r="Y2090" s="11">
        <v>0.35714285714285715</v>
      </c>
      <c r="Z2090" s="11">
        <v>0</v>
      </c>
      <c r="AA2090" s="11">
        <v>0.6428571428571429</v>
      </c>
    </row>
    <row r="2091" spans="21:27" x14ac:dyDescent="0.25">
      <c r="U2091" s="37">
        <v>39600</v>
      </c>
      <c r="V2091" s="10">
        <v>9</v>
      </c>
      <c r="W2091" s="10">
        <v>3</v>
      </c>
      <c r="X2091" s="10">
        <v>12</v>
      </c>
      <c r="Y2091" s="11">
        <v>0.375</v>
      </c>
      <c r="Z2091" s="11">
        <v>0.125</v>
      </c>
      <c r="AA2091" s="11">
        <v>0.5</v>
      </c>
    </row>
    <row r="2092" spans="21:27" x14ac:dyDescent="0.25">
      <c r="U2092" s="37">
        <v>39607</v>
      </c>
      <c r="V2092" s="10">
        <v>2</v>
      </c>
      <c r="W2092" s="10">
        <v>0</v>
      </c>
      <c r="X2092" s="10">
        <v>3</v>
      </c>
      <c r="Y2092" s="11">
        <v>0.4</v>
      </c>
      <c r="Z2092" s="11">
        <v>0</v>
      </c>
      <c r="AA2092" s="11">
        <v>0.6</v>
      </c>
    </row>
    <row r="2093" spans="21:27" x14ac:dyDescent="0.25">
      <c r="U2093" s="37">
        <v>39614</v>
      </c>
      <c r="V2093" s="10">
        <v>10</v>
      </c>
      <c r="W2093" s="10">
        <v>2</v>
      </c>
      <c r="X2093" s="10">
        <v>3</v>
      </c>
      <c r="Y2093" s="11">
        <v>0.66666666666666663</v>
      </c>
      <c r="Z2093" s="11">
        <v>0.13333333333333333</v>
      </c>
      <c r="AA2093" s="11">
        <v>0.2</v>
      </c>
    </row>
    <row r="2094" spans="21:27" x14ac:dyDescent="0.25">
      <c r="U2094" s="37">
        <v>39621</v>
      </c>
      <c r="V2094" s="10">
        <v>3</v>
      </c>
      <c r="W2094" s="10">
        <v>1</v>
      </c>
      <c r="X2094" s="10">
        <v>6</v>
      </c>
      <c r="Y2094" s="11">
        <v>0.3</v>
      </c>
      <c r="Z2094" s="11">
        <v>0.1</v>
      </c>
      <c r="AA2094" s="11">
        <v>0.6</v>
      </c>
    </row>
    <row r="2095" spans="21:27" x14ac:dyDescent="0.25">
      <c r="U2095" s="37">
        <v>39628</v>
      </c>
      <c r="V2095" s="10">
        <v>14</v>
      </c>
      <c r="W2095" s="10">
        <v>4</v>
      </c>
      <c r="X2095" s="10">
        <v>16</v>
      </c>
      <c r="Y2095" s="11">
        <v>0.41176470588235292</v>
      </c>
      <c r="Z2095" s="11">
        <v>0.11764705882352941</v>
      </c>
      <c r="AA2095" s="11">
        <v>0.47058823529411764</v>
      </c>
    </row>
    <row r="2096" spans="21:27" x14ac:dyDescent="0.25">
      <c r="U2096" s="37">
        <v>39635</v>
      </c>
      <c r="V2096" s="10">
        <v>2</v>
      </c>
      <c r="W2096" s="10">
        <v>1</v>
      </c>
      <c r="X2096" s="10">
        <v>9</v>
      </c>
      <c r="Y2096" s="11">
        <v>0.16666666666666666</v>
      </c>
      <c r="Z2096" s="11">
        <v>8.3333333333333329E-2</v>
      </c>
      <c r="AA2096" s="11">
        <v>0.75</v>
      </c>
    </row>
    <row r="2097" spans="21:27" x14ac:dyDescent="0.25">
      <c r="U2097" s="37">
        <v>39642</v>
      </c>
      <c r="V2097" s="10">
        <v>2</v>
      </c>
      <c r="W2097" s="10">
        <v>0</v>
      </c>
      <c r="X2097" s="10">
        <v>11</v>
      </c>
      <c r="Y2097" s="11">
        <v>0.15384615384615385</v>
      </c>
      <c r="Z2097" s="11">
        <v>0</v>
      </c>
      <c r="AA2097" s="11">
        <v>0.84615384615384615</v>
      </c>
    </row>
    <row r="2098" spans="21:27" x14ac:dyDescent="0.25">
      <c r="U2098" s="37">
        <v>39649</v>
      </c>
      <c r="V2098" s="10">
        <v>16</v>
      </c>
      <c r="W2098" s="10">
        <v>19</v>
      </c>
      <c r="X2098" s="10">
        <v>47</v>
      </c>
      <c r="Y2098" s="11">
        <v>0.1951219512195122</v>
      </c>
      <c r="Z2098" s="11">
        <v>0.23170731707317074</v>
      </c>
      <c r="AA2098" s="11">
        <v>0.57317073170731703</v>
      </c>
    </row>
    <row r="2099" spans="21:27" x14ac:dyDescent="0.25">
      <c r="U2099" s="37">
        <v>39656</v>
      </c>
      <c r="V2099" s="10">
        <v>5</v>
      </c>
      <c r="W2099" s="10">
        <v>6</v>
      </c>
      <c r="X2099" s="10">
        <v>10</v>
      </c>
      <c r="Y2099" s="11">
        <v>0.23809523809523808</v>
      </c>
      <c r="Z2099" s="11">
        <v>0.2857142857142857</v>
      </c>
      <c r="AA2099" s="11">
        <v>0.47619047619047616</v>
      </c>
    </row>
    <row r="2100" spans="21:27" x14ac:dyDescent="0.25">
      <c r="U2100" s="37">
        <v>39663</v>
      </c>
      <c r="V2100" s="10">
        <v>2</v>
      </c>
      <c r="W2100" s="10">
        <v>2</v>
      </c>
      <c r="X2100" s="10">
        <v>4</v>
      </c>
      <c r="Y2100" s="11">
        <v>0.25</v>
      </c>
      <c r="Z2100" s="11">
        <v>0.25</v>
      </c>
      <c r="AA2100" s="11">
        <v>0.5</v>
      </c>
    </row>
    <row r="2101" spans="21:27" x14ac:dyDescent="0.25">
      <c r="U2101" s="37">
        <v>39670</v>
      </c>
      <c r="V2101" s="10">
        <v>12</v>
      </c>
      <c r="W2101" s="10">
        <v>5</v>
      </c>
      <c r="X2101" s="10">
        <v>5</v>
      </c>
      <c r="Y2101" s="11">
        <v>0.54545454545454541</v>
      </c>
      <c r="Z2101" s="11">
        <v>0.22727272727272727</v>
      </c>
      <c r="AA2101" s="11">
        <v>0.22727272727272727</v>
      </c>
    </row>
    <row r="2102" spans="21:27" x14ac:dyDescent="0.25">
      <c r="U2102" s="37">
        <v>39675</v>
      </c>
      <c r="V2102" s="10">
        <v>3</v>
      </c>
      <c r="W2102" s="10">
        <v>4</v>
      </c>
      <c r="X2102" s="10">
        <v>10</v>
      </c>
      <c r="Y2102" s="11">
        <v>0.17647058823529413</v>
      </c>
      <c r="Z2102" s="11">
        <v>0.23529411764705882</v>
      </c>
      <c r="AA2102" s="11">
        <v>0.58823529411764708</v>
      </c>
    </row>
    <row r="2103" spans="21:27" x14ac:dyDescent="0.25">
      <c r="U2103" s="37">
        <v>39677</v>
      </c>
      <c r="V2103" s="10">
        <v>12</v>
      </c>
      <c r="W2103" s="10">
        <v>6</v>
      </c>
      <c r="X2103" s="10">
        <v>5</v>
      </c>
      <c r="Y2103" s="11">
        <v>0.52173913043478259</v>
      </c>
      <c r="Z2103" s="11">
        <v>0.2608695652173913</v>
      </c>
      <c r="AA2103" s="11">
        <v>0.21739130434782608</v>
      </c>
    </row>
    <row r="2104" spans="21:27" x14ac:dyDescent="0.25">
      <c r="U2104" s="37">
        <v>39684</v>
      </c>
      <c r="V2104" s="10">
        <v>14</v>
      </c>
      <c r="W2104" s="10">
        <v>13</v>
      </c>
      <c r="X2104" s="10">
        <v>10</v>
      </c>
      <c r="Y2104" s="11">
        <v>0.3783783783783784</v>
      </c>
      <c r="Z2104" s="11">
        <v>0.35135135135135137</v>
      </c>
      <c r="AA2104" s="11">
        <v>0.27027027027027029</v>
      </c>
    </row>
    <row r="2105" spans="21:27" x14ac:dyDescent="0.25">
      <c r="U2105" s="37">
        <v>39691</v>
      </c>
      <c r="V2105" s="10">
        <v>11</v>
      </c>
      <c r="W2105" s="10">
        <v>3</v>
      </c>
      <c r="X2105" s="10">
        <v>5</v>
      </c>
      <c r="Y2105" s="11">
        <v>0.57894736842105265</v>
      </c>
      <c r="Z2105" s="11">
        <v>0.15789473684210525</v>
      </c>
      <c r="AA2105" s="11">
        <v>0.26315789473684209</v>
      </c>
    </row>
    <row r="2106" spans="21:27" x14ac:dyDescent="0.25">
      <c r="U2106" s="37">
        <v>39698</v>
      </c>
      <c r="V2106" s="10">
        <v>7</v>
      </c>
      <c r="W2106" s="10">
        <v>1</v>
      </c>
      <c r="X2106" s="10">
        <v>5</v>
      </c>
      <c r="Y2106" s="11">
        <v>0.53846153846153844</v>
      </c>
      <c r="Z2106" s="11">
        <v>7.6923076923076927E-2</v>
      </c>
      <c r="AA2106" s="11">
        <v>0.38461538461538464</v>
      </c>
    </row>
    <row r="2107" spans="21:27" x14ac:dyDescent="0.25">
      <c r="U2107" s="37">
        <v>39704</v>
      </c>
      <c r="V2107" s="10">
        <v>8</v>
      </c>
      <c r="W2107" s="10">
        <v>10</v>
      </c>
      <c r="X2107" s="10">
        <v>27</v>
      </c>
      <c r="Y2107" s="11">
        <v>0.17777777777777778</v>
      </c>
      <c r="Z2107" s="11">
        <v>0.22222222222222221</v>
      </c>
      <c r="AA2107" s="11">
        <v>0.6</v>
      </c>
    </row>
    <row r="2108" spans="21:27" x14ac:dyDescent="0.25">
      <c r="U2108" s="37">
        <v>39705</v>
      </c>
      <c r="V2108" s="10">
        <v>6</v>
      </c>
      <c r="W2108" s="10">
        <v>12</v>
      </c>
      <c r="X2108" s="10">
        <v>24</v>
      </c>
      <c r="Y2108" s="11">
        <v>0.14285714285714285</v>
      </c>
      <c r="Z2108" s="11">
        <v>0.2857142857142857</v>
      </c>
      <c r="AA2108" s="11">
        <v>0.5714285714285714</v>
      </c>
    </row>
    <row r="2109" spans="21:27" x14ac:dyDescent="0.25">
      <c r="U2109" s="37">
        <v>39712</v>
      </c>
      <c r="V2109" s="10">
        <v>7</v>
      </c>
      <c r="W2109" s="10">
        <v>6</v>
      </c>
      <c r="X2109" s="10">
        <v>13</v>
      </c>
      <c r="Y2109" s="11">
        <v>0.26923076923076922</v>
      </c>
      <c r="Z2109" s="11">
        <v>0.23076923076923078</v>
      </c>
      <c r="AA2109" s="11">
        <v>0.5</v>
      </c>
    </row>
    <row r="2110" spans="21:27" x14ac:dyDescent="0.25">
      <c r="U2110" s="37">
        <v>39719</v>
      </c>
      <c r="V2110" s="10">
        <v>2</v>
      </c>
      <c r="W2110" s="10">
        <v>2</v>
      </c>
      <c r="X2110" s="10">
        <v>9</v>
      </c>
      <c r="Y2110" s="11">
        <v>0.15384615384615385</v>
      </c>
      <c r="Z2110" s="11">
        <v>0.15384615384615385</v>
      </c>
      <c r="AA2110" s="11">
        <v>0.69230769230769229</v>
      </c>
    </row>
    <row r="2111" spans="21:27" x14ac:dyDescent="0.25">
      <c r="U2111" s="37">
        <v>39726</v>
      </c>
      <c r="V2111" s="10">
        <v>1</v>
      </c>
      <c r="W2111" s="10">
        <v>4</v>
      </c>
      <c r="X2111" s="10">
        <v>9</v>
      </c>
      <c r="Y2111" s="11">
        <v>7.1428571428571425E-2</v>
      </c>
      <c r="Z2111" s="11">
        <v>0.2857142857142857</v>
      </c>
      <c r="AA2111" s="11">
        <v>0.6428571428571429</v>
      </c>
    </row>
    <row r="2112" spans="21:27" x14ac:dyDescent="0.25">
      <c r="U2112" s="37">
        <v>39733</v>
      </c>
      <c r="V2112" s="10">
        <v>4</v>
      </c>
      <c r="W2112" s="10">
        <v>4</v>
      </c>
      <c r="X2112" s="10">
        <v>9</v>
      </c>
      <c r="Y2112" s="11">
        <v>0.23529411764705882</v>
      </c>
      <c r="Z2112" s="11">
        <v>0.23529411764705882</v>
      </c>
      <c r="AA2112" s="11">
        <v>0.52941176470588236</v>
      </c>
    </row>
    <row r="2113" spans="21:27" x14ac:dyDescent="0.25">
      <c r="U2113" s="37">
        <v>39740</v>
      </c>
      <c r="V2113" s="10">
        <v>6</v>
      </c>
      <c r="W2113" s="10">
        <v>1</v>
      </c>
      <c r="X2113" s="10">
        <v>9</v>
      </c>
      <c r="Y2113" s="11">
        <v>0.375</v>
      </c>
      <c r="Z2113" s="11">
        <v>6.25E-2</v>
      </c>
      <c r="AA2113" s="11">
        <v>0.5625</v>
      </c>
    </row>
    <row r="2114" spans="21:27" x14ac:dyDescent="0.25">
      <c r="U2114" s="37">
        <v>39747</v>
      </c>
      <c r="V2114" s="10">
        <v>6</v>
      </c>
      <c r="W2114" s="10">
        <v>9</v>
      </c>
      <c r="X2114" s="10">
        <v>11</v>
      </c>
      <c r="Y2114" s="11">
        <v>0.23076923076923078</v>
      </c>
      <c r="Z2114" s="11">
        <v>0.34615384615384615</v>
      </c>
      <c r="AA2114" s="11">
        <v>0.42307692307692307</v>
      </c>
    </row>
    <row r="2115" spans="21:27" x14ac:dyDescent="0.25">
      <c r="U2115" s="37">
        <v>39753</v>
      </c>
      <c r="V2115" s="10">
        <v>3</v>
      </c>
      <c r="W2115" s="10">
        <v>4</v>
      </c>
      <c r="X2115" s="10">
        <v>15</v>
      </c>
      <c r="Y2115" s="11">
        <v>0.13636363636363635</v>
      </c>
      <c r="Z2115" s="11">
        <v>0.18181818181818182</v>
      </c>
      <c r="AA2115" s="11">
        <v>0.68181818181818177</v>
      </c>
    </row>
    <row r="2116" spans="21:27" x14ac:dyDescent="0.25">
      <c r="U2116" s="37">
        <v>39754</v>
      </c>
      <c r="V2116" s="10">
        <v>1</v>
      </c>
      <c r="W2116" s="10">
        <v>2</v>
      </c>
      <c r="X2116" s="10">
        <v>4</v>
      </c>
      <c r="Y2116" s="11">
        <v>0.14285714285714285</v>
      </c>
      <c r="Z2116" s="11">
        <v>0.2857142857142857</v>
      </c>
      <c r="AA2116" s="11">
        <v>0.5714285714285714</v>
      </c>
    </row>
    <row r="2117" spans="21:27" x14ac:dyDescent="0.25">
      <c r="U2117" s="37">
        <v>39761</v>
      </c>
      <c r="V2117" s="10">
        <v>6</v>
      </c>
      <c r="W2117" s="10">
        <v>8</v>
      </c>
      <c r="X2117" s="10">
        <v>24</v>
      </c>
      <c r="Y2117" s="11">
        <v>0.15789473684210525</v>
      </c>
      <c r="Z2117" s="11">
        <v>0.21052631578947367</v>
      </c>
      <c r="AA2117" s="11">
        <v>0.63157894736842102</v>
      </c>
    </row>
    <row r="2118" spans="21:27" x14ac:dyDescent="0.25">
      <c r="U2118" s="37">
        <v>39768</v>
      </c>
      <c r="V2118" s="10">
        <v>7</v>
      </c>
      <c r="W2118" s="10">
        <v>2</v>
      </c>
      <c r="X2118" s="10">
        <v>4</v>
      </c>
      <c r="Y2118" s="11">
        <v>0.53846153846153844</v>
      </c>
      <c r="Z2118" s="11">
        <v>0.15384615384615385</v>
      </c>
      <c r="AA2118" s="11">
        <v>0.30769230769230771</v>
      </c>
    </row>
    <row r="2119" spans="21:27" x14ac:dyDescent="0.25">
      <c r="U2119" s="37">
        <v>39775</v>
      </c>
      <c r="V2119" s="10">
        <v>15</v>
      </c>
      <c r="W2119" s="10">
        <v>3</v>
      </c>
      <c r="X2119" s="10">
        <v>19</v>
      </c>
      <c r="Y2119" s="11">
        <v>0.40540540540540543</v>
      </c>
      <c r="Z2119" s="11">
        <v>8.1081081081081086E-2</v>
      </c>
      <c r="AA2119" s="11">
        <v>0.51351351351351349</v>
      </c>
    </row>
    <row r="2120" spans="21:27" x14ac:dyDescent="0.25">
      <c r="U2120" s="37">
        <v>39782</v>
      </c>
      <c r="V2120" s="10">
        <v>4</v>
      </c>
      <c r="W2120" s="10">
        <v>5</v>
      </c>
      <c r="X2120" s="10">
        <v>5</v>
      </c>
      <c r="Y2120" s="11">
        <v>0.2857142857142857</v>
      </c>
      <c r="Z2120" s="11">
        <v>0.35714285714285715</v>
      </c>
      <c r="AA2120" s="11">
        <v>0.35714285714285715</v>
      </c>
    </row>
    <row r="2121" spans="21:27" x14ac:dyDescent="0.25">
      <c r="U2121" s="37">
        <v>39789</v>
      </c>
      <c r="V2121" s="10">
        <v>2</v>
      </c>
      <c r="W2121" s="10">
        <v>8</v>
      </c>
      <c r="X2121" s="10">
        <v>13</v>
      </c>
      <c r="Y2121" s="11">
        <v>8.6956521739130432E-2</v>
      </c>
      <c r="Z2121" s="11">
        <v>0.34782608695652173</v>
      </c>
      <c r="AA2121" s="11">
        <v>0.56521739130434778</v>
      </c>
    </row>
    <row r="2122" spans="21:27" x14ac:dyDescent="0.25">
      <c r="U2122" s="37">
        <v>39796</v>
      </c>
      <c r="V2122" s="10">
        <v>3</v>
      </c>
      <c r="W2122" s="10">
        <v>4</v>
      </c>
      <c r="X2122" s="10">
        <v>7</v>
      </c>
      <c r="Y2122" s="11">
        <v>0.21428571428571427</v>
      </c>
      <c r="Z2122" s="11">
        <v>0.2857142857142857</v>
      </c>
      <c r="AA2122" s="11">
        <v>0.5</v>
      </c>
    </row>
    <row r="2123" spans="21:27" x14ac:dyDescent="0.25">
      <c r="U2123" s="37">
        <v>39803</v>
      </c>
      <c r="V2123" s="10">
        <v>6</v>
      </c>
      <c r="W2123" s="10">
        <v>3</v>
      </c>
      <c r="X2123" s="10">
        <v>9</v>
      </c>
      <c r="Y2123" s="11">
        <v>0.33333333333333331</v>
      </c>
      <c r="Z2123" s="11">
        <v>0.16666666666666666</v>
      </c>
      <c r="AA2123" s="11">
        <v>0.5</v>
      </c>
    </row>
    <row r="2124" spans="21:27" x14ac:dyDescent="0.25">
      <c r="U2124" s="37">
        <v>39806</v>
      </c>
      <c r="V2124" s="10">
        <v>4</v>
      </c>
      <c r="W2124" s="10">
        <v>4</v>
      </c>
      <c r="X2124" s="10">
        <v>8</v>
      </c>
      <c r="Y2124" s="11">
        <v>0.25</v>
      </c>
      <c r="Z2124" s="11">
        <v>0.25</v>
      </c>
      <c r="AA2124" s="11">
        <v>0.5</v>
      </c>
    </row>
    <row r="2125" spans="21:27" x14ac:dyDescent="0.25">
      <c r="U2125" s="37">
        <v>39807</v>
      </c>
      <c r="V2125" s="10">
        <v>4</v>
      </c>
      <c r="W2125" s="10">
        <v>1</v>
      </c>
      <c r="X2125" s="10">
        <v>6</v>
      </c>
      <c r="Y2125" s="11">
        <v>0.36363636363636365</v>
      </c>
      <c r="Z2125" s="11">
        <v>9.0909090909090912E-2</v>
      </c>
      <c r="AA2125" s="11">
        <v>0.54545454545454541</v>
      </c>
    </row>
    <row r="2126" spans="21:27" x14ac:dyDescent="0.25">
      <c r="U2126" s="37">
        <v>39810</v>
      </c>
      <c r="V2126" s="10">
        <v>7</v>
      </c>
      <c r="W2126" s="10">
        <v>3</v>
      </c>
      <c r="X2126" s="10">
        <v>7</v>
      </c>
      <c r="Y2126" s="11">
        <v>0.41176470588235292</v>
      </c>
      <c r="Z2126" s="11">
        <v>0.17647058823529413</v>
      </c>
      <c r="AA2126" s="11">
        <v>0.41176470588235292</v>
      </c>
    </row>
    <row r="2127" spans="21:27" x14ac:dyDescent="0.25">
      <c r="U2127" s="37">
        <v>39817</v>
      </c>
      <c r="V2127" s="10">
        <v>3</v>
      </c>
      <c r="W2127" s="10">
        <v>0</v>
      </c>
      <c r="X2127" s="10">
        <v>3</v>
      </c>
      <c r="Y2127" s="11">
        <v>0.5</v>
      </c>
      <c r="Z2127" s="11">
        <v>0</v>
      </c>
      <c r="AA2127" s="11">
        <v>0.5</v>
      </c>
    </row>
    <row r="2128" spans="21:27" x14ac:dyDescent="0.25">
      <c r="U2128" s="37">
        <v>39824</v>
      </c>
      <c r="V2128" s="10">
        <v>5</v>
      </c>
      <c r="W2128" s="10">
        <v>2</v>
      </c>
      <c r="X2128" s="10">
        <v>12</v>
      </c>
      <c r="Y2128" s="11">
        <v>0.26315789473684209</v>
      </c>
      <c r="Z2128" s="11">
        <v>0.10526315789473684</v>
      </c>
      <c r="AA2128" s="11">
        <v>0.63157894736842102</v>
      </c>
    </row>
    <row r="2129" spans="21:27" x14ac:dyDescent="0.25">
      <c r="U2129" s="37">
        <v>39831</v>
      </c>
      <c r="V2129" s="10">
        <v>4</v>
      </c>
      <c r="W2129" s="10">
        <v>4</v>
      </c>
      <c r="X2129" s="10">
        <v>7</v>
      </c>
      <c r="Y2129" s="11">
        <v>0.26666666666666666</v>
      </c>
      <c r="Z2129" s="11">
        <v>0.26666666666666666</v>
      </c>
      <c r="AA2129" s="11">
        <v>0.46666666666666667</v>
      </c>
    </row>
    <row r="2130" spans="21:27" x14ac:dyDescent="0.25">
      <c r="U2130" s="37">
        <v>39838</v>
      </c>
      <c r="V2130" s="10">
        <v>15</v>
      </c>
      <c r="W2130" s="10">
        <v>1</v>
      </c>
      <c r="X2130" s="10">
        <v>15</v>
      </c>
      <c r="Y2130" s="11">
        <v>0.4838709677419355</v>
      </c>
      <c r="Z2130" s="11">
        <v>3.2258064516129031E-2</v>
      </c>
      <c r="AA2130" s="11">
        <v>0.4838709677419355</v>
      </c>
    </row>
    <row r="2131" spans="21:27" x14ac:dyDescent="0.25">
      <c r="U2131" s="37">
        <v>39845</v>
      </c>
      <c r="V2131" s="10">
        <v>8</v>
      </c>
      <c r="W2131" s="10">
        <v>3</v>
      </c>
      <c r="X2131" s="10">
        <v>4</v>
      </c>
      <c r="Y2131" s="11">
        <v>0.53333333333333333</v>
      </c>
      <c r="Z2131" s="11">
        <v>0.2</v>
      </c>
      <c r="AA2131" s="11">
        <v>0.26666666666666666</v>
      </c>
    </row>
    <row r="2132" spans="21:27" x14ac:dyDescent="0.25">
      <c r="U2132" s="37">
        <v>39852</v>
      </c>
      <c r="V2132" s="10">
        <v>6</v>
      </c>
      <c r="W2132" s="10">
        <v>1</v>
      </c>
      <c r="X2132" s="10">
        <v>10</v>
      </c>
      <c r="Y2132" s="11">
        <v>0.35294117647058826</v>
      </c>
      <c r="Z2132" s="11">
        <v>5.8823529411764705E-2</v>
      </c>
      <c r="AA2132" s="11">
        <v>0.58823529411764708</v>
      </c>
    </row>
    <row r="2133" spans="21:27" x14ac:dyDescent="0.25">
      <c r="U2133" s="37">
        <v>39859</v>
      </c>
      <c r="V2133" s="10">
        <v>9</v>
      </c>
      <c r="W2133" s="10">
        <v>8</v>
      </c>
      <c r="X2133" s="10">
        <v>3</v>
      </c>
      <c r="Y2133" s="11">
        <v>0.45</v>
      </c>
      <c r="Z2133" s="11">
        <v>0.4</v>
      </c>
      <c r="AA2133" s="11">
        <v>0.15</v>
      </c>
    </row>
    <row r="2134" spans="21:27" x14ac:dyDescent="0.25">
      <c r="U2134" s="37">
        <v>39866</v>
      </c>
      <c r="V2134" s="10">
        <v>2</v>
      </c>
      <c r="W2134" s="10">
        <v>3</v>
      </c>
      <c r="X2134" s="10">
        <v>4</v>
      </c>
      <c r="Y2134" s="11">
        <v>0.22222222222222221</v>
      </c>
      <c r="Z2134" s="11">
        <v>0.33333333333333331</v>
      </c>
      <c r="AA2134" s="11">
        <v>0.44444444444444442</v>
      </c>
    </row>
    <row r="2135" spans="21:27" x14ac:dyDescent="0.25">
      <c r="U2135" s="37">
        <v>39873</v>
      </c>
      <c r="V2135" s="10">
        <v>5</v>
      </c>
      <c r="W2135" s="10">
        <v>12</v>
      </c>
      <c r="X2135" s="10">
        <v>6</v>
      </c>
      <c r="Y2135" s="11">
        <v>0.21739130434782608</v>
      </c>
      <c r="Z2135" s="11">
        <v>0.52173913043478259</v>
      </c>
      <c r="AA2135" s="11">
        <v>0.2608695652173913</v>
      </c>
    </row>
    <row r="2136" spans="21:27" x14ac:dyDescent="0.25">
      <c r="U2136" s="37">
        <v>39880</v>
      </c>
      <c r="V2136" s="10">
        <v>2</v>
      </c>
      <c r="W2136" s="10">
        <v>4</v>
      </c>
      <c r="X2136" s="10">
        <v>4</v>
      </c>
      <c r="Y2136" s="11">
        <v>0.2</v>
      </c>
      <c r="Z2136" s="11">
        <v>0.4</v>
      </c>
      <c r="AA2136" s="11">
        <v>0.4</v>
      </c>
    </row>
    <row r="2137" spans="21:27" x14ac:dyDescent="0.25">
      <c r="U2137" s="37">
        <v>39887</v>
      </c>
      <c r="V2137" s="10">
        <v>3</v>
      </c>
      <c r="W2137" s="10">
        <v>5</v>
      </c>
      <c r="X2137" s="10">
        <v>8</v>
      </c>
      <c r="Y2137" s="11">
        <v>0.1875</v>
      </c>
      <c r="Z2137" s="11">
        <v>0.3125</v>
      </c>
      <c r="AA2137" s="11">
        <v>0.5</v>
      </c>
    </row>
    <row r="2138" spans="21:27" x14ac:dyDescent="0.25">
      <c r="U2138" s="37">
        <v>39894</v>
      </c>
      <c r="V2138" s="10">
        <v>7</v>
      </c>
      <c r="W2138" s="10">
        <v>1</v>
      </c>
      <c r="X2138" s="10">
        <v>14</v>
      </c>
      <c r="Y2138" s="11">
        <v>0.31818181818181818</v>
      </c>
      <c r="Z2138" s="11">
        <v>4.5454545454545456E-2</v>
      </c>
      <c r="AA2138" s="11">
        <v>0.63636363636363635</v>
      </c>
    </row>
    <row r="2139" spans="21:27" x14ac:dyDescent="0.25">
      <c r="U2139" s="37">
        <v>39901</v>
      </c>
      <c r="V2139" s="10">
        <v>8</v>
      </c>
      <c r="W2139" s="10">
        <v>2</v>
      </c>
      <c r="X2139" s="10">
        <v>5</v>
      </c>
      <c r="Y2139" s="11">
        <v>0.53333333333333333</v>
      </c>
      <c r="Z2139" s="11">
        <v>0.13333333333333333</v>
      </c>
      <c r="AA2139" s="11">
        <v>0.33333333333333331</v>
      </c>
    </row>
    <row r="2140" spans="21:27" x14ac:dyDescent="0.25">
      <c r="U2140" s="37">
        <v>39908</v>
      </c>
      <c r="V2140" s="10">
        <v>2</v>
      </c>
      <c r="W2140" s="10">
        <v>0</v>
      </c>
      <c r="X2140" s="10">
        <v>0</v>
      </c>
      <c r="Y2140" s="11">
        <v>1</v>
      </c>
      <c r="Z2140" s="11">
        <v>0</v>
      </c>
      <c r="AA2140" s="11">
        <v>0</v>
      </c>
    </row>
    <row r="2141" spans="21:27" x14ac:dyDescent="0.25">
      <c r="U2141" s="37">
        <v>39915</v>
      </c>
      <c r="V2141" s="10">
        <v>8</v>
      </c>
      <c r="W2141" s="10">
        <v>8</v>
      </c>
      <c r="X2141" s="10">
        <v>6</v>
      </c>
      <c r="Y2141" s="11">
        <v>0.36363636363636365</v>
      </c>
      <c r="Z2141" s="11">
        <v>0.36363636363636365</v>
      </c>
      <c r="AA2141" s="11">
        <v>0.27272727272727271</v>
      </c>
    </row>
    <row r="2142" spans="21:27" x14ac:dyDescent="0.25">
      <c r="U2142" s="37">
        <v>39922</v>
      </c>
      <c r="V2142" s="10">
        <v>2</v>
      </c>
      <c r="W2142" s="10">
        <v>5</v>
      </c>
      <c r="X2142" s="10">
        <v>12</v>
      </c>
      <c r="Y2142" s="11">
        <v>0.10526315789473684</v>
      </c>
      <c r="Z2142" s="11">
        <v>0.26315789473684209</v>
      </c>
      <c r="AA2142" s="11">
        <v>0.63157894736842102</v>
      </c>
    </row>
    <row r="2143" spans="21:27" x14ac:dyDescent="0.25">
      <c r="U2143" s="37">
        <v>39929</v>
      </c>
      <c r="V2143" s="10">
        <v>2</v>
      </c>
      <c r="W2143" s="10">
        <v>2</v>
      </c>
      <c r="X2143" s="10">
        <v>6</v>
      </c>
      <c r="Y2143" s="11">
        <v>0.2</v>
      </c>
      <c r="Z2143" s="11">
        <v>0.2</v>
      </c>
      <c r="AA2143" s="11">
        <v>0.6</v>
      </c>
    </row>
    <row r="2144" spans="21:27" x14ac:dyDescent="0.25">
      <c r="U2144" s="37">
        <v>39936</v>
      </c>
      <c r="V2144" s="10">
        <v>27</v>
      </c>
      <c r="W2144" s="10">
        <v>4</v>
      </c>
      <c r="X2144" s="10">
        <v>10</v>
      </c>
      <c r="Y2144" s="11">
        <v>0.65853658536585369</v>
      </c>
      <c r="Z2144" s="11">
        <v>9.7560975609756101E-2</v>
      </c>
      <c r="AA2144" s="11">
        <v>0.24390243902439024</v>
      </c>
    </row>
    <row r="2145" spans="21:27" x14ac:dyDescent="0.25">
      <c r="U2145" s="37">
        <v>39943</v>
      </c>
      <c r="V2145" s="10">
        <v>7</v>
      </c>
      <c r="W2145" s="10">
        <v>8</v>
      </c>
      <c r="X2145" s="10">
        <v>20</v>
      </c>
      <c r="Y2145" s="11">
        <v>0.2</v>
      </c>
      <c r="Z2145" s="11">
        <v>0.22857142857142856</v>
      </c>
      <c r="AA2145" s="11">
        <v>0.5714285714285714</v>
      </c>
    </row>
    <row r="2146" spans="21:27" x14ac:dyDescent="0.25">
      <c r="U2146" s="37">
        <v>39950</v>
      </c>
      <c r="V2146" s="10">
        <v>7</v>
      </c>
      <c r="W2146" s="10">
        <v>10</v>
      </c>
      <c r="X2146" s="10">
        <v>4</v>
      </c>
      <c r="Y2146" s="11">
        <v>0.33333333333333331</v>
      </c>
      <c r="Z2146" s="11">
        <v>0.47619047619047616</v>
      </c>
      <c r="AA2146" s="11">
        <v>0.19047619047619047</v>
      </c>
    </row>
    <row r="2147" spans="21:27" x14ac:dyDescent="0.25">
      <c r="U2147" s="37">
        <v>39954</v>
      </c>
      <c r="V2147" s="10">
        <v>9</v>
      </c>
      <c r="W2147" s="10">
        <v>1</v>
      </c>
      <c r="X2147" s="10">
        <v>12</v>
      </c>
      <c r="Y2147" s="11">
        <v>0.40909090909090912</v>
      </c>
      <c r="Z2147" s="11">
        <v>4.5454545454545456E-2</v>
      </c>
      <c r="AA2147" s="11">
        <v>0.54545454545454541</v>
      </c>
    </row>
    <row r="2148" spans="21:27" x14ac:dyDescent="0.25">
      <c r="U2148" s="37">
        <v>39957</v>
      </c>
      <c r="V2148" s="10">
        <v>11</v>
      </c>
      <c r="W2148" s="10">
        <v>4</v>
      </c>
      <c r="X2148" s="10">
        <v>5</v>
      </c>
      <c r="Y2148" s="11">
        <v>0.55000000000000004</v>
      </c>
      <c r="Z2148" s="11">
        <v>0.2</v>
      </c>
      <c r="AA2148" s="11">
        <v>0.25</v>
      </c>
    </row>
    <row r="2149" spans="21:27" x14ac:dyDescent="0.25">
      <c r="U2149" s="37">
        <v>39964</v>
      </c>
      <c r="V2149" s="10">
        <v>11</v>
      </c>
      <c r="W2149" s="10">
        <v>10</v>
      </c>
      <c r="X2149" s="10">
        <v>18</v>
      </c>
      <c r="Y2149" s="11">
        <v>0.28205128205128205</v>
      </c>
      <c r="Z2149" s="11">
        <v>0.25641025641025639</v>
      </c>
      <c r="AA2149" s="11">
        <v>0.46153846153846156</v>
      </c>
    </row>
    <row r="2150" spans="21:27" x14ac:dyDescent="0.25">
      <c r="U2150" s="37">
        <v>39971</v>
      </c>
      <c r="V2150" s="10">
        <v>7</v>
      </c>
      <c r="W2150" s="10">
        <v>7</v>
      </c>
      <c r="X2150" s="10">
        <v>13</v>
      </c>
      <c r="Y2150" s="11">
        <v>0.25925925925925924</v>
      </c>
      <c r="Z2150" s="11">
        <v>0.25925925925925924</v>
      </c>
      <c r="AA2150" s="11">
        <v>0.48148148148148145</v>
      </c>
    </row>
    <row r="2151" spans="21:27" x14ac:dyDescent="0.25">
      <c r="U2151" s="37">
        <v>39978</v>
      </c>
      <c r="V2151" s="10">
        <v>7</v>
      </c>
      <c r="W2151" s="10">
        <v>6</v>
      </c>
      <c r="X2151" s="10">
        <v>17</v>
      </c>
      <c r="Y2151" s="11">
        <v>0.23333333333333334</v>
      </c>
      <c r="Z2151" s="11">
        <v>0.2</v>
      </c>
      <c r="AA2151" s="11">
        <v>0.56666666666666665</v>
      </c>
    </row>
    <row r="2152" spans="21:27" x14ac:dyDescent="0.25">
      <c r="U2152" s="37">
        <v>39985</v>
      </c>
      <c r="V2152" s="10">
        <v>7</v>
      </c>
      <c r="W2152" s="10">
        <v>5</v>
      </c>
      <c r="X2152" s="10">
        <v>8</v>
      </c>
      <c r="Y2152" s="11">
        <v>0.35</v>
      </c>
      <c r="Z2152" s="11">
        <v>0.25</v>
      </c>
      <c r="AA2152" s="11">
        <v>0.4</v>
      </c>
    </row>
    <row r="2153" spans="21:27" x14ac:dyDescent="0.25">
      <c r="U2153" s="37">
        <v>39992</v>
      </c>
      <c r="V2153" s="10">
        <v>9</v>
      </c>
      <c r="W2153" s="10">
        <v>7</v>
      </c>
      <c r="X2153" s="10">
        <v>4</v>
      </c>
      <c r="Y2153" s="11">
        <v>0.45</v>
      </c>
      <c r="Z2153" s="11">
        <v>0.35</v>
      </c>
      <c r="AA2153" s="11">
        <v>0.2</v>
      </c>
    </row>
    <row r="2154" spans="21:27" x14ac:dyDescent="0.25">
      <c r="U2154" s="37">
        <v>40003</v>
      </c>
      <c r="V2154" s="10">
        <v>6</v>
      </c>
      <c r="W2154" s="10">
        <v>4</v>
      </c>
      <c r="X2154" s="10">
        <v>2</v>
      </c>
      <c r="Y2154" s="11">
        <v>0.5</v>
      </c>
      <c r="Z2154" s="11">
        <v>0.33333333333333331</v>
      </c>
      <c r="AA2154" s="11">
        <v>0.16666666666666666</v>
      </c>
    </row>
    <row r="2155" spans="21:27" x14ac:dyDescent="0.25">
      <c r="U2155" s="37">
        <v>40006</v>
      </c>
      <c r="V2155" s="10">
        <v>3</v>
      </c>
      <c r="W2155" s="10">
        <v>1</v>
      </c>
      <c r="X2155" s="10">
        <v>2</v>
      </c>
      <c r="Y2155" s="11">
        <v>0.5</v>
      </c>
      <c r="Z2155" s="11">
        <v>0.16666666666666666</v>
      </c>
      <c r="AA2155" s="11">
        <v>0.33333333333333331</v>
      </c>
    </row>
    <row r="2156" spans="21:27" x14ac:dyDescent="0.25">
      <c r="U2156" s="37">
        <v>40013</v>
      </c>
      <c r="V2156" s="10">
        <v>12</v>
      </c>
      <c r="W2156" s="10">
        <v>5</v>
      </c>
      <c r="X2156" s="10">
        <v>11</v>
      </c>
      <c r="Y2156" s="11">
        <v>0.42857142857142855</v>
      </c>
      <c r="Z2156" s="11">
        <v>0.17857142857142858</v>
      </c>
      <c r="AA2156" s="11">
        <v>0.39285714285714285</v>
      </c>
    </row>
    <row r="2157" spans="21:27" x14ac:dyDescent="0.25">
      <c r="U2157" s="37">
        <v>40020</v>
      </c>
      <c r="V2157" s="10">
        <v>3</v>
      </c>
      <c r="W2157" s="10">
        <v>11</v>
      </c>
      <c r="X2157" s="10">
        <v>6</v>
      </c>
      <c r="Y2157" s="11">
        <v>0.15</v>
      </c>
      <c r="Z2157" s="11">
        <v>0.55000000000000004</v>
      </c>
      <c r="AA2157" s="11">
        <v>0.3</v>
      </c>
    </row>
    <row r="2158" spans="21:27" x14ac:dyDescent="0.25">
      <c r="U2158" s="37">
        <v>40027</v>
      </c>
      <c r="V2158" s="10">
        <v>4</v>
      </c>
      <c r="W2158" s="10">
        <v>2</v>
      </c>
      <c r="X2158" s="10">
        <v>2</v>
      </c>
      <c r="Y2158" s="11">
        <v>0.5</v>
      </c>
      <c r="Z2158" s="11">
        <v>0.25</v>
      </c>
      <c r="AA2158" s="11">
        <v>0.25</v>
      </c>
    </row>
    <row r="2159" spans="21:27" x14ac:dyDescent="0.25">
      <c r="U2159" s="37">
        <v>40034</v>
      </c>
      <c r="V2159" s="10">
        <v>1</v>
      </c>
      <c r="W2159" s="10">
        <v>1</v>
      </c>
      <c r="X2159" s="10">
        <v>6</v>
      </c>
      <c r="Y2159" s="11">
        <v>0.125</v>
      </c>
      <c r="Z2159" s="11">
        <v>0.125</v>
      </c>
      <c r="AA2159" s="11">
        <v>0.75</v>
      </c>
    </row>
    <row r="2160" spans="21:27" x14ac:dyDescent="0.25">
      <c r="U2160" s="37">
        <v>40040</v>
      </c>
      <c r="V2160" s="10">
        <v>5</v>
      </c>
      <c r="W2160" s="10">
        <v>4</v>
      </c>
      <c r="X2160" s="10">
        <v>4</v>
      </c>
      <c r="Y2160" s="11">
        <v>0.38461538461538464</v>
      </c>
      <c r="Z2160" s="11">
        <v>0.30769230769230771</v>
      </c>
      <c r="AA2160" s="11">
        <v>0.30769230769230771</v>
      </c>
    </row>
    <row r="2161" spans="21:27" x14ac:dyDescent="0.25">
      <c r="U2161" s="37">
        <v>40041</v>
      </c>
      <c r="V2161" s="10">
        <v>7</v>
      </c>
      <c r="W2161" s="10">
        <v>4</v>
      </c>
      <c r="X2161" s="10">
        <v>4</v>
      </c>
      <c r="Y2161" s="11">
        <v>0.46666666666666667</v>
      </c>
      <c r="Z2161" s="11">
        <v>0.26666666666666666</v>
      </c>
      <c r="AA2161" s="11">
        <v>0.26666666666666666</v>
      </c>
    </row>
    <row r="2162" spans="21:27" x14ac:dyDescent="0.25">
      <c r="U2162" s="37">
        <v>40048</v>
      </c>
      <c r="V2162" s="10">
        <v>8</v>
      </c>
      <c r="W2162" s="10">
        <v>2</v>
      </c>
      <c r="X2162" s="10">
        <v>13</v>
      </c>
      <c r="Y2162" s="11">
        <v>0.34782608695652173</v>
      </c>
      <c r="Z2162" s="11">
        <v>8.6956521739130432E-2</v>
      </c>
      <c r="AA2162" s="11">
        <v>0.56521739130434778</v>
      </c>
    </row>
    <row r="2163" spans="21:27" x14ac:dyDescent="0.25">
      <c r="U2163" s="37">
        <v>40055</v>
      </c>
      <c r="V2163" s="10">
        <v>9</v>
      </c>
      <c r="W2163" s="10">
        <v>1</v>
      </c>
      <c r="X2163" s="10">
        <v>9</v>
      </c>
      <c r="Y2163" s="11">
        <v>0.47368421052631576</v>
      </c>
      <c r="Z2163" s="11">
        <v>5.2631578947368418E-2</v>
      </c>
      <c r="AA2163" s="11">
        <v>0.47368421052631576</v>
      </c>
    </row>
    <row r="2164" spans="21:27" x14ac:dyDescent="0.25">
      <c r="U2164" s="37">
        <v>40062</v>
      </c>
      <c r="V2164" s="10">
        <v>13</v>
      </c>
      <c r="W2164" s="10">
        <v>2</v>
      </c>
      <c r="X2164" s="10">
        <v>3</v>
      </c>
      <c r="Y2164" s="11">
        <v>0.72222222222222221</v>
      </c>
      <c r="Z2164" s="11">
        <v>0.1111111111111111</v>
      </c>
      <c r="AA2164" s="11">
        <v>0.16666666666666666</v>
      </c>
    </row>
    <row r="2165" spans="21:27" x14ac:dyDescent="0.25">
      <c r="U2165" s="37">
        <v>40069</v>
      </c>
      <c r="V2165" s="10">
        <v>6</v>
      </c>
      <c r="W2165" s="10">
        <v>6</v>
      </c>
      <c r="X2165" s="10">
        <v>7</v>
      </c>
      <c r="Y2165" s="11">
        <v>0.31578947368421051</v>
      </c>
      <c r="Z2165" s="11">
        <v>0.31578947368421051</v>
      </c>
      <c r="AA2165" s="11">
        <v>0.36842105263157893</v>
      </c>
    </row>
    <row r="2166" spans="21:27" x14ac:dyDescent="0.25">
      <c r="U2166" s="37">
        <v>40076</v>
      </c>
      <c r="V2166" s="10">
        <v>6</v>
      </c>
      <c r="W2166" s="10">
        <v>1</v>
      </c>
      <c r="X2166" s="10">
        <v>6</v>
      </c>
      <c r="Y2166" s="11">
        <v>0.46153846153846156</v>
      </c>
      <c r="Z2166" s="11">
        <v>7.6923076923076927E-2</v>
      </c>
      <c r="AA2166" s="11">
        <v>0.46153846153846156</v>
      </c>
    </row>
    <row r="2167" spans="21:27" x14ac:dyDescent="0.25">
      <c r="U2167" s="37">
        <v>40083</v>
      </c>
      <c r="V2167" s="10">
        <v>8</v>
      </c>
      <c r="W2167" s="10">
        <v>5</v>
      </c>
      <c r="X2167" s="10">
        <v>14</v>
      </c>
      <c r="Y2167" s="11">
        <v>0.29629629629629628</v>
      </c>
      <c r="Z2167" s="11">
        <v>0.18518518518518517</v>
      </c>
      <c r="AA2167" s="11">
        <v>0.51851851851851849</v>
      </c>
    </row>
    <row r="2168" spans="21:27" x14ac:dyDescent="0.25">
      <c r="U2168" s="37">
        <v>40090</v>
      </c>
      <c r="V2168" s="10">
        <v>10</v>
      </c>
      <c r="W2168" s="10">
        <v>5</v>
      </c>
      <c r="X2168" s="10">
        <v>4</v>
      </c>
      <c r="Y2168" s="11">
        <v>0.52631578947368418</v>
      </c>
      <c r="Z2168" s="11">
        <v>0.26315789473684209</v>
      </c>
      <c r="AA2168" s="11">
        <v>0.21052631578947367</v>
      </c>
    </row>
    <row r="2169" spans="21:27" x14ac:dyDescent="0.25">
      <c r="U2169" s="37">
        <v>40097</v>
      </c>
      <c r="V2169" s="10">
        <v>5</v>
      </c>
      <c r="W2169" s="10">
        <v>4</v>
      </c>
      <c r="X2169" s="10">
        <v>5</v>
      </c>
      <c r="Y2169" s="11">
        <v>0.35714285714285715</v>
      </c>
      <c r="Z2169" s="11">
        <v>0.2857142857142857</v>
      </c>
      <c r="AA2169" s="11">
        <v>0.35714285714285715</v>
      </c>
    </row>
    <row r="2170" spans="21:27" x14ac:dyDescent="0.25">
      <c r="U2170" s="37">
        <v>40104</v>
      </c>
      <c r="V2170" s="10">
        <v>0</v>
      </c>
      <c r="W2170" s="10">
        <v>4</v>
      </c>
      <c r="X2170" s="10">
        <v>11</v>
      </c>
      <c r="Y2170" s="11">
        <v>0</v>
      </c>
      <c r="Z2170" s="11">
        <v>0.26666666666666666</v>
      </c>
      <c r="AA2170" s="11">
        <v>0.73333333333333328</v>
      </c>
    </row>
    <row r="2171" spans="21:27" x14ac:dyDescent="0.25">
      <c r="U2171" s="37">
        <v>40111</v>
      </c>
      <c r="V2171" s="10">
        <v>8</v>
      </c>
      <c r="W2171" s="10">
        <v>3</v>
      </c>
      <c r="X2171" s="10">
        <v>9</v>
      </c>
      <c r="Y2171" s="11">
        <v>0.4</v>
      </c>
      <c r="Z2171" s="11">
        <v>0.15</v>
      </c>
      <c r="AA2171" s="11">
        <v>0.45</v>
      </c>
    </row>
    <row r="2172" spans="21:27" x14ac:dyDescent="0.25">
      <c r="U2172" s="37">
        <v>40118</v>
      </c>
      <c r="V2172" s="10">
        <v>1</v>
      </c>
      <c r="W2172" s="10">
        <v>1</v>
      </c>
      <c r="X2172" s="10">
        <v>3</v>
      </c>
      <c r="Y2172" s="11">
        <v>0.2</v>
      </c>
      <c r="Z2172" s="11">
        <v>0.2</v>
      </c>
      <c r="AA2172" s="11">
        <v>0.6</v>
      </c>
    </row>
    <row r="2173" spans="21:27" x14ac:dyDescent="0.25">
      <c r="U2173" s="37">
        <v>40125</v>
      </c>
      <c r="V2173" s="10">
        <v>6</v>
      </c>
      <c r="W2173" s="10">
        <v>6</v>
      </c>
      <c r="X2173" s="10">
        <v>8</v>
      </c>
      <c r="Y2173" s="11">
        <v>0.3</v>
      </c>
      <c r="Z2173" s="11">
        <v>0.3</v>
      </c>
      <c r="AA2173" s="11">
        <v>0.4</v>
      </c>
    </row>
    <row r="2174" spans="21:27" x14ac:dyDescent="0.25">
      <c r="U2174" s="37">
        <v>40132</v>
      </c>
      <c r="V2174" s="10">
        <v>9</v>
      </c>
      <c r="W2174" s="10">
        <v>2</v>
      </c>
      <c r="X2174" s="10">
        <v>3</v>
      </c>
      <c r="Y2174" s="11">
        <v>0.6428571428571429</v>
      </c>
      <c r="Z2174" s="11">
        <v>0.14285714285714285</v>
      </c>
      <c r="AA2174" s="11">
        <v>0.21428571428571427</v>
      </c>
    </row>
    <row r="2175" spans="21:27" x14ac:dyDescent="0.25">
      <c r="U2175" s="37">
        <v>40139</v>
      </c>
      <c r="V2175" s="10">
        <v>6</v>
      </c>
      <c r="W2175" s="10">
        <v>6</v>
      </c>
      <c r="X2175" s="10">
        <v>10</v>
      </c>
      <c r="Y2175" s="11">
        <v>0.27272727272727271</v>
      </c>
      <c r="Z2175" s="11">
        <v>0.27272727272727271</v>
      </c>
      <c r="AA2175" s="11">
        <v>0.45454545454545453</v>
      </c>
    </row>
    <row r="2176" spans="21:27" x14ac:dyDescent="0.25">
      <c r="U2176" s="37">
        <v>40146</v>
      </c>
      <c r="V2176" s="10">
        <v>3</v>
      </c>
      <c r="W2176" s="10">
        <v>1</v>
      </c>
      <c r="X2176" s="10">
        <v>3</v>
      </c>
      <c r="Y2176" s="11">
        <v>0.42857142857142855</v>
      </c>
      <c r="Z2176" s="11">
        <v>0.14285714285714285</v>
      </c>
      <c r="AA2176" s="11">
        <v>0.42857142857142855</v>
      </c>
    </row>
    <row r="2177" spans="21:27" x14ac:dyDescent="0.25">
      <c r="U2177" s="37">
        <v>40153</v>
      </c>
      <c r="V2177" s="10">
        <v>0</v>
      </c>
      <c r="W2177" s="10">
        <v>2</v>
      </c>
      <c r="X2177" s="10">
        <v>7</v>
      </c>
      <c r="Y2177" s="11">
        <v>0</v>
      </c>
      <c r="Z2177" s="11">
        <v>0.22222222222222221</v>
      </c>
      <c r="AA2177" s="11">
        <v>0.77777777777777779</v>
      </c>
    </row>
    <row r="2178" spans="21:27" x14ac:dyDescent="0.25">
      <c r="U2178" s="37">
        <v>40160</v>
      </c>
      <c r="V2178" s="10">
        <v>1</v>
      </c>
      <c r="W2178" s="10">
        <v>3</v>
      </c>
      <c r="X2178" s="10">
        <v>10</v>
      </c>
      <c r="Y2178" s="11">
        <v>7.1428571428571425E-2</v>
      </c>
      <c r="Z2178" s="11">
        <v>0.21428571428571427</v>
      </c>
      <c r="AA2178" s="11">
        <v>0.7142857142857143</v>
      </c>
    </row>
    <row r="2179" spans="21:27" x14ac:dyDescent="0.25">
      <c r="U2179" s="37">
        <v>40167</v>
      </c>
      <c r="V2179" s="10">
        <v>2</v>
      </c>
      <c r="W2179" s="10">
        <v>5</v>
      </c>
      <c r="X2179" s="10">
        <v>15</v>
      </c>
      <c r="Y2179" s="11">
        <v>9.0909090909090912E-2</v>
      </c>
      <c r="Z2179" s="11">
        <v>0.22727272727272727</v>
      </c>
      <c r="AA2179" s="11">
        <v>0.68181818181818177</v>
      </c>
    </row>
    <row r="2180" spans="21:27" x14ac:dyDescent="0.25">
      <c r="U2180" s="37">
        <v>40171</v>
      </c>
      <c r="V2180" s="10">
        <v>26</v>
      </c>
      <c r="W2180" s="10">
        <v>7</v>
      </c>
      <c r="X2180" s="10">
        <v>23</v>
      </c>
      <c r="Y2180" s="11">
        <v>0.4642857142857143</v>
      </c>
      <c r="Z2180" s="11">
        <v>0.125</v>
      </c>
      <c r="AA2180" s="11">
        <v>0.4107142857142857</v>
      </c>
    </row>
    <row r="2181" spans="21:27" x14ac:dyDescent="0.25">
      <c r="U2181" s="37">
        <v>40172</v>
      </c>
      <c r="V2181" s="10">
        <v>18</v>
      </c>
      <c r="W2181" s="10">
        <v>12</v>
      </c>
      <c r="X2181" s="10">
        <v>12</v>
      </c>
      <c r="Y2181" s="11">
        <v>0.42857142857142855</v>
      </c>
      <c r="Z2181" s="11">
        <v>0.2857142857142857</v>
      </c>
      <c r="AA2181" s="11">
        <v>0.2857142857142857</v>
      </c>
    </row>
    <row r="2182" spans="21:27" x14ac:dyDescent="0.25">
      <c r="U2182" s="37">
        <v>40174</v>
      </c>
      <c r="V2182" s="10">
        <v>2</v>
      </c>
      <c r="W2182" s="10">
        <v>1</v>
      </c>
      <c r="X2182" s="10">
        <v>4</v>
      </c>
      <c r="Y2182" s="11">
        <v>0.2857142857142857</v>
      </c>
      <c r="Z2182" s="11">
        <v>0.14285714285714285</v>
      </c>
      <c r="AA2182" s="11">
        <v>0.5714285714285714</v>
      </c>
    </row>
    <row r="2183" spans="21:27" x14ac:dyDescent="0.25">
      <c r="U2183" s="37">
        <v>40181</v>
      </c>
      <c r="V2183" s="10">
        <v>2</v>
      </c>
      <c r="W2183" s="10">
        <v>3</v>
      </c>
      <c r="X2183" s="10">
        <v>8</v>
      </c>
      <c r="Y2183" s="11">
        <v>0.15384615384615385</v>
      </c>
      <c r="Z2183" s="11">
        <v>0.23076923076923078</v>
      </c>
      <c r="AA2183" s="11">
        <v>0.61538461538461542</v>
      </c>
    </row>
    <row r="2184" spans="21:27" x14ac:dyDescent="0.25">
      <c r="U2184" s="37">
        <v>40188</v>
      </c>
      <c r="V2184" s="10">
        <v>7</v>
      </c>
      <c r="W2184" s="10">
        <v>4</v>
      </c>
      <c r="X2184" s="10">
        <v>10</v>
      </c>
      <c r="Y2184" s="11">
        <v>0.33333333333333331</v>
      </c>
      <c r="Z2184" s="11">
        <v>0.19047619047619047</v>
      </c>
      <c r="AA2184" s="11">
        <v>0.47619047619047616</v>
      </c>
    </row>
    <row r="2185" spans="21:27" x14ac:dyDescent="0.25">
      <c r="U2185" s="37">
        <v>40195</v>
      </c>
      <c r="V2185" s="10">
        <v>12</v>
      </c>
      <c r="W2185" s="10">
        <v>2</v>
      </c>
      <c r="X2185" s="10">
        <v>8</v>
      </c>
      <c r="Y2185" s="11">
        <v>0.54545454545454541</v>
      </c>
      <c r="Z2185" s="11">
        <v>9.0909090909090912E-2</v>
      </c>
      <c r="AA2185" s="11">
        <v>0.36363636363636365</v>
      </c>
    </row>
    <row r="2186" spans="21:27" x14ac:dyDescent="0.25">
      <c r="U2186" s="37">
        <v>40202</v>
      </c>
      <c r="V2186" s="10">
        <v>10</v>
      </c>
      <c r="W2186" s="10">
        <v>9</v>
      </c>
      <c r="X2186" s="10">
        <v>17</v>
      </c>
      <c r="Y2186" s="11">
        <v>0.27777777777777779</v>
      </c>
      <c r="Z2186" s="11">
        <v>0.25</v>
      </c>
      <c r="AA2186" s="11">
        <v>0.47222222222222221</v>
      </c>
    </row>
    <row r="2187" spans="21:27" x14ac:dyDescent="0.25">
      <c r="U2187" s="37">
        <v>40209</v>
      </c>
      <c r="V2187" s="10">
        <v>5</v>
      </c>
      <c r="W2187" s="10">
        <v>2</v>
      </c>
      <c r="X2187" s="10">
        <v>7</v>
      </c>
      <c r="Y2187" s="11">
        <v>0.35714285714285715</v>
      </c>
      <c r="Z2187" s="11">
        <v>0.14285714285714285</v>
      </c>
      <c r="AA2187" s="11">
        <v>0.5</v>
      </c>
    </row>
    <row r="2188" spans="21:27" x14ac:dyDescent="0.25">
      <c r="U2188" s="37">
        <v>40216</v>
      </c>
      <c r="V2188" s="10">
        <v>10</v>
      </c>
      <c r="W2188" s="10">
        <v>6</v>
      </c>
      <c r="X2188" s="10">
        <v>16</v>
      </c>
      <c r="Y2188" s="11">
        <v>0.3125</v>
      </c>
      <c r="Z2188" s="11">
        <v>0.1875</v>
      </c>
      <c r="AA2188" s="11">
        <v>0.5</v>
      </c>
    </row>
    <row r="2189" spans="21:27" x14ac:dyDescent="0.25">
      <c r="U2189" s="37">
        <v>40223</v>
      </c>
      <c r="V2189" s="10">
        <v>2</v>
      </c>
      <c r="W2189" s="10">
        <v>1</v>
      </c>
      <c r="X2189" s="10">
        <v>10</v>
      </c>
      <c r="Y2189" s="11">
        <v>0.15384615384615385</v>
      </c>
      <c r="Z2189" s="11">
        <v>7.6923076923076927E-2</v>
      </c>
      <c r="AA2189" s="11">
        <v>0.76923076923076927</v>
      </c>
    </row>
    <row r="2190" spans="21:27" x14ac:dyDescent="0.25">
      <c r="U2190" s="37">
        <v>40230</v>
      </c>
      <c r="V2190" s="10">
        <v>6</v>
      </c>
      <c r="W2190" s="10">
        <v>2</v>
      </c>
      <c r="X2190" s="10">
        <v>4</v>
      </c>
      <c r="Y2190" s="11">
        <v>0.5</v>
      </c>
      <c r="Z2190" s="11">
        <v>0.16666666666666666</v>
      </c>
      <c r="AA2190" s="11">
        <v>0.33333333333333331</v>
      </c>
    </row>
    <row r="2191" spans="21:27" x14ac:dyDescent="0.25">
      <c r="U2191" s="37">
        <v>40237</v>
      </c>
      <c r="V2191" s="10">
        <v>3</v>
      </c>
      <c r="W2191" s="10">
        <v>0</v>
      </c>
      <c r="X2191" s="10">
        <v>7</v>
      </c>
      <c r="Y2191" s="11">
        <v>0.3</v>
      </c>
      <c r="Z2191" s="11">
        <v>0</v>
      </c>
      <c r="AA2191" s="11">
        <v>0.7</v>
      </c>
    </row>
    <row r="2192" spans="21:27" x14ac:dyDescent="0.25">
      <c r="U2192" s="37">
        <v>40244</v>
      </c>
      <c r="V2192" s="10">
        <v>8</v>
      </c>
      <c r="W2192" s="10">
        <v>2</v>
      </c>
      <c r="X2192" s="10">
        <v>3</v>
      </c>
      <c r="Y2192" s="11">
        <v>0.61538461538461542</v>
      </c>
      <c r="Z2192" s="11">
        <v>0.15384615384615385</v>
      </c>
      <c r="AA2192" s="11">
        <v>0.23076923076923078</v>
      </c>
    </row>
    <row r="2193" spans="21:27" x14ac:dyDescent="0.25">
      <c r="U2193" s="37">
        <v>40251</v>
      </c>
      <c r="V2193" s="10">
        <v>9</v>
      </c>
      <c r="W2193" s="10">
        <v>5</v>
      </c>
      <c r="X2193" s="10">
        <v>3</v>
      </c>
      <c r="Y2193" s="11">
        <v>0.52941176470588236</v>
      </c>
      <c r="Z2193" s="11">
        <v>0.29411764705882354</v>
      </c>
      <c r="AA2193" s="11">
        <v>0.17647058823529413</v>
      </c>
    </row>
    <row r="2194" spans="21:27" x14ac:dyDescent="0.25">
      <c r="U2194" s="37">
        <v>40258</v>
      </c>
      <c r="V2194" s="10">
        <v>5</v>
      </c>
      <c r="W2194" s="10">
        <v>1</v>
      </c>
      <c r="X2194" s="10">
        <v>2</v>
      </c>
      <c r="Y2194" s="11">
        <v>0.625</v>
      </c>
      <c r="Z2194" s="11">
        <v>0.125</v>
      </c>
      <c r="AA2194" s="11">
        <v>0.25</v>
      </c>
    </row>
    <row r="2195" spans="21:27" x14ac:dyDescent="0.25">
      <c r="U2195" s="37">
        <v>40265</v>
      </c>
      <c r="V2195" s="10">
        <v>3</v>
      </c>
      <c r="W2195" s="10">
        <v>2</v>
      </c>
      <c r="X2195" s="10">
        <v>3</v>
      </c>
      <c r="Y2195" s="11">
        <v>0.375</v>
      </c>
      <c r="Z2195" s="11">
        <v>0.25</v>
      </c>
      <c r="AA2195" s="11">
        <v>0.375</v>
      </c>
    </row>
    <row r="2196" spans="21:27" x14ac:dyDescent="0.25">
      <c r="U2196" s="37">
        <v>40272</v>
      </c>
      <c r="V2196" s="10">
        <v>3</v>
      </c>
      <c r="W2196" s="10">
        <v>6</v>
      </c>
      <c r="X2196" s="10">
        <v>18</v>
      </c>
      <c r="Y2196" s="11">
        <v>0.1111111111111111</v>
      </c>
      <c r="Z2196" s="11">
        <v>0.22222222222222221</v>
      </c>
      <c r="AA2196" s="11">
        <v>0.66666666666666663</v>
      </c>
    </row>
    <row r="2197" spans="21:27" x14ac:dyDescent="0.25">
      <c r="U2197" s="37">
        <v>40279</v>
      </c>
      <c r="V2197" s="10">
        <v>1</v>
      </c>
      <c r="W2197" s="10">
        <v>7</v>
      </c>
      <c r="X2197" s="10">
        <v>11</v>
      </c>
      <c r="Y2197" s="11">
        <v>5.2631578947368418E-2</v>
      </c>
      <c r="Z2197" s="11">
        <v>0.36842105263157893</v>
      </c>
      <c r="AA2197" s="11">
        <v>0.57894736842105265</v>
      </c>
    </row>
    <row r="2198" spans="21:27" x14ac:dyDescent="0.25">
      <c r="U2198" s="37">
        <v>40286</v>
      </c>
      <c r="V2198" s="10">
        <v>2</v>
      </c>
      <c r="W2198" s="10">
        <v>4</v>
      </c>
      <c r="X2198" s="10">
        <v>2</v>
      </c>
      <c r="Y2198" s="11">
        <v>0.25</v>
      </c>
      <c r="Z2198" s="11">
        <v>0.5</v>
      </c>
      <c r="AA2198" s="11">
        <v>0.25</v>
      </c>
    </row>
    <row r="2199" spans="21:27" x14ac:dyDescent="0.25">
      <c r="U2199" s="37">
        <v>40293</v>
      </c>
      <c r="V2199" s="10">
        <v>3</v>
      </c>
      <c r="W2199" s="10">
        <v>3</v>
      </c>
      <c r="X2199" s="10">
        <v>10</v>
      </c>
      <c r="Y2199" s="11">
        <v>0.1875</v>
      </c>
      <c r="Z2199" s="11">
        <v>0.1875</v>
      </c>
      <c r="AA2199" s="11">
        <v>0.625</v>
      </c>
    </row>
    <row r="2200" spans="21:27" x14ac:dyDescent="0.25">
      <c r="U2200" s="37">
        <v>40300</v>
      </c>
      <c r="V2200" s="10">
        <v>3</v>
      </c>
      <c r="W2200" s="10">
        <v>2</v>
      </c>
      <c r="X2200" s="10">
        <v>4</v>
      </c>
      <c r="Y2200" s="11">
        <v>0.33333333333333331</v>
      </c>
      <c r="Z2200" s="11">
        <v>0.22222222222222221</v>
      </c>
      <c r="AA2200" s="11">
        <v>0.44444444444444442</v>
      </c>
    </row>
    <row r="2201" spans="21:27" x14ac:dyDescent="0.25">
      <c r="U2201" s="37">
        <v>40307</v>
      </c>
      <c r="V2201" s="10">
        <v>20</v>
      </c>
      <c r="W2201" s="10">
        <v>5</v>
      </c>
      <c r="X2201" s="10">
        <v>17</v>
      </c>
      <c r="Y2201" s="11">
        <v>0.47619047619047616</v>
      </c>
      <c r="Z2201" s="11">
        <v>0.11904761904761904</v>
      </c>
      <c r="AA2201" s="11">
        <v>0.40476190476190477</v>
      </c>
    </row>
    <row r="2202" spans="21:27" x14ac:dyDescent="0.25">
      <c r="U2202" s="37">
        <v>40311</v>
      </c>
      <c r="V2202" s="10">
        <v>12</v>
      </c>
      <c r="W2202" s="10">
        <v>8</v>
      </c>
      <c r="X2202" s="10">
        <v>10</v>
      </c>
      <c r="Y2202" s="11">
        <v>0.4</v>
      </c>
      <c r="Z2202" s="11">
        <v>0.26666666666666666</v>
      </c>
      <c r="AA2202" s="11">
        <v>0.33333333333333331</v>
      </c>
    </row>
    <row r="2203" spans="21:27" x14ac:dyDescent="0.25">
      <c r="U2203" s="37">
        <v>40314</v>
      </c>
      <c r="V2203" s="10">
        <v>4</v>
      </c>
      <c r="W2203" s="10">
        <v>8</v>
      </c>
      <c r="X2203" s="10">
        <v>17</v>
      </c>
      <c r="Y2203" s="11">
        <v>0.13793103448275862</v>
      </c>
      <c r="Z2203" s="11">
        <v>0.27586206896551724</v>
      </c>
      <c r="AA2203" s="11">
        <v>0.58620689655172409</v>
      </c>
    </row>
    <row r="2204" spans="21:27" x14ac:dyDescent="0.25">
      <c r="U2204" s="37">
        <v>40321</v>
      </c>
      <c r="V2204" s="10">
        <v>11</v>
      </c>
      <c r="W2204" s="10">
        <v>7</v>
      </c>
      <c r="X2204" s="10">
        <v>17</v>
      </c>
      <c r="Y2204" s="11">
        <v>0.31428571428571428</v>
      </c>
      <c r="Z2204" s="11">
        <v>0.2</v>
      </c>
      <c r="AA2204" s="11">
        <v>0.48571428571428571</v>
      </c>
    </row>
    <row r="2205" spans="21:27" x14ac:dyDescent="0.25">
      <c r="U2205" s="37">
        <v>40328</v>
      </c>
      <c r="V2205" s="10">
        <v>5</v>
      </c>
      <c r="W2205" s="10">
        <v>7</v>
      </c>
      <c r="X2205" s="10">
        <v>9</v>
      </c>
      <c r="Y2205" s="11">
        <v>0.23809523809523808</v>
      </c>
      <c r="Z2205" s="11">
        <v>0.33333333333333331</v>
      </c>
      <c r="AA2205" s="11">
        <v>0.42857142857142855</v>
      </c>
    </row>
    <row r="2206" spans="21:27" x14ac:dyDescent="0.25">
      <c r="U2206" s="37">
        <v>40335</v>
      </c>
      <c r="V2206" s="10">
        <v>2</v>
      </c>
      <c r="W2206" s="10">
        <v>5</v>
      </c>
      <c r="X2206" s="10">
        <v>9</v>
      </c>
      <c r="Y2206" s="11">
        <v>0.125</v>
      </c>
      <c r="Z2206" s="11">
        <v>0.3125</v>
      </c>
      <c r="AA2206" s="11">
        <v>0.5625</v>
      </c>
    </row>
    <row r="2207" spans="21:27" x14ac:dyDescent="0.25">
      <c r="U2207" s="37">
        <v>40342</v>
      </c>
      <c r="V2207" s="10">
        <v>5</v>
      </c>
      <c r="W2207" s="10">
        <v>4</v>
      </c>
      <c r="X2207" s="10">
        <v>7</v>
      </c>
      <c r="Y2207" s="11">
        <v>0.3125</v>
      </c>
      <c r="Z2207" s="11">
        <v>0.25</v>
      </c>
      <c r="AA2207" s="11">
        <v>0.4375</v>
      </c>
    </row>
    <row r="2208" spans="21:27" x14ac:dyDescent="0.25">
      <c r="U2208" s="37">
        <v>40349</v>
      </c>
      <c r="V2208" s="10">
        <v>7</v>
      </c>
      <c r="W2208" s="10">
        <v>4</v>
      </c>
      <c r="X2208" s="10">
        <v>8</v>
      </c>
      <c r="Y2208" s="11">
        <v>0.36842105263157893</v>
      </c>
      <c r="Z2208" s="11">
        <v>0.21052631578947367</v>
      </c>
      <c r="AA2208" s="11">
        <v>0.42105263157894735</v>
      </c>
    </row>
    <row r="2209" spans="21:27" x14ac:dyDescent="0.25">
      <c r="U2209" s="37">
        <v>40356</v>
      </c>
      <c r="V2209" s="10">
        <v>11</v>
      </c>
      <c r="W2209" s="10">
        <v>10</v>
      </c>
      <c r="X2209" s="10">
        <v>5</v>
      </c>
      <c r="Y2209" s="11">
        <v>0.42307692307692307</v>
      </c>
      <c r="Z2209" s="11">
        <v>0.38461538461538464</v>
      </c>
      <c r="AA2209" s="11">
        <v>0.19230769230769232</v>
      </c>
    </row>
    <row r="2210" spans="21:27" x14ac:dyDescent="0.25">
      <c r="U2210" s="37">
        <v>40363</v>
      </c>
      <c r="V2210" s="10">
        <v>3</v>
      </c>
      <c r="W2210" s="10">
        <v>1</v>
      </c>
      <c r="X2210" s="10">
        <v>2</v>
      </c>
      <c r="Y2210" s="11">
        <v>0.5</v>
      </c>
      <c r="Z2210" s="11">
        <v>0.16666666666666666</v>
      </c>
      <c r="AA2210" s="11">
        <v>0.33333333333333331</v>
      </c>
    </row>
    <row r="2211" spans="21:27" x14ac:dyDescent="0.25">
      <c r="U2211" s="37">
        <v>40370</v>
      </c>
      <c r="V2211" s="10">
        <v>4</v>
      </c>
      <c r="W2211" s="10">
        <v>2</v>
      </c>
      <c r="X2211" s="10">
        <v>4</v>
      </c>
      <c r="Y2211" s="11">
        <v>0.4</v>
      </c>
      <c r="Z2211" s="11">
        <v>0.2</v>
      </c>
      <c r="AA2211" s="11">
        <v>0.4</v>
      </c>
    </row>
    <row r="2212" spans="21:27" x14ac:dyDescent="0.25">
      <c r="U2212" s="37">
        <v>40377</v>
      </c>
      <c r="V2212" s="10">
        <v>1</v>
      </c>
      <c r="W2212" s="10">
        <v>4</v>
      </c>
      <c r="X2212" s="10">
        <v>5</v>
      </c>
      <c r="Y2212" s="11">
        <v>0.1</v>
      </c>
      <c r="Z2212" s="11">
        <v>0.4</v>
      </c>
      <c r="AA2212" s="11">
        <v>0.5</v>
      </c>
    </row>
    <row r="2213" spans="21:27" x14ac:dyDescent="0.25">
      <c r="U2213" s="37">
        <v>40384</v>
      </c>
      <c r="V2213" s="10">
        <v>10</v>
      </c>
      <c r="W2213" s="10">
        <v>2</v>
      </c>
      <c r="X2213" s="10">
        <v>6</v>
      </c>
      <c r="Y2213" s="11">
        <v>0.55555555555555558</v>
      </c>
      <c r="Z2213" s="11">
        <v>0.1111111111111111</v>
      </c>
      <c r="AA2213" s="11">
        <v>0.33333333333333331</v>
      </c>
    </row>
    <row r="2214" spans="21:27" x14ac:dyDescent="0.25">
      <c r="U2214" s="37">
        <v>40391</v>
      </c>
      <c r="V2214" s="10">
        <v>10</v>
      </c>
      <c r="W2214" s="10">
        <v>2</v>
      </c>
      <c r="X2214" s="10">
        <v>6</v>
      </c>
      <c r="Y2214" s="11">
        <v>0.55555555555555558</v>
      </c>
      <c r="Z2214" s="11">
        <v>0.1111111111111111</v>
      </c>
      <c r="AA2214" s="11">
        <v>0.33333333333333331</v>
      </c>
    </row>
    <row r="2215" spans="21:27" x14ac:dyDescent="0.25">
      <c r="U2215" s="37">
        <v>40398</v>
      </c>
      <c r="V2215" s="10">
        <v>12</v>
      </c>
      <c r="W2215" s="10">
        <v>2</v>
      </c>
      <c r="X2215" s="10">
        <v>5</v>
      </c>
      <c r="Y2215" s="11">
        <v>0.63157894736842102</v>
      </c>
      <c r="Z2215" s="11">
        <v>0.10526315789473684</v>
      </c>
      <c r="AA2215" s="11">
        <v>0.26315789473684209</v>
      </c>
    </row>
    <row r="2216" spans="21:27" x14ac:dyDescent="0.25">
      <c r="U2216" s="37">
        <v>40405</v>
      </c>
      <c r="V2216" s="10">
        <v>3</v>
      </c>
      <c r="W2216" s="10">
        <v>1</v>
      </c>
      <c r="X2216" s="10">
        <v>2</v>
      </c>
      <c r="Y2216" s="11">
        <v>0.5</v>
      </c>
      <c r="Z2216" s="11">
        <v>0.16666666666666666</v>
      </c>
      <c r="AA2216" s="11">
        <v>0.33333333333333331</v>
      </c>
    </row>
    <row r="2217" spans="21:27" x14ac:dyDescent="0.25">
      <c r="U2217" s="37">
        <v>40412</v>
      </c>
      <c r="V2217" s="10">
        <v>8</v>
      </c>
      <c r="W2217" s="10">
        <v>9</v>
      </c>
      <c r="X2217" s="10">
        <v>9</v>
      </c>
      <c r="Y2217" s="11">
        <v>0.30769230769230771</v>
      </c>
      <c r="Z2217" s="11">
        <v>0.34615384615384615</v>
      </c>
      <c r="AA2217" s="11">
        <v>0.34615384615384615</v>
      </c>
    </row>
    <row r="2218" spans="21:27" x14ac:dyDescent="0.25">
      <c r="U2218" s="37">
        <v>40419</v>
      </c>
      <c r="V2218" s="10">
        <v>5</v>
      </c>
      <c r="W2218" s="10">
        <v>4</v>
      </c>
      <c r="X2218" s="10">
        <v>8</v>
      </c>
      <c r="Y2218" s="11">
        <v>0.29411764705882354</v>
      </c>
      <c r="Z2218" s="11">
        <v>0.23529411764705882</v>
      </c>
      <c r="AA2218" s="11">
        <v>0.47058823529411764</v>
      </c>
    </row>
    <row r="2219" spans="21:27" x14ac:dyDescent="0.25">
      <c r="U2219" s="37">
        <v>40426</v>
      </c>
      <c r="V2219" s="10">
        <v>3</v>
      </c>
      <c r="W2219" s="10">
        <v>3</v>
      </c>
      <c r="X2219" s="10">
        <v>8</v>
      </c>
      <c r="Y2219" s="11">
        <v>0.21428571428571427</v>
      </c>
      <c r="Z2219" s="11">
        <v>0.21428571428571427</v>
      </c>
      <c r="AA2219" s="11">
        <v>0.5714285714285714</v>
      </c>
    </row>
    <row r="2220" spans="21:27" x14ac:dyDescent="0.25">
      <c r="U2220" s="37">
        <v>40433</v>
      </c>
      <c r="V2220" s="10">
        <v>7</v>
      </c>
      <c r="W2220" s="10">
        <v>3</v>
      </c>
      <c r="X2220" s="10">
        <v>8</v>
      </c>
      <c r="Y2220" s="11">
        <v>0.3888888888888889</v>
      </c>
      <c r="Z2220" s="11">
        <v>0.16666666666666666</v>
      </c>
      <c r="AA2220" s="11">
        <v>0.44444444444444442</v>
      </c>
    </row>
    <row r="2221" spans="21:27" x14ac:dyDescent="0.25">
      <c r="U2221" s="37">
        <v>40440</v>
      </c>
      <c r="V2221" s="10">
        <v>5</v>
      </c>
      <c r="W2221" s="10">
        <v>5</v>
      </c>
      <c r="X2221" s="10">
        <v>6</v>
      </c>
      <c r="Y2221" s="11">
        <v>0.3125</v>
      </c>
      <c r="Z2221" s="11">
        <v>0.3125</v>
      </c>
      <c r="AA2221" s="11">
        <v>0.375</v>
      </c>
    </row>
    <row r="2222" spans="21:27" x14ac:dyDescent="0.25">
      <c r="U2222" s="37">
        <v>40447</v>
      </c>
      <c r="V2222" s="10">
        <v>3</v>
      </c>
      <c r="W2222" s="10">
        <v>1</v>
      </c>
      <c r="X2222" s="10">
        <v>3</v>
      </c>
      <c r="Y2222" s="11">
        <v>0.42857142857142855</v>
      </c>
      <c r="Z2222" s="11">
        <v>0.14285714285714285</v>
      </c>
      <c r="AA2222" s="11">
        <v>0.42857142857142855</v>
      </c>
    </row>
    <row r="2223" spans="21:27" x14ac:dyDescent="0.25">
      <c r="U2223" s="37">
        <v>40454</v>
      </c>
      <c r="V2223" s="10">
        <v>1</v>
      </c>
      <c r="W2223" s="10">
        <v>5</v>
      </c>
      <c r="X2223" s="10">
        <v>6</v>
      </c>
      <c r="Y2223" s="11">
        <v>8.3333333333333329E-2</v>
      </c>
      <c r="Z2223" s="11">
        <v>0.41666666666666669</v>
      </c>
      <c r="AA2223" s="11">
        <v>0.5</v>
      </c>
    </row>
    <row r="2224" spans="21:27" x14ac:dyDescent="0.25">
      <c r="U2224" s="37">
        <v>40461</v>
      </c>
      <c r="V2224" s="10">
        <v>17</v>
      </c>
      <c r="W2224" s="10">
        <v>5</v>
      </c>
      <c r="X2224" s="10">
        <v>14</v>
      </c>
      <c r="Y2224" s="11">
        <v>0.47222222222222221</v>
      </c>
      <c r="Z2224" s="11">
        <v>0.1388888888888889</v>
      </c>
      <c r="AA2224" s="11">
        <v>0.3888888888888889</v>
      </c>
    </row>
    <row r="2225" spans="21:27" x14ac:dyDescent="0.25">
      <c r="U2225" s="37">
        <v>40468</v>
      </c>
      <c r="V2225" s="10">
        <v>8</v>
      </c>
      <c r="W2225" s="10">
        <v>7</v>
      </c>
      <c r="X2225" s="10">
        <v>10</v>
      </c>
      <c r="Y2225" s="11">
        <v>0.32</v>
      </c>
      <c r="Z2225" s="11">
        <v>0.28000000000000003</v>
      </c>
      <c r="AA2225" s="11">
        <v>0.4</v>
      </c>
    </row>
    <row r="2226" spans="21:27" x14ac:dyDescent="0.25">
      <c r="U2226" s="37">
        <v>40475</v>
      </c>
      <c r="V2226" s="10">
        <v>1</v>
      </c>
      <c r="W2226" s="10">
        <v>0</v>
      </c>
      <c r="X2226" s="10">
        <v>2</v>
      </c>
      <c r="Y2226" s="11">
        <v>0.33333333333333331</v>
      </c>
      <c r="Z2226" s="11">
        <v>0</v>
      </c>
      <c r="AA2226" s="11">
        <v>0.66666666666666663</v>
      </c>
    </row>
    <row r="2227" spans="21:27" x14ac:dyDescent="0.25">
      <c r="U2227" s="37">
        <v>40482</v>
      </c>
      <c r="V2227" s="10">
        <v>6</v>
      </c>
      <c r="W2227" s="10">
        <v>3</v>
      </c>
      <c r="X2227" s="10">
        <v>4</v>
      </c>
      <c r="Y2227" s="11">
        <v>0.46153846153846156</v>
      </c>
      <c r="Z2227" s="11">
        <v>0.23076923076923078</v>
      </c>
      <c r="AA2227" s="11">
        <v>0.30769230769230771</v>
      </c>
    </row>
    <row r="2228" spans="21:27" x14ac:dyDescent="0.25">
      <c r="U2228" s="37">
        <v>40483</v>
      </c>
      <c r="V2228" s="10">
        <v>4</v>
      </c>
      <c r="W2228" s="10">
        <v>2</v>
      </c>
      <c r="X2228" s="10">
        <v>10</v>
      </c>
      <c r="Y2228" s="11">
        <v>0.25</v>
      </c>
      <c r="Z2228" s="11">
        <v>0.125</v>
      </c>
      <c r="AA2228" s="11">
        <v>0.625</v>
      </c>
    </row>
    <row r="2229" spans="21:27" x14ac:dyDescent="0.25">
      <c r="U2229" s="37">
        <v>40489</v>
      </c>
      <c r="V2229" s="10">
        <v>5</v>
      </c>
      <c r="W2229" s="10">
        <v>7</v>
      </c>
      <c r="X2229" s="10">
        <v>8</v>
      </c>
      <c r="Y2229" s="11">
        <v>0.25</v>
      </c>
      <c r="Z2229" s="11">
        <v>0.35</v>
      </c>
      <c r="AA2229" s="11">
        <v>0.4</v>
      </c>
    </row>
    <row r="2230" spans="21:27" x14ac:dyDescent="0.25">
      <c r="U2230" s="37">
        <v>40496</v>
      </c>
      <c r="V2230" s="10">
        <v>3</v>
      </c>
      <c r="W2230" s="10">
        <v>7</v>
      </c>
      <c r="X2230" s="10">
        <v>4</v>
      </c>
      <c r="Y2230" s="11">
        <v>0.21428571428571427</v>
      </c>
      <c r="Z2230" s="11">
        <v>0.5</v>
      </c>
      <c r="AA2230" s="11">
        <v>0.2857142857142857</v>
      </c>
    </row>
    <row r="2231" spans="21:27" x14ac:dyDescent="0.25">
      <c r="U2231" s="37">
        <v>40503</v>
      </c>
      <c r="V2231" s="10">
        <v>7</v>
      </c>
      <c r="W2231" s="10">
        <v>6</v>
      </c>
      <c r="X2231" s="10">
        <v>21</v>
      </c>
      <c r="Y2231" s="11">
        <v>0.20588235294117646</v>
      </c>
      <c r="Z2231" s="11">
        <v>0.17647058823529413</v>
      </c>
      <c r="AA2231" s="11">
        <v>0.61764705882352944</v>
      </c>
    </row>
    <row r="2232" spans="21:27" x14ac:dyDescent="0.25">
      <c r="U2232" s="37">
        <v>40510</v>
      </c>
      <c r="V2232" s="10">
        <v>3</v>
      </c>
      <c r="W2232" s="10">
        <v>2</v>
      </c>
      <c r="X2232" s="10">
        <v>4</v>
      </c>
      <c r="Y2232" s="11">
        <v>0.33333333333333331</v>
      </c>
      <c r="Z2232" s="11">
        <v>0.22222222222222221</v>
      </c>
      <c r="AA2232" s="11">
        <v>0.44444444444444442</v>
      </c>
    </row>
    <row r="2233" spans="21:27" x14ac:dyDescent="0.25">
      <c r="U2233" s="37">
        <v>40517</v>
      </c>
      <c r="V2233" s="10">
        <v>5</v>
      </c>
      <c r="W2233" s="10">
        <v>2</v>
      </c>
      <c r="X2233" s="10">
        <v>9</v>
      </c>
      <c r="Y2233" s="11">
        <v>0.3125</v>
      </c>
      <c r="Z2233" s="11">
        <v>0.125</v>
      </c>
      <c r="AA2233" s="11">
        <v>0.5625</v>
      </c>
    </row>
    <row r="2234" spans="21:27" x14ac:dyDescent="0.25">
      <c r="U2234" s="37">
        <v>40524</v>
      </c>
      <c r="V2234" s="10">
        <v>3</v>
      </c>
      <c r="W2234" s="10">
        <v>3</v>
      </c>
      <c r="X2234" s="10">
        <v>6</v>
      </c>
      <c r="Y2234" s="11">
        <v>0.25</v>
      </c>
      <c r="Z2234" s="11">
        <v>0.25</v>
      </c>
      <c r="AA2234" s="11">
        <v>0.5</v>
      </c>
    </row>
    <row r="2235" spans="21:27" x14ac:dyDescent="0.25">
      <c r="U2235" s="37">
        <v>40531</v>
      </c>
      <c r="V2235" s="10">
        <v>8</v>
      </c>
      <c r="W2235" s="10">
        <v>8</v>
      </c>
      <c r="X2235" s="10">
        <v>5</v>
      </c>
      <c r="Y2235" s="11">
        <v>0.38095238095238093</v>
      </c>
      <c r="Z2235" s="11">
        <v>0.38095238095238093</v>
      </c>
      <c r="AA2235" s="11">
        <v>0.23809523809523808</v>
      </c>
    </row>
    <row r="2236" spans="21:27" x14ac:dyDescent="0.25">
      <c r="U2236" s="37">
        <v>40536</v>
      </c>
      <c r="V2236" s="10">
        <v>15</v>
      </c>
      <c r="W2236" s="10">
        <v>16</v>
      </c>
      <c r="X2236" s="10">
        <v>31</v>
      </c>
      <c r="Y2236" s="11">
        <v>0.24193548387096775</v>
      </c>
      <c r="Z2236" s="11">
        <v>0.25806451612903225</v>
      </c>
      <c r="AA2236" s="11">
        <v>0.5</v>
      </c>
    </row>
    <row r="2237" spans="21:27" x14ac:dyDescent="0.25">
      <c r="U2237" s="37">
        <v>40537</v>
      </c>
      <c r="V2237" s="10">
        <v>4</v>
      </c>
      <c r="W2237" s="10">
        <v>2</v>
      </c>
      <c r="X2237" s="10">
        <v>6</v>
      </c>
      <c r="Y2237" s="11">
        <v>0.33333333333333331</v>
      </c>
      <c r="Z2237" s="11">
        <v>0.16666666666666666</v>
      </c>
      <c r="AA2237" s="11">
        <v>0.5</v>
      </c>
    </row>
    <row r="2238" spans="21:27" x14ac:dyDescent="0.25">
      <c r="U2238" s="37">
        <v>40538</v>
      </c>
      <c r="V2238" s="10">
        <v>6</v>
      </c>
      <c r="W2238" s="10">
        <v>3</v>
      </c>
      <c r="X2238" s="10">
        <v>9</v>
      </c>
      <c r="Y2238" s="11">
        <v>0.33333333333333331</v>
      </c>
      <c r="Z2238" s="11">
        <v>0.16666666666666666</v>
      </c>
      <c r="AA2238" s="11">
        <v>0.5</v>
      </c>
    </row>
    <row r="2239" spans="21:27" x14ac:dyDescent="0.25">
      <c r="U2239" s="37">
        <v>40545</v>
      </c>
      <c r="V2239" s="10">
        <v>1</v>
      </c>
      <c r="W2239" s="10">
        <v>4</v>
      </c>
      <c r="X2239" s="10">
        <v>2</v>
      </c>
      <c r="Y2239" s="11">
        <v>0.14285714285714285</v>
      </c>
      <c r="Z2239" s="11">
        <v>0.5714285714285714</v>
      </c>
      <c r="AA2239" s="11">
        <v>0.2857142857142857</v>
      </c>
    </row>
    <row r="2240" spans="21:27" x14ac:dyDescent="0.25">
      <c r="U2240" s="37">
        <v>40552</v>
      </c>
      <c r="V2240" s="10">
        <v>8</v>
      </c>
      <c r="W2240" s="10">
        <v>2</v>
      </c>
      <c r="X2240" s="10">
        <v>14</v>
      </c>
      <c r="Y2240" s="11">
        <v>0.33333333333333331</v>
      </c>
      <c r="Z2240" s="11">
        <v>8.3333333333333329E-2</v>
      </c>
      <c r="AA2240" s="11">
        <v>0.58333333333333337</v>
      </c>
    </row>
    <row r="2241" spans="21:27" x14ac:dyDescent="0.25">
      <c r="U2241" s="37">
        <v>40559</v>
      </c>
      <c r="V2241" s="10">
        <v>3</v>
      </c>
      <c r="W2241" s="10">
        <v>2</v>
      </c>
      <c r="X2241" s="10">
        <v>12</v>
      </c>
      <c r="Y2241" s="11">
        <v>0.17647058823529413</v>
      </c>
      <c r="Z2241" s="11">
        <v>0.11764705882352941</v>
      </c>
      <c r="AA2241" s="11">
        <v>0.70588235294117652</v>
      </c>
    </row>
    <row r="2242" spans="21:27" x14ac:dyDescent="0.25">
      <c r="U2242" s="37">
        <v>40566</v>
      </c>
      <c r="V2242" s="10">
        <v>2</v>
      </c>
      <c r="W2242" s="10">
        <v>1</v>
      </c>
      <c r="X2242" s="10">
        <v>4</v>
      </c>
      <c r="Y2242" s="11">
        <v>0.2857142857142857</v>
      </c>
      <c r="Z2242" s="11">
        <v>0.14285714285714285</v>
      </c>
      <c r="AA2242" s="11">
        <v>0.5714285714285714</v>
      </c>
    </row>
    <row r="2243" spans="21:27" x14ac:dyDescent="0.25">
      <c r="U2243" s="37">
        <v>40573</v>
      </c>
      <c r="V2243" s="10">
        <v>9</v>
      </c>
      <c r="W2243" s="10">
        <v>7</v>
      </c>
      <c r="X2243" s="10">
        <v>7</v>
      </c>
      <c r="Y2243" s="11">
        <v>0.39130434782608697</v>
      </c>
      <c r="Z2243" s="11">
        <v>0.30434782608695654</v>
      </c>
      <c r="AA2243" s="11">
        <v>0.30434782608695654</v>
      </c>
    </row>
    <row r="2244" spans="21:27" x14ac:dyDescent="0.25">
      <c r="U2244" s="37">
        <v>40580</v>
      </c>
      <c r="V2244" s="10">
        <v>2</v>
      </c>
      <c r="W2244" s="10">
        <v>2</v>
      </c>
      <c r="X2244" s="10">
        <v>4</v>
      </c>
      <c r="Y2244" s="11">
        <v>0.25</v>
      </c>
      <c r="Z2244" s="11">
        <v>0.25</v>
      </c>
      <c r="AA2244" s="11">
        <v>0.5</v>
      </c>
    </row>
    <row r="2245" spans="21:27" x14ac:dyDescent="0.25">
      <c r="U2245" s="37">
        <v>40587</v>
      </c>
      <c r="V2245" s="10">
        <v>4</v>
      </c>
      <c r="W2245" s="10">
        <v>2</v>
      </c>
      <c r="X2245" s="10">
        <v>5</v>
      </c>
      <c r="Y2245" s="11">
        <v>0.36363636363636365</v>
      </c>
      <c r="Z2245" s="11">
        <v>0.18181818181818182</v>
      </c>
      <c r="AA2245" s="11">
        <v>0.45454545454545453</v>
      </c>
    </row>
    <row r="2246" spans="21:27" x14ac:dyDescent="0.25">
      <c r="U2246" s="37">
        <v>40594</v>
      </c>
      <c r="V2246" s="10">
        <v>8</v>
      </c>
      <c r="W2246" s="10">
        <v>9</v>
      </c>
      <c r="X2246" s="10">
        <v>4</v>
      </c>
      <c r="Y2246" s="11">
        <v>0.38095238095238093</v>
      </c>
      <c r="Z2246" s="11">
        <v>0.42857142857142855</v>
      </c>
      <c r="AA2246" s="11">
        <v>0.19047619047619047</v>
      </c>
    </row>
    <row r="2247" spans="21:27" x14ac:dyDescent="0.25">
      <c r="U2247" s="37">
        <v>40601</v>
      </c>
      <c r="V2247" s="10">
        <v>3</v>
      </c>
      <c r="W2247" s="10">
        <v>4</v>
      </c>
      <c r="X2247" s="10">
        <v>12</v>
      </c>
      <c r="Y2247" s="11">
        <v>0.15789473684210525</v>
      </c>
      <c r="Z2247" s="11">
        <v>0.21052631578947367</v>
      </c>
      <c r="AA2247" s="11">
        <v>0.63157894736842102</v>
      </c>
    </row>
    <row r="2248" spans="21:27" x14ac:dyDescent="0.25">
      <c r="U2248" s="37">
        <v>40608</v>
      </c>
      <c r="V2248" s="10">
        <v>4</v>
      </c>
      <c r="W2248" s="10">
        <v>2</v>
      </c>
      <c r="X2248" s="10">
        <v>9</v>
      </c>
      <c r="Y2248" s="11">
        <v>0.26666666666666666</v>
      </c>
      <c r="Z2248" s="11">
        <v>0.13333333333333333</v>
      </c>
      <c r="AA2248" s="11">
        <v>0.6</v>
      </c>
    </row>
    <row r="2249" spans="21:27" x14ac:dyDescent="0.25">
      <c r="U2249" s="37">
        <v>40615</v>
      </c>
      <c r="V2249" s="10">
        <v>3</v>
      </c>
      <c r="W2249" s="10">
        <v>5</v>
      </c>
      <c r="X2249" s="10">
        <v>14</v>
      </c>
      <c r="Y2249" s="11">
        <v>0.13636363636363635</v>
      </c>
      <c r="Z2249" s="11">
        <v>0.22727272727272727</v>
      </c>
      <c r="AA2249" s="11">
        <v>0.63636363636363635</v>
      </c>
    </row>
    <row r="2250" spans="21:27" x14ac:dyDescent="0.25">
      <c r="U2250" s="37">
        <v>40622</v>
      </c>
      <c r="V2250" s="10">
        <v>4</v>
      </c>
      <c r="W2250" s="10">
        <v>5</v>
      </c>
      <c r="X2250" s="10">
        <v>4</v>
      </c>
      <c r="Y2250" s="11">
        <v>0.30769230769230771</v>
      </c>
      <c r="Z2250" s="11">
        <v>0.38461538461538464</v>
      </c>
      <c r="AA2250" s="11">
        <v>0.30769230769230771</v>
      </c>
    </row>
    <row r="2251" spans="21:27" x14ac:dyDescent="0.25">
      <c r="U2251" s="37">
        <v>40629</v>
      </c>
      <c r="V2251" s="10">
        <v>4</v>
      </c>
      <c r="W2251" s="10">
        <v>3</v>
      </c>
      <c r="X2251" s="10">
        <v>17</v>
      </c>
      <c r="Y2251" s="11">
        <v>0.16666666666666666</v>
      </c>
      <c r="Z2251" s="11">
        <v>0.125</v>
      </c>
      <c r="AA2251" s="11">
        <v>0.70833333333333337</v>
      </c>
    </row>
    <row r="2252" spans="21:27" x14ac:dyDescent="0.25">
      <c r="U2252" s="37">
        <v>40636</v>
      </c>
      <c r="V2252" s="10">
        <v>5</v>
      </c>
      <c r="W2252" s="10">
        <v>5</v>
      </c>
      <c r="X2252" s="10">
        <v>9</v>
      </c>
      <c r="Y2252" s="11">
        <v>0.26315789473684209</v>
      </c>
      <c r="Z2252" s="11">
        <v>0.26315789473684209</v>
      </c>
      <c r="AA2252" s="11">
        <v>0.47368421052631576</v>
      </c>
    </row>
    <row r="2253" spans="21:27" x14ac:dyDescent="0.25">
      <c r="U2253" s="37">
        <v>40643</v>
      </c>
      <c r="V2253" s="10">
        <v>13</v>
      </c>
      <c r="W2253" s="10">
        <v>3</v>
      </c>
      <c r="X2253" s="10">
        <v>6</v>
      </c>
      <c r="Y2253" s="11">
        <v>0.59090909090909094</v>
      </c>
      <c r="Z2253" s="11">
        <v>0.13636363636363635</v>
      </c>
      <c r="AA2253" s="11">
        <v>0.27272727272727271</v>
      </c>
    </row>
    <row r="2254" spans="21:27" x14ac:dyDescent="0.25">
      <c r="U2254" s="37">
        <v>40650</v>
      </c>
      <c r="V2254" s="10">
        <v>1</v>
      </c>
      <c r="W2254" s="10">
        <v>2</v>
      </c>
      <c r="X2254" s="10">
        <v>8</v>
      </c>
      <c r="Y2254" s="11">
        <v>9.0909090909090912E-2</v>
      </c>
      <c r="Z2254" s="11">
        <v>0.18181818181818182</v>
      </c>
      <c r="AA2254" s="11">
        <v>0.72727272727272729</v>
      </c>
    </row>
    <row r="2255" spans="21:27" x14ac:dyDescent="0.25">
      <c r="U2255" s="37">
        <v>40657</v>
      </c>
      <c r="V2255" s="10">
        <v>3</v>
      </c>
      <c r="W2255" s="10">
        <v>1</v>
      </c>
      <c r="X2255" s="10">
        <v>10</v>
      </c>
      <c r="Y2255" s="11">
        <v>0.21428571428571427</v>
      </c>
      <c r="Z2255" s="11">
        <v>7.1428571428571425E-2</v>
      </c>
      <c r="AA2255" s="11">
        <v>0.7142857142857143</v>
      </c>
    </row>
    <row r="2256" spans="21:27" x14ac:dyDescent="0.25">
      <c r="U2256" s="37">
        <v>40664</v>
      </c>
      <c r="V2256" s="10">
        <v>10</v>
      </c>
      <c r="W2256" s="10">
        <v>10</v>
      </c>
      <c r="X2256" s="10">
        <v>22</v>
      </c>
      <c r="Y2256" s="11">
        <v>0.23809523809523808</v>
      </c>
      <c r="Z2256" s="11">
        <v>0.23809523809523808</v>
      </c>
      <c r="AA2256" s="11">
        <v>0.52380952380952384</v>
      </c>
    </row>
    <row r="2257" spans="21:27" x14ac:dyDescent="0.25">
      <c r="U2257" s="37">
        <v>40671</v>
      </c>
      <c r="V2257" s="10">
        <v>2</v>
      </c>
      <c r="W2257" s="10">
        <v>3</v>
      </c>
      <c r="X2257" s="10">
        <v>5</v>
      </c>
      <c r="Y2257" s="11">
        <v>0.2</v>
      </c>
      <c r="Z2257" s="11">
        <v>0.3</v>
      </c>
      <c r="AA2257" s="11">
        <v>0.5</v>
      </c>
    </row>
    <row r="2258" spans="21:27" x14ac:dyDescent="0.25">
      <c r="U2258" s="37">
        <v>40678</v>
      </c>
      <c r="V2258" s="10">
        <v>7</v>
      </c>
      <c r="W2258" s="10">
        <v>2</v>
      </c>
      <c r="X2258" s="10">
        <v>5</v>
      </c>
      <c r="Y2258" s="11">
        <v>0.5</v>
      </c>
      <c r="Z2258" s="11">
        <v>0.14285714285714285</v>
      </c>
      <c r="AA2258" s="11">
        <v>0.35714285714285715</v>
      </c>
    </row>
    <row r="2259" spans="21:27" x14ac:dyDescent="0.25">
      <c r="U2259" s="37">
        <v>40685</v>
      </c>
      <c r="V2259" s="10">
        <v>5</v>
      </c>
      <c r="W2259" s="10">
        <v>1</v>
      </c>
      <c r="X2259" s="10">
        <v>6</v>
      </c>
      <c r="Y2259" s="11">
        <v>0.41666666666666669</v>
      </c>
      <c r="Z2259" s="11">
        <v>8.3333333333333329E-2</v>
      </c>
      <c r="AA2259" s="11">
        <v>0.5</v>
      </c>
    </row>
    <row r="2260" spans="21:27" x14ac:dyDescent="0.25">
      <c r="U2260" s="37">
        <v>40692</v>
      </c>
      <c r="V2260" s="10">
        <v>5</v>
      </c>
      <c r="W2260" s="10">
        <v>3</v>
      </c>
      <c r="X2260" s="10">
        <v>6</v>
      </c>
      <c r="Y2260" s="11">
        <v>0.35714285714285715</v>
      </c>
      <c r="Z2260" s="11">
        <v>0.21428571428571427</v>
      </c>
      <c r="AA2260" s="11">
        <v>0.42857142857142855</v>
      </c>
    </row>
    <row r="2261" spans="21:27" x14ac:dyDescent="0.25">
      <c r="U2261" s="37">
        <v>40696</v>
      </c>
      <c r="V2261" s="10">
        <v>13</v>
      </c>
      <c r="W2261" s="10">
        <v>8</v>
      </c>
      <c r="X2261" s="10">
        <v>22</v>
      </c>
      <c r="Y2261" s="11">
        <v>0.30232558139534882</v>
      </c>
      <c r="Z2261" s="11">
        <v>0.18604651162790697</v>
      </c>
      <c r="AA2261" s="11">
        <v>0.51162790697674421</v>
      </c>
    </row>
    <row r="2262" spans="21:27" x14ac:dyDescent="0.25">
      <c r="U2262" s="37">
        <v>40699</v>
      </c>
      <c r="V2262" s="10">
        <v>2</v>
      </c>
      <c r="W2262" s="10">
        <v>3</v>
      </c>
      <c r="X2262" s="10">
        <v>2</v>
      </c>
      <c r="Y2262" s="11">
        <v>0.2857142857142857</v>
      </c>
      <c r="Z2262" s="11">
        <v>0.42857142857142855</v>
      </c>
      <c r="AA2262" s="11">
        <v>0.2857142857142857</v>
      </c>
    </row>
    <row r="2263" spans="21:27" x14ac:dyDescent="0.25">
      <c r="U2263" s="37">
        <v>40706</v>
      </c>
      <c r="V2263" s="10">
        <v>16</v>
      </c>
      <c r="W2263" s="10">
        <v>3</v>
      </c>
      <c r="X2263" s="10">
        <v>7</v>
      </c>
      <c r="Y2263" s="11">
        <v>0.61538461538461542</v>
      </c>
      <c r="Z2263" s="11">
        <v>0.11538461538461539</v>
      </c>
      <c r="AA2263" s="11">
        <v>0.26923076923076922</v>
      </c>
    </row>
    <row r="2264" spans="21:27" x14ac:dyDescent="0.25">
      <c r="U2264" s="37">
        <v>40713</v>
      </c>
      <c r="V2264" s="10">
        <v>8</v>
      </c>
      <c r="W2264" s="10">
        <v>5</v>
      </c>
      <c r="X2264" s="10">
        <v>15</v>
      </c>
      <c r="Y2264" s="11">
        <v>0.2857142857142857</v>
      </c>
      <c r="Z2264" s="11">
        <v>0.17857142857142858</v>
      </c>
      <c r="AA2264" s="11">
        <v>0.5357142857142857</v>
      </c>
    </row>
    <row r="2265" spans="21:27" x14ac:dyDescent="0.25">
      <c r="U2265" s="37">
        <v>40720</v>
      </c>
      <c r="V2265" s="10">
        <v>6</v>
      </c>
      <c r="W2265" s="10">
        <v>1</v>
      </c>
      <c r="X2265" s="10">
        <v>10</v>
      </c>
      <c r="Y2265" s="11">
        <v>0.35294117647058826</v>
      </c>
      <c r="Z2265" s="11">
        <v>5.8823529411764705E-2</v>
      </c>
      <c r="AA2265" s="11">
        <v>0.58823529411764708</v>
      </c>
    </row>
    <row r="2266" spans="21:27" x14ac:dyDescent="0.25">
      <c r="U2266" s="37">
        <v>40727</v>
      </c>
      <c r="V2266" s="10">
        <v>3</v>
      </c>
      <c r="W2266" s="10">
        <v>4</v>
      </c>
      <c r="X2266" s="10">
        <v>8</v>
      </c>
      <c r="Y2266" s="11">
        <v>0.2</v>
      </c>
      <c r="Z2266" s="11">
        <v>0.26666666666666666</v>
      </c>
      <c r="AA2266" s="11">
        <v>0.53333333333333333</v>
      </c>
    </row>
    <row r="2267" spans="21:27" x14ac:dyDescent="0.25">
      <c r="U2267" s="37">
        <v>40734</v>
      </c>
      <c r="V2267" s="10">
        <v>6</v>
      </c>
      <c r="W2267" s="10">
        <v>1</v>
      </c>
      <c r="X2267" s="10">
        <v>0</v>
      </c>
      <c r="Y2267" s="11">
        <v>0.8571428571428571</v>
      </c>
      <c r="Z2267" s="11">
        <v>0.14285714285714285</v>
      </c>
      <c r="AA2267" s="11">
        <v>0</v>
      </c>
    </row>
    <row r="2268" spans="21:27" x14ac:dyDescent="0.25">
      <c r="U2268" s="37">
        <v>40741</v>
      </c>
      <c r="V2268" s="10">
        <v>8</v>
      </c>
      <c r="W2268" s="10">
        <v>1</v>
      </c>
      <c r="X2268" s="10">
        <v>3</v>
      </c>
      <c r="Y2268" s="11">
        <v>0.66666666666666663</v>
      </c>
      <c r="Z2268" s="11">
        <v>8.3333333333333329E-2</v>
      </c>
      <c r="AA2268" s="11">
        <v>0.25</v>
      </c>
    </row>
    <row r="2269" spans="21:27" x14ac:dyDescent="0.25">
      <c r="U2269" s="37">
        <v>40748</v>
      </c>
      <c r="V2269" s="10">
        <v>5</v>
      </c>
      <c r="W2269" s="10">
        <v>2</v>
      </c>
      <c r="X2269" s="10">
        <v>8</v>
      </c>
      <c r="Y2269" s="11">
        <v>0.33333333333333331</v>
      </c>
      <c r="Z2269" s="11">
        <v>0.13333333333333333</v>
      </c>
      <c r="AA2269" s="11">
        <v>0.53333333333333333</v>
      </c>
    </row>
    <row r="2270" spans="21:27" x14ac:dyDescent="0.25">
      <c r="U2270" s="37">
        <v>40755</v>
      </c>
      <c r="V2270" s="10">
        <v>5</v>
      </c>
      <c r="W2270" s="10">
        <v>0</v>
      </c>
      <c r="X2270" s="10">
        <v>3</v>
      </c>
      <c r="Y2270" s="11">
        <v>0.625</v>
      </c>
      <c r="Z2270" s="11">
        <v>0</v>
      </c>
      <c r="AA2270" s="11">
        <v>0.375</v>
      </c>
    </row>
    <row r="2271" spans="21:27" x14ac:dyDescent="0.25">
      <c r="U2271" s="37">
        <v>40762</v>
      </c>
      <c r="V2271" s="10">
        <v>11</v>
      </c>
      <c r="W2271" s="10">
        <v>9</v>
      </c>
      <c r="X2271" s="10">
        <v>6</v>
      </c>
      <c r="Y2271" s="11">
        <v>0.42307692307692307</v>
      </c>
      <c r="Z2271" s="11">
        <v>0.34615384615384615</v>
      </c>
      <c r="AA2271" s="11">
        <v>0.23076923076923078</v>
      </c>
    </row>
    <row r="2272" spans="21:27" x14ac:dyDescent="0.25">
      <c r="U2272" s="37">
        <v>40769</v>
      </c>
      <c r="V2272" s="10">
        <v>7</v>
      </c>
      <c r="W2272" s="10">
        <v>5</v>
      </c>
      <c r="X2272" s="10">
        <v>10</v>
      </c>
      <c r="Y2272" s="11">
        <v>0.31818181818181818</v>
      </c>
      <c r="Z2272" s="11">
        <v>0.22727272727272727</v>
      </c>
      <c r="AA2272" s="11">
        <v>0.45454545454545453</v>
      </c>
    </row>
    <row r="2273" spans="21:27" x14ac:dyDescent="0.25">
      <c r="U2273" s="37">
        <v>40770</v>
      </c>
      <c r="V2273" s="10">
        <v>4</v>
      </c>
      <c r="W2273" s="10">
        <v>3</v>
      </c>
      <c r="X2273" s="10">
        <v>1</v>
      </c>
      <c r="Y2273" s="11">
        <v>0.5</v>
      </c>
      <c r="Z2273" s="11">
        <v>0.375</v>
      </c>
      <c r="AA2273" s="11">
        <v>0.125</v>
      </c>
    </row>
    <row r="2274" spans="21:27" x14ac:dyDescent="0.25">
      <c r="U2274" s="37">
        <v>40776</v>
      </c>
      <c r="V2274" s="10">
        <v>9</v>
      </c>
      <c r="W2274" s="10">
        <v>12</v>
      </c>
      <c r="X2274" s="10">
        <v>25</v>
      </c>
      <c r="Y2274" s="11">
        <v>0.19565217391304349</v>
      </c>
      <c r="Z2274" s="11">
        <v>0.2608695652173913</v>
      </c>
      <c r="AA2274" s="11">
        <v>0.54347826086956519</v>
      </c>
    </row>
    <row r="2275" spans="21:27" x14ac:dyDescent="0.25">
      <c r="U2275" s="37">
        <v>40783</v>
      </c>
      <c r="V2275" s="10">
        <v>7</v>
      </c>
      <c r="W2275" s="10">
        <v>0</v>
      </c>
      <c r="X2275" s="10">
        <v>7</v>
      </c>
      <c r="Y2275" s="11">
        <v>0.5</v>
      </c>
      <c r="Z2275" s="11">
        <v>0</v>
      </c>
      <c r="AA2275" s="11">
        <v>0.5</v>
      </c>
    </row>
    <row r="2276" spans="21:27" x14ac:dyDescent="0.25">
      <c r="U2276" s="37">
        <v>40790</v>
      </c>
      <c r="V2276" s="10">
        <v>1</v>
      </c>
      <c r="W2276" s="10">
        <v>1</v>
      </c>
      <c r="X2276" s="10">
        <v>4</v>
      </c>
      <c r="Y2276" s="11">
        <v>0.16666666666666666</v>
      </c>
      <c r="Z2276" s="11">
        <v>0.16666666666666666</v>
      </c>
      <c r="AA2276" s="11">
        <v>0.66666666666666663</v>
      </c>
    </row>
    <row r="2277" spans="21:27" x14ac:dyDescent="0.25">
      <c r="U2277" s="37">
        <v>40797</v>
      </c>
      <c r="V2277" s="10">
        <v>5</v>
      </c>
      <c r="W2277" s="10">
        <v>2</v>
      </c>
      <c r="X2277" s="10">
        <v>8</v>
      </c>
      <c r="Y2277" s="11">
        <v>0.33333333333333331</v>
      </c>
      <c r="Z2277" s="11">
        <v>0.13333333333333333</v>
      </c>
      <c r="AA2277" s="11">
        <v>0.53333333333333333</v>
      </c>
    </row>
    <row r="2278" spans="21:27" x14ac:dyDescent="0.25">
      <c r="U2278" s="37">
        <v>40804</v>
      </c>
      <c r="V2278" s="10">
        <v>3</v>
      </c>
      <c r="W2278" s="10">
        <v>1</v>
      </c>
      <c r="X2278" s="10">
        <v>3</v>
      </c>
      <c r="Y2278" s="11">
        <v>0.42857142857142855</v>
      </c>
      <c r="Z2278" s="11">
        <v>0.14285714285714285</v>
      </c>
      <c r="AA2278" s="11">
        <v>0.42857142857142855</v>
      </c>
    </row>
    <row r="2279" spans="21:27" x14ac:dyDescent="0.25">
      <c r="U2279" s="37">
        <v>40811</v>
      </c>
      <c r="V2279" s="10">
        <v>2</v>
      </c>
      <c r="W2279" s="10">
        <v>5</v>
      </c>
      <c r="X2279" s="10">
        <v>6</v>
      </c>
      <c r="Y2279" s="11">
        <v>0.15384615384615385</v>
      </c>
      <c r="Z2279" s="11">
        <v>0.38461538461538464</v>
      </c>
      <c r="AA2279" s="11">
        <v>0.46153846153846156</v>
      </c>
    </row>
    <row r="2280" spans="21:27" x14ac:dyDescent="0.25">
      <c r="U2280" s="37">
        <v>40818</v>
      </c>
      <c r="V2280" s="10">
        <v>0</v>
      </c>
      <c r="W2280" s="10">
        <v>2</v>
      </c>
      <c r="X2280" s="10">
        <v>1</v>
      </c>
      <c r="Y2280" s="11">
        <v>0</v>
      </c>
      <c r="Z2280" s="11">
        <v>0.66666666666666663</v>
      </c>
      <c r="AA2280" s="11">
        <v>0.33333333333333331</v>
      </c>
    </row>
    <row r="2281" spans="21:27" x14ac:dyDescent="0.25">
      <c r="U2281" s="37">
        <v>40825</v>
      </c>
      <c r="V2281" s="10">
        <v>3</v>
      </c>
      <c r="W2281" s="10">
        <v>0</v>
      </c>
      <c r="X2281" s="10">
        <v>4</v>
      </c>
      <c r="Y2281" s="11">
        <v>0.42857142857142855</v>
      </c>
      <c r="Z2281" s="11">
        <v>0</v>
      </c>
      <c r="AA2281" s="11">
        <v>0.5714285714285714</v>
      </c>
    </row>
    <row r="2282" spans="21:27" x14ac:dyDescent="0.25">
      <c r="U2282" s="37">
        <v>40832</v>
      </c>
      <c r="V2282" s="10">
        <v>12</v>
      </c>
      <c r="W2282" s="10">
        <v>8</v>
      </c>
      <c r="X2282" s="10">
        <v>15</v>
      </c>
      <c r="Y2282" s="11">
        <v>0.34285714285714286</v>
      </c>
      <c r="Z2282" s="11">
        <v>0.22857142857142856</v>
      </c>
      <c r="AA2282" s="11">
        <v>0.42857142857142855</v>
      </c>
    </row>
    <row r="2283" spans="21:27" x14ac:dyDescent="0.25">
      <c r="U2283" s="37">
        <v>40839</v>
      </c>
      <c r="V2283" s="10">
        <v>5</v>
      </c>
      <c r="W2283" s="10">
        <v>1</v>
      </c>
      <c r="X2283" s="10">
        <v>10</v>
      </c>
      <c r="Y2283" s="11">
        <v>0.3125</v>
      </c>
      <c r="Z2283" s="11">
        <v>6.25E-2</v>
      </c>
      <c r="AA2283" s="11">
        <v>0.625</v>
      </c>
    </row>
    <row r="2284" spans="21:27" x14ac:dyDescent="0.25">
      <c r="U2284" s="37">
        <v>40846</v>
      </c>
      <c r="V2284" s="10">
        <v>7</v>
      </c>
      <c r="W2284" s="10">
        <v>1</v>
      </c>
      <c r="X2284" s="10">
        <v>7</v>
      </c>
      <c r="Y2284" s="11">
        <v>0.46666666666666667</v>
      </c>
      <c r="Z2284" s="11">
        <v>6.6666666666666666E-2</v>
      </c>
      <c r="AA2284" s="11">
        <v>0.46666666666666667</v>
      </c>
    </row>
    <row r="2285" spans="21:27" x14ac:dyDescent="0.25">
      <c r="U2285" s="37">
        <v>40848</v>
      </c>
      <c r="V2285" s="10">
        <v>3</v>
      </c>
      <c r="W2285" s="10">
        <v>3</v>
      </c>
      <c r="X2285" s="10">
        <v>11</v>
      </c>
      <c r="Y2285" s="11">
        <v>0.17647058823529413</v>
      </c>
      <c r="Z2285" s="11">
        <v>0.17647058823529413</v>
      </c>
      <c r="AA2285" s="11">
        <v>0.6470588235294118</v>
      </c>
    </row>
    <row r="2286" spans="21:27" x14ac:dyDescent="0.25">
      <c r="U2286" s="37">
        <v>40853</v>
      </c>
      <c r="V2286" s="10">
        <v>8</v>
      </c>
      <c r="W2286" s="10">
        <v>3</v>
      </c>
      <c r="X2286" s="10">
        <v>10</v>
      </c>
      <c r="Y2286" s="11">
        <v>0.38095238095238093</v>
      </c>
      <c r="Z2286" s="11">
        <v>0.14285714285714285</v>
      </c>
      <c r="AA2286" s="11">
        <v>0.47619047619047616</v>
      </c>
    </row>
    <row r="2287" spans="21:27" x14ac:dyDescent="0.25">
      <c r="U2287" s="37">
        <v>40860</v>
      </c>
      <c r="V2287" s="10">
        <v>5</v>
      </c>
      <c r="W2287" s="10">
        <v>3</v>
      </c>
      <c r="X2287" s="10">
        <v>7</v>
      </c>
      <c r="Y2287" s="11">
        <v>0.33333333333333331</v>
      </c>
      <c r="Z2287" s="11">
        <v>0.2</v>
      </c>
      <c r="AA2287" s="11">
        <v>0.46666666666666667</v>
      </c>
    </row>
    <row r="2288" spans="21:27" x14ac:dyDescent="0.25">
      <c r="U2288" s="37">
        <v>40867</v>
      </c>
      <c r="V2288" s="10">
        <v>2</v>
      </c>
      <c r="W2288" s="10">
        <v>2</v>
      </c>
      <c r="X2288" s="10">
        <v>0</v>
      </c>
      <c r="Y2288" s="11">
        <v>0.5</v>
      </c>
      <c r="Z2288" s="11">
        <v>0.5</v>
      </c>
      <c r="AA2288" s="11">
        <v>0</v>
      </c>
    </row>
    <row r="2289" spans="21:27" x14ac:dyDescent="0.25">
      <c r="U2289" s="37">
        <v>40874</v>
      </c>
      <c r="V2289" s="10">
        <v>5</v>
      </c>
      <c r="W2289" s="10">
        <v>4</v>
      </c>
      <c r="X2289" s="10">
        <v>6</v>
      </c>
      <c r="Y2289" s="11">
        <v>0.33333333333333331</v>
      </c>
      <c r="Z2289" s="11">
        <v>0.26666666666666666</v>
      </c>
      <c r="AA2289" s="11">
        <v>0.4</v>
      </c>
    </row>
    <row r="2290" spans="21:27" x14ac:dyDescent="0.25">
      <c r="U2290" s="37">
        <v>40881</v>
      </c>
      <c r="V2290" s="10">
        <v>3</v>
      </c>
      <c r="W2290" s="10">
        <v>5</v>
      </c>
      <c r="X2290" s="10">
        <v>9</v>
      </c>
      <c r="Y2290" s="11">
        <v>0.17647058823529413</v>
      </c>
      <c r="Z2290" s="11">
        <v>0.29411764705882354</v>
      </c>
      <c r="AA2290" s="11">
        <v>0.52941176470588236</v>
      </c>
    </row>
    <row r="2291" spans="21:27" x14ac:dyDescent="0.25">
      <c r="U2291" s="37">
        <v>40888</v>
      </c>
      <c r="V2291" s="10">
        <v>10</v>
      </c>
      <c r="W2291" s="10">
        <v>4</v>
      </c>
      <c r="X2291" s="10">
        <v>5</v>
      </c>
      <c r="Y2291" s="11">
        <v>0.52631578947368418</v>
      </c>
      <c r="Z2291" s="11">
        <v>0.21052631578947367</v>
      </c>
      <c r="AA2291" s="11">
        <v>0.26315789473684209</v>
      </c>
    </row>
    <row r="2292" spans="21:27" x14ac:dyDescent="0.25">
      <c r="U2292" s="37">
        <v>40895</v>
      </c>
      <c r="V2292" s="10">
        <v>2</v>
      </c>
      <c r="W2292" s="10">
        <v>3</v>
      </c>
      <c r="X2292" s="10">
        <v>6</v>
      </c>
      <c r="Y2292" s="11">
        <v>0.18181818181818182</v>
      </c>
      <c r="Z2292" s="11">
        <v>0.27272727272727271</v>
      </c>
      <c r="AA2292" s="11">
        <v>0.54545454545454541</v>
      </c>
    </row>
    <row r="2293" spans="21:27" x14ac:dyDescent="0.25">
      <c r="U2293" s="37">
        <v>40901</v>
      </c>
      <c r="V2293" s="10">
        <v>9</v>
      </c>
      <c r="W2293" s="10">
        <v>10</v>
      </c>
      <c r="X2293" s="10">
        <v>22</v>
      </c>
      <c r="Y2293" s="11">
        <v>0.21951219512195122</v>
      </c>
      <c r="Z2293" s="11">
        <v>0.24390243902439024</v>
      </c>
      <c r="AA2293" s="11">
        <v>0.53658536585365857</v>
      </c>
    </row>
    <row r="2294" spans="21:27" x14ac:dyDescent="0.25">
      <c r="U2294" s="37">
        <v>40902</v>
      </c>
      <c r="V2294" s="10">
        <v>9</v>
      </c>
      <c r="W2294" s="10">
        <v>2</v>
      </c>
      <c r="X2294" s="10">
        <v>11</v>
      </c>
      <c r="Y2294" s="11">
        <v>0.40909090909090912</v>
      </c>
      <c r="Z2294" s="11">
        <v>9.0909090909090912E-2</v>
      </c>
      <c r="AA2294" s="11">
        <v>0.5</v>
      </c>
    </row>
    <row r="2295" spans="21:27" x14ac:dyDescent="0.25">
      <c r="U2295" s="37">
        <v>40909</v>
      </c>
      <c r="V2295" s="10">
        <v>5</v>
      </c>
      <c r="W2295" s="10">
        <v>6</v>
      </c>
      <c r="X2295" s="10">
        <v>6</v>
      </c>
      <c r="Y2295" s="11">
        <v>0.29411764705882354</v>
      </c>
      <c r="Z2295" s="11">
        <v>0.35294117647058826</v>
      </c>
      <c r="AA2295" s="11">
        <v>0.35294117647058826</v>
      </c>
    </row>
    <row r="2296" spans="21:27" x14ac:dyDescent="0.25">
      <c r="U2296" s="37">
        <v>40916</v>
      </c>
      <c r="V2296" s="10">
        <v>8</v>
      </c>
      <c r="W2296" s="10">
        <v>1</v>
      </c>
      <c r="X2296" s="10">
        <v>1</v>
      </c>
      <c r="Y2296" s="11">
        <v>0.8</v>
      </c>
      <c r="Z2296" s="11">
        <v>0.1</v>
      </c>
      <c r="AA2296" s="11">
        <v>0.1</v>
      </c>
    </row>
    <row r="2297" spans="21:27" x14ac:dyDescent="0.25">
      <c r="U2297" s="37">
        <v>40923</v>
      </c>
      <c r="V2297" s="10">
        <v>12</v>
      </c>
      <c r="W2297" s="10">
        <v>3</v>
      </c>
      <c r="X2297" s="10">
        <v>7</v>
      </c>
      <c r="Y2297" s="11">
        <v>0.54545454545454541</v>
      </c>
      <c r="Z2297" s="11">
        <v>0.13636363636363635</v>
      </c>
      <c r="AA2297" s="11">
        <v>0.31818181818181818</v>
      </c>
    </row>
    <row r="2298" spans="21:27" x14ac:dyDescent="0.25">
      <c r="U2298" s="37">
        <v>40930</v>
      </c>
      <c r="V2298" s="10">
        <v>5</v>
      </c>
      <c r="W2298" s="10">
        <v>1</v>
      </c>
      <c r="X2298" s="10">
        <v>8</v>
      </c>
      <c r="Y2298" s="11">
        <v>0.35714285714285715</v>
      </c>
      <c r="Z2298" s="11">
        <v>7.1428571428571425E-2</v>
      </c>
      <c r="AA2298" s="11">
        <v>0.5714285714285714</v>
      </c>
    </row>
    <row r="2299" spans="21:27" x14ac:dyDescent="0.25">
      <c r="U2299" s="37">
        <v>40937</v>
      </c>
      <c r="V2299" s="10">
        <v>6</v>
      </c>
      <c r="W2299" s="10">
        <v>2</v>
      </c>
      <c r="X2299" s="10">
        <v>4</v>
      </c>
      <c r="Y2299" s="11">
        <v>0.5</v>
      </c>
      <c r="Z2299" s="11">
        <v>0.16666666666666666</v>
      </c>
      <c r="AA2299" s="11">
        <v>0.33333333333333331</v>
      </c>
    </row>
    <row r="2300" spans="21:27" x14ac:dyDescent="0.25">
      <c r="U2300" s="37">
        <v>40944</v>
      </c>
      <c r="V2300" s="10">
        <v>3</v>
      </c>
      <c r="W2300" s="10">
        <v>7</v>
      </c>
      <c r="X2300" s="10">
        <v>3</v>
      </c>
      <c r="Y2300" s="11">
        <v>0.23076923076923078</v>
      </c>
      <c r="Z2300" s="11">
        <v>0.53846153846153844</v>
      </c>
      <c r="AA2300" s="11">
        <v>0.23076923076923078</v>
      </c>
    </row>
    <row r="2301" spans="21:27" x14ac:dyDescent="0.25">
      <c r="U2301" s="37">
        <v>40951</v>
      </c>
      <c r="V2301" s="10">
        <v>6</v>
      </c>
      <c r="W2301" s="10">
        <v>7</v>
      </c>
      <c r="X2301" s="10">
        <v>3</v>
      </c>
      <c r="Y2301" s="11">
        <v>0.375</v>
      </c>
      <c r="Z2301" s="11">
        <v>0.4375</v>
      </c>
      <c r="AA2301" s="11">
        <v>0.1875</v>
      </c>
    </row>
    <row r="2302" spans="21:27" x14ac:dyDescent="0.25">
      <c r="U2302" s="37">
        <v>40958</v>
      </c>
      <c r="V2302" s="10">
        <v>7</v>
      </c>
      <c r="W2302" s="10">
        <v>1</v>
      </c>
      <c r="X2302" s="10">
        <v>1</v>
      </c>
      <c r="Y2302" s="11">
        <v>0.77777777777777779</v>
      </c>
      <c r="Z2302" s="11">
        <v>0.1111111111111111</v>
      </c>
      <c r="AA2302" s="11">
        <v>0.1111111111111111</v>
      </c>
    </row>
    <row r="2303" spans="21:27" x14ac:dyDescent="0.25">
      <c r="U2303" s="37">
        <v>40965</v>
      </c>
      <c r="V2303" s="10">
        <v>2</v>
      </c>
      <c r="W2303" s="10">
        <v>2</v>
      </c>
      <c r="X2303" s="10">
        <v>2</v>
      </c>
      <c r="Y2303" s="11">
        <v>0.33333333333333331</v>
      </c>
      <c r="Z2303" s="11">
        <v>0.33333333333333331</v>
      </c>
      <c r="AA2303" s="11">
        <v>0.33333333333333331</v>
      </c>
    </row>
    <row r="2304" spans="21:27" x14ac:dyDescent="0.25">
      <c r="U2304" s="37">
        <v>40972</v>
      </c>
      <c r="V2304" s="10">
        <v>2</v>
      </c>
      <c r="W2304" s="10">
        <v>0</v>
      </c>
      <c r="X2304" s="10">
        <v>2</v>
      </c>
      <c r="Y2304" s="11">
        <v>0.5</v>
      </c>
      <c r="Z2304" s="11">
        <v>0</v>
      </c>
      <c r="AA2304" s="11">
        <v>0.5</v>
      </c>
    </row>
    <row r="2305" spans="21:27" x14ac:dyDescent="0.25">
      <c r="U2305" s="37">
        <v>40979</v>
      </c>
      <c r="V2305" s="10">
        <v>8</v>
      </c>
      <c r="W2305" s="10">
        <v>4</v>
      </c>
      <c r="X2305" s="10">
        <v>4</v>
      </c>
      <c r="Y2305" s="11">
        <v>0.5</v>
      </c>
      <c r="Z2305" s="11">
        <v>0.25</v>
      </c>
      <c r="AA2305" s="11">
        <v>0.25</v>
      </c>
    </row>
    <row r="2306" spans="21:27" x14ac:dyDescent="0.25">
      <c r="U2306" s="37">
        <v>40986</v>
      </c>
      <c r="V2306" s="10">
        <v>5</v>
      </c>
      <c r="W2306" s="10">
        <v>2</v>
      </c>
      <c r="X2306" s="10">
        <v>6</v>
      </c>
      <c r="Y2306" s="11">
        <v>0.38461538461538464</v>
      </c>
      <c r="Z2306" s="11">
        <v>0.15384615384615385</v>
      </c>
      <c r="AA2306" s="11">
        <v>0.46153846153846156</v>
      </c>
    </row>
    <row r="2307" spans="21:27" x14ac:dyDescent="0.25">
      <c r="U2307" s="37">
        <v>40993</v>
      </c>
      <c r="V2307" s="10">
        <v>2</v>
      </c>
      <c r="W2307" s="10">
        <v>0</v>
      </c>
      <c r="X2307" s="10">
        <v>2</v>
      </c>
      <c r="Y2307" s="11">
        <v>0.5</v>
      </c>
      <c r="Z2307" s="11">
        <v>0</v>
      </c>
      <c r="AA2307" s="11">
        <v>0.5</v>
      </c>
    </row>
    <row r="2308" spans="21:27" x14ac:dyDescent="0.25">
      <c r="U2308" s="37">
        <v>41000</v>
      </c>
      <c r="V2308" s="10">
        <v>4</v>
      </c>
      <c r="W2308" s="10">
        <v>0</v>
      </c>
      <c r="X2308" s="10">
        <v>2</v>
      </c>
      <c r="Y2308" s="11">
        <v>0.66666666666666663</v>
      </c>
      <c r="Z2308" s="11">
        <v>0</v>
      </c>
      <c r="AA2308" s="11">
        <v>0.33333333333333331</v>
      </c>
    </row>
    <row r="2309" spans="21:27" x14ac:dyDescent="0.25">
      <c r="U2309" s="37">
        <v>41007</v>
      </c>
      <c r="V2309" s="10">
        <v>3</v>
      </c>
      <c r="W2309" s="10">
        <v>1</v>
      </c>
      <c r="X2309" s="10">
        <v>5</v>
      </c>
      <c r="Y2309" s="11">
        <v>0.33333333333333331</v>
      </c>
      <c r="Z2309" s="11">
        <v>0.1111111111111111</v>
      </c>
      <c r="AA2309" s="11">
        <v>0.55555555555555558</v>
      </c>
    </row>
    <row r="2310" spans="21:27" x14ac:dyDescent="0.25">
      <c r="U2310" s="37">
        <v>41014</v>
      </c>
      <c r="V2310" s="10">
        <v>5</v>
      </c>
      <c r="W2310" s="10">
        <v>3</v>
      </c>
      <c r="X2310" s="10">
        <v>8</v>
      </c>
      <c r="Y2310" s="11">
        <v>0.3125</v>
      </c>
      <c r="Z2310" s="11">
        <v>0.1875</v>
      </c>
      <c r="AA2310" s="11">
        <v>0.5</v>
      </c>
    </row>
    <row r="2311" spans="21:27" x14ac:dyDescent="0.25">
      <c r="U2311" s="37">
        <v>41021</v>
      </c>
      <c r="V2311" s="10">
        <v>7</v>
      </c>
      <c r="W2311" s="10">
        <v>7</v>
      </c>
      <c r="X2311" s="10">
        <v>9</v>
      </c>
      <c r="Y2311" s="11">
        <v>0.30434782608695654</v>
      </c>
      <c r="Z2311" s="11">
        <v>0.30434782608695654</v>
      </c>
      <c r="AA2311" s="11">
        <v>0.39130434782608697</v>
      </c>
    </row>
    <row r="2312" spans="21:27" x14ac:dyDescent="0.25">
      <c r="U2312" s="37">
        <v>41028</v>
      </c>
      <c r="V2312" s="10">
        <v>3</v>
      </c>
      <c r="W2312" s="10">
        <v>1</v>
      </c>
      <c r="X2312" s="10">
        <v>4</v>
      </c>
      <c r="Y2312" s="11">
        <v>0.375</v>
      </c>
      <c r="Z2312" s="11">
        <v>0.125</v>
      </c>
      <c r="AA2312" s="11">
        <v>0.5</v>
      </c>
    </row>
    <row r="2313" spans="21:27" x14ac:dyDescent="0.25">
      <c r="U2313" s="37">
        <v>41035</v>
      </c>
      <c r="V2313" s="10">
        <v>2</v>
      </c>
      <c r="W2313" s="10">
        <v>6</v>
      </c>
      <c r="X2313" s="10">
        <v>3</v>
      </c>
      <c r="Y2313" s="11">
        <v>0.18181818181818182</v>
      </c>
      <c r="Z2313" s="11">
        <v>0.54545454545454541</v>
      </c>
      <c r="AA2313" s="11">
        <v>0.27272727272727271</v>
      </c>
    </row>
    <row r="2314" spans="21:27" x14ac:dyDescent="0.25">
      <c r="U2314" s="37">
        <v>41042</v>
      </c>
      <c r="V2314" s="10">
        <v>16</v>
      </c>
      <c r="W2314" s="10">
        <v>6</v>
      </c>
      <c r="X2314" s="10">
        <v>8</v>
      </c>
      <c r="Y2314" s="11">
        <v>0.53333333333333333</v>
      </c>
      <c r="Z2314" s="11">
        <v>0.2</v>
      </c>
      <c r="AA2314" s="11">
        <v>0.26666666666666666</v>
      </c>
    </row>
    <row r="2315" spans="21:27" x14ac:dyDescent="0.25">
      <c r="U2315" s="37">
        <v>41046</v>
      </c>
      <c r="V2315" s="10">
        <v>9</v>
      </c>
      <c r="W2315" s="10">
        <v>4</v>
      </c>
      <c r="X2315" s="10">
        <v>3</v>
      </c>
      <c r="Y2315" s="11">
        <v>0.5625</v>
      </c>
      <c r="Z2315" s="11">
        <v>0.25</v>
      </c>
      <c r="AA2315" s="11">
        <v>0.1875</v>
      </c>
    </row>
    <row r="2316" spans="21:27" x14ac:dyDescent="0.25">
      <c r="U2316" s="37">
        <v>41049</v>
      </c>
      <c r="V2316" s="10">
        <v>8</v>
      </c>
      <c r="W2316" s="10">
        <v>3</v>
      </c>
      <c r="X2316" s="10">
        <v>10</v>
      </c>
      <c r="Y2316" s="11">
        <v>0.38095238095238093</v>
      </c>
      <c r="Z2316" s="11">
        <v>0.14285714285714285</v>
      </c>
      <c r="AA2316" s="11">
        <v>0.47619047619047616</v>
      </c>
    </row>
    <row r="2317" spans="21:27" x14ac:dyDescent="0.25">
      <c r="U2317" s="37">
        <v>41056</v>
      </c>
      <c r="V2317" s="10">
        <v>6</v>
      </c>
      <c r="W2317" s="10">
        <v>4</v>
      </c>
      <c r="X2317" s="10">
        <v>7</v>
      </c>
      <c r="Y2317" s="11">
        <v>0.35294117647058826</v>
      </c>
      <c r="Z2317" s="11">
        <v>0.23529411764705882</v>
      </c>
      <c r="AA2317" s="11">
        <v>0.41176470588235292</v>
      </c>
    </row>
    <row r="2318" spans="21:27" x14ac:dyDescent="0.25">
      <c r="U2318" s="37">
        <v>41063</v>
      </c>
      <c r="V2318" s="10">
        <v>11</v>
      </c>
      <c r="W2318" s="10">
        <v>11</v>
      </c>
      <c r="X2318" s="10">
        <v>11</v>
      </c>
      <c r="Y2318" s="11">
        <v>0.33333333333333331</v>
      </c>
      <c r="Z2318" s="11">
        <v>0.33333333333333331</v>
      </c>
      <c r="AA2318" s="11">
        <v>0.33333333333333331</v>
      </c>
    </row>
    <row r="2319" spans="21:27" x14ac:dyDescent="0.25">
      <c r="U2319" s="37">
        <v>41070</v>
      </c>
      <c r="V2319" s="10">
        <v>7</v>
      </c>
      <c r="W2319" s="10">
        <v>9</v>
      </c>
      <c r="X2319" s="10">
        <v>6</v>
      </c>
      <c r="Y2319" s="11">
        <v>0.31818181818181818</v>
      </c>
      <c r="Z2319" s="11">
        <v>0.40909090909090912</v>
      </c>
      <c r="AA2319" s="11">
        <v>0.27272727272727271</v>
      </c>
    </row>
    <row r="2320" spans="21:27" x14ac:dyDescent="0.25">
      <c r="U2320" s="37">
        <v>41077</v>
      </c>
      <c r="V2320" s="10">
        <v>2</v>
      </c>
      <c r="W2320" s="10">
        <v>6</v>
      </c>
      <c r="X2320" s="10">
        <v>3</v>
      </c>
      <c r="Y2320" s="11">
        <v>0.18181818181818182</v>
      </c>
      <c r="Z2320" s="11">
        <v>0.54545454545454541</v>
      </c>
      <c r="AA2320" s="11">
        <v>0.27272727272727271</v>
      </c>
    </row>
    <row r="2321" spans="21:27" x14ac:dyDescent="0.25">
      <c r="U2321" s="37">
        <v>41084</v>
      </c>
      <c r="V2321" s="10">
        <v>2</v>
      </c>
      <c r="W2321" s="10">
        <v>0</v>
      </c>
      <c r="X2321" s="10">
        <v>8</v>
      </c>
      <c r="Y2321" s="11">
        <v>0.2</v>
      </c>
      <c r="Z2321" s="11">
        <v>0</v>
      </c>
      <c r="AA2321" s="11">
        <v>0.8</v>
      </c>
    </row>
    <row r="2322" spans="21:27" x14ac:dyDescent="0.25">
      <c r="U2322" s="37">
        <v>41091</v>
      </c>
      <c r="V2322" s="10">
        <v>6</v>
      </c>
      <c r="W2322" s="10">
        <v>3</v>
      </c>
      <c r="X2322" s="10">
        <v>9</v>
      </c>
      <c r="Y2322" s="11">
        <v>0.33333333333333331</v>
      </c>
      <c r="Z2322" s="11">
        <v>0.16666666666666666</v>
      </c>
      <c r="AA2322" s="11">
        <v>0.5</v>
      </c>
    </row>
    <row r="2323" spans="21:27" x14ac:dyDescent="0.25">
      <c r="U2323" s="37">
        <v>41098</v>
      </c>
      <c r="V2323" s="10">
        <v>6</v>
      </c>
      <c r="W2323" s="10">
        <v>4</v>
      </c>
      <c r="X2323" s="10">
        <v>8</v>
      </c>
      <c r="Y2323" s="11">
        <v>0.33333333333333331</v>
      </c>
      <c r="Z2323" s="11">
        <v>0.22222222222222221</v>
      </c>
      <c r="AA2323" s="11">
        <v>0.44444444444444442</v>
      </c>
    </row>
    <row r="2324" spans="21:27" x14ac:dyDescent="0.25">
      <c r="U2324" s="37">
        <v>41105</v>
      </c>
      <c r="V2324" s="10">
        <v>2</v>
      </c>
      <c r="W2324" s="10">
        <v>2</v>
      </c>
      <c r="X2324" s="10">
        <v>6</v>
      </c>
      <c r="Y2324" s="11">
        <v>0.2</v>
      </c>
      <c r="Z2324" s="11">
        <v>0.2</v>
      </c>
      <c r="AA2324" s="11">
        <v>0.6</v>
      </c>
    </row>
    <row r="2325" spans="21:27" x14ac:dyDescent="0.25">
      <c r="U2325" s="37">
        <v>41112</v>
      </c>
      <c r="V2325" s="10">
        <v>3</v>
      </c>
      <c r="W2325" s="10">
        <v>4</v>
      </c>
      <c r="X2325" s="10">
        <v>12</v>
      </c>
      <c r="Y2325" s="11">
        <v>0.15789473684210525</v>
      </c>
      <c r="Z2325" s="11">
        <v>0.21052631578947367</v>
      </c>
      <c r="AA2325" s="11">
        <v>0.63157894736842102</v>
      </c>
    </row>
    <row r="2326" spans="21:27" x14ac:dyDescent="0.25">
      <c r="U2326" s="37">
        <v>41119</v>
      </c>
      <c r="V2326" s="10">
        <v>5</v>
      </c>
      <c r="W2326" s="10">
        <v>4</v>
      </c>
      <c r="X2326" s="10">
        <v>0</v>
      </c>
      <c r="Y2326" s="11">
        <v>0.55555555555555558</v>
      </c>
      <c r="Z2326" s="11">
        <v>0.44444444444444442</v>
      </c>
      <c r="AA2326" s="11">
        <v>0</v>
      </c>
    </row>
    <row r="2327" spans="21:27" x14ac:dyDescent="0.25">
      <c r="U2327" s="37">
        <v>41126</v>
      </c>
      <c r="V2327" s="10">
        <v>2</v>
      </c>
      <c r="W2327" s="10">
        <v>7</v>
      </c>
      <c r="X2327" s="10">
        <v>4</v>
      </c>
      <c r="Y2327" s="11">
        <v>0.15384615384615385</v>
      </c>
      <c r="Z2327" s="11">
        <v>0.53846153846153844</v>
      </c>
      <c r="AA2327" s="11">
        <v>0.30769230769230771</v>
      </c>
    </row>
    <row r="2328" spans="21:27" x14ac:dyDescent="0.25">
      <c r="U2328" s="37">
        <v>41133</v>
      </c>
      <c r="V2328" s="10">
        <v>6</v>
      </c>
      <c r="W2328" s="10">
        <v>3</v>
      </c>
      <c r="X2328" s="10">
        <v>8</v>
      </c>
      <c r="Y2328" s="11">
        <v>0.35294117647058826</v>
      </c>
      <c r="Z2328" s="11">
        <v>0.17647058823529413</v>
      </c>
      <c r="AA2328" s="11">
        <v>0.47058823529411764</v>
      </c>
    </row>
    <row r="2329" spans="21:27" x14ac:dyDescent="0.25">
      <c r="U2329" s="37">
        <v>41136</v>
      </c>
      <c r="V2329" s="10">
        <v>9</v>
      </c>
      <c r="W2329" s="10">
        <v>4</v>
      </c>
      <c r="X2329" s="10">
        <v>8</v>
      </c>
      <c r="Y2329" s="11">
        <v>0.42857142857142855</v>
      </c>
      <c r="Z2329" s="11">
        <v>0.19047619047619047</v>
      </c>
      <c r="AA2329" s="11">
        <v>0.38095238095238093</v>
      </c>
    </row>
    <row r="2330" spans="21:27" x14ac:dyDescent="0.25">
      <c r="U2330" s="37">
        <v>41140</v>
      </c>
      <c r="V2330" s="10">
        <v>10</v>
      </c>
      <c r="W2330" s="10">
        <v>4</v>
      </c>
      <c r="X2330" s="10">
        <v>5</v>
      </c>
      <c r="Y2330" s="11">
        <v>0.52631578947368418</v>
      </c>
      <c r="Z2330" s="11">
        <v>0.21052631578947367</v>
      </c>
      <c r="AA2330" s="11">
        <v>0.26315789473684209</v>
      </c>
    </row>
    <row r="2331" spans="21:27" x14ac:dyDescent="0.25">
      <c r="U2331" s="37">
        <v>41147</v>
      </c>
      <c r="V2331" s="10">
        <v>3</v>
      </c>
      <c r="W2331" s="10">
        <v>5</v>
      </c>
      <c r="X2331" s="10">
        <v>6</v>
      </c>
      <c r="Y2331" s="11">
        <v>0.21428571428571427</v>
      </c>
      <c r="Z2331" s="11">
        <v>0.35714285714285715</v>
      </c>
      <c r="AA2331" s="11">
        <v>0.42857142857142855</v>
      </c>
    </row>
    <row r="2332" spans="21:27" x14ac:dyDescent="0.25">
      <c r="U2332" s="37">
        <v>41154</v>
      </c>
      <c r="V2332" s="10">
        <v>5</v>
      </c>
      <c r="W2332" s="10">
        <v>1</v>
      </c>
      <c r="X2332" s="10">
        <v>7</v>
      </c>
      <c r="Y2332" s="11">
        <v>0.38461538461538464</v>
      </c>
      <c r="Z2332" s="11">
        <v>7.6923076923076927E-2</v>
      </c>
      <c r="AA2332" s="11">
        <v>0.53846153846153844</v>
      </c>
    </row>
    <row r="2333" spans="21:27" x14ac:dyDescent="0.25">
      <c r="U2333" s="37">
        <v>41161</v>
      </c>
      <c r="V2333" s="10">
        <v>7</v>
      </c>
      <c r="W2333" s="10">
        <v>0</v>
      </c>
      <c r="X2333" s="10">
        <v>5</v>
      </c>
      <c r="Y2333" s="11">
        <v>0.58333333333333337</v>
      </c>
      <c r="Z2333" s="11">
        <v>0</v>
      </c>
      <c r="AA2333" s="11">
        <v>0.41666666666666669</v>
      </c>
    </row>
    <row r="2334" spans="21:27" x14ac:dyDescent="0.25">
      <c r="U2334" s="37">
        <v>41168</v>
      </c>
      <c r="V2334" s="10">
        <v>3</v>
      </c>
      <c r="W2334" s="10">
        <v>5</v>
      </c>
      <c r="X2334" s="10">
        <v>4</v>
      </c>
      <c r="Y2334" s="11">
        <v>0.25</v>
      </c>
      <c r="Z2334" s="11">
        <v>0.41666666666666669</v>
      </c>
      <c r="AA2334" s="11">
        <v>0.33333333333333331</v>
      </c>
    </row>
    <row r="2335" spans="21:27" x14ac:dyDescent="0.25">
      <c r="U2335" s="37">
        <v>41175</v>
      </c>
      <c r="V2335" s="10">
        <v>3</v>
      </c>
      <c r="W2335" s="10">
        <v>2</v>
      </c>
      <c r="X2335" s="10">
        <v>8</v>
      </c>
      <c r="Y2335" s="11">
        <v>0.23076923076923078</v>
      </c>
      <c r="Z2335" s="11">
        <v>0.15384615384615385</v>
      </c>
      <c r="AA2335" s="11">
        <v>0.61538461538461542</v>
      </c>
    </row>
    <row r="2336" spans="21:27" x14ac:dyDescent="0.25">
      <c r="U2336" s="37">
        <v>41182</v>
      </c>
      <c r="V2336" s="10">
        <v>6</v>
      </c>
      <c r="W2336" s="10">
        <v>3</v>
      </c>
      <c r="X2336" s="10">
        <v>8</v>
      </c>
      <c r="Y2336" s="11">
        <v>0.35294117647058826</v>
      </c>
      <c r="Z2336" s="11">
        <v>0.17647058823529413</v>
      </c>
      <c r="AA2336" s="11">
        <v>0.47058823529411764</v>
      </c>
    </row>
    <row r="2337" spans="21:27" x14ac:dyDescent="0.25">
      <c r="U2337" s="37">
        <v>41189</v>
      </c>
      <c r="V2337" s="10">
        <v>7</v>
      </c>
      <c r="W2337" s="10">
        <v>1</v>
      </c>
      <c r="X2337" s="10">
        <v>6</v>
      </c>
      <c r="Y2337" s="11">
        <v>0.5</v>
      </c>
      <c r="Z2337" s="11">
        <v>7.1428571428571425E-2</v>
      </c>
      <c r="AA2337" s="11">
        <v>0.42857142857142855</v>
      </c>
    </row>
    <row r="2338" spans="21:27" x14ac:dyDescent="0.25">
      <c r="U2338" s="37">
        <v>41196</v>
      </c>
      <c r="V2338" s="10">
        <v>4</v>
      </c>
      <c r="W2338" s="10">
        <v>4</v>
      </c>
      <c r="X2338" s="10">
        <v>15</v>
      </c>
      <c r="Y2338" s="11">
        <v>0.17391304347826086</v>
      </c>
      <c r="Z2338" s="11">
        <v>0.17391304347826086</v>
      </c>
      <c r="AA2338" s="11">
        <v>0.65217391304347827</v>
      </c>
    </row>
    <row r="2339" spans="21:27" x14ac:dyDescent="0.25">
      <c r="U2339" s="37">
        <v>41203</v>
      </c>
      <c r="V2339" s="10">
        <v>4</v>
      </c>
      <c r="W2339" s="10">
        <v>12</v>
      </c>
      <c r="X2339" s="10">
        <v>8</v>
      </c>
      <c r="Y2339" s="11">
        <v>0.16666666666666666</v>
      </c>
      <c r="Z2339" s="11">
        <v>0.5</v>
      </c>
      <c r="AA2339" s="11">
        <v>0.33333333333333331</v>
      </c>
    </row>
    <row r="2340" spans="21:27" x14ac:dyDescent="0.25">
      <c r="U2340" s="37">
        <v>41210</v>
      </c>
      <c r="V2340" s="10">
        <v>6</v>
      </c>
      <c r="W2340" s="10">
        <v>8</v>
      </c>
      <c r="X2340" s="10">
        <v>11</v>
      </c>
      <c r="Y2340" s="11">
        <v>0.24</v>
      </c>
      <c r="Z2340" s="11">
        <v>0.32</v>
      </c>
      <c r="AA2340" s="11">
        <v>0.44</v>
      </c>
    </row>
    <row r="2341" spans="21:27" x14ac:dyDescent="0.25">
      <c r="U2341" s="37">
        <v>41214</v>
      </c>
      <c r="V2341" s="10">
        <v>0</v>
      </c>
      <c r="W2341" s="10">
        <v>3</v>
      </c>
      <c r="X2341" s="10">
        <v>4</v>
      </c>
      <c r="Y2341" s="11">
        <v>0</v>
      </c>
      <c r="Z2341" s="11">
        <v>0.42857142857142855</v>
      </c>
      <c r="AA2341" s="11">
        <v>0.5714285714285714</v>
      </c>
    </row>
    <row r="2342" spans="21:27" x14ac:dyDescent="0.25">
      <c r="U2342" s="37">
        <v>41217</v>
      </c>
      <c r="V2342" s="10">
        <v>7</v>
      </c>
      <c r="W2342" s="10">
        <v>4</v>
      </c>
      <c r="X2342" s="10">
        <v>8</v>
      </c>
      <c r="Y2342" s="11">
        <v>0.36842105263157893</v>
      </c>
      <c r="Z2342" s="11">
        <v>0.21052631578947367</v>
      </c>
      <c r="AA2342" s="11">
        <v>0.42105263157894735</v>
      </c>
    </row>
    <row r="2343" spans="21:27" x14ac:dyDescent="0.25">
      <c r="U2343" s="37">
        <v>41224</v>
      </c>
      <c r="V2343" s="10">
        <v>3</v>
      </c>
      <c r="W2343" s="10">
        <v>0</v>
      </c>
      <c r="X2343" s="10">
        <v>9</v>
      </c>
      <c r="Y2343" s="11">
        <v>0.25</v>
      </c>
      <c r="Z2343" s="11">
        <v>0</v>
      </c>
      <c r="AA2343" s="11">
        <v>0.75</v>
      </c>
    </row>
    <row r="2344" spans="21:27" x14ac:dyDescent="0.25">
      <c r="U2344" s="37">
        <v>41231</v>
      </c>
      <c r="V2344" s="10">
        <v>2</v>
      </c>
      <c r="W2344" s="10">
        <v>2</v>
      </c>
      <c r="X2344" s="10">
        <v>2</v>
      </c>
      <c r="Y2344" s="11">
        <v>0.33333333333333331</v>
      </c>
      <c r="Z2344" s="11">
        <v>0.33333333333333331</v>
      </c>
      <c r="AA2344" s="11">
        <v>0.33333333333333331</v>
      </c>
    </row>
    <row r="2345" spans="21:27" x14ac:dyDescent="0.25">
      <c r="U2345" s="37">
        <v>41238</v>
      </c>
      <c r="V2345" s="10">
        <v>7</v>
      </c>
      <c r="W2345" s="10">
        <v>7</v>
      </c>
      <c r="X2345" s="10">
        <v>9</v>
      </c>
      <c r="Y2345" s="11">
        <v>0.30434782608695654</v>
      </c>
      <c r="Z2345" s="11">
        <v>0.30434782608695654</v>
      </c>
      <c r="AA2345" s="11">
        <v>0.39130434782608697</v>
      </c>
    </row>
    <row r="2346" spans="21:27" x14ac:dyDescent="0.25">
      <c r="U2346" s="37">
        <v>41245</v>
      </c>
      <c r="V2346" s="10">
        <v>8</v>
      </c>
      <c r="W2346" s="10">
        <v>1</v>
      </c>
      <c r="X2346" s="10">
        <v>5</v>
      </c>
      <c r="Y2346" s="11">
        <v>0.5714285714285714</v>
      </c>
      <c r="Z2346" s="11">
        <v>7.1428571428571425E-2</v>
      </c>
      <c r="AA2346" s="11">
        <v>0.35714285714285715</v>
      </c>
    </row>
    <row r="2347" spans="21:27" x14ac:dyDescent="0.25">
      <c r="U2347" s="37">
        <v>41252</v>
      </c>
      <c r="V2347" s="10">
        <v>3</v>
      </c>
      <c r="W2347" s="10">
        <v>1</v>
      </c>
      <c r="X2347" s="10">
        <v>10</v>
      </c>
      <c r="Y2347" s="11">
        <v>0.21428571428571427</v>
      </c>
      <c r="Z2347" s="11">
        <v>7.1428571428571425E-2</v>
      </c>
      <c r="AA2347" s="11">
        <v>0.7142857142857143</v>
      </c>
    </row>
    <row r="2348" spans="21:27" x14ac:dyDescent="0.25">
      <c r="U2348" s="37">
        <v>41259</v>
      </c>
      <c r="V2348" s="10">
        <v>7</v>
      </c>
      <c r="W2348" s="10">
        <v>3</v>
      </c>
      <c r="X2348" s="10">
        <v>14</v>
      </c>
      <c r="Y2348" s="11">
        <v>0.29166666666666669</v>
      </c>
      <c r="Z2348" s="11">
        <v>0.125</v>
      </c>
      <c r="AA2348" s="11">
        <v>0.58333333333333337</v>
      </c>
    </row>
    <row r="2349" spans="21:27" x14ac:dyDescent="0.25">
      <c r="U2349" s="37">
        <v>41266</v>
      </c>
      <c r="V2349" s="10">
        <v>3</v>
      </c>
      <c r="W2349" s="10">
        <v>4</v>
      </c>
      <c r="X2349" s="10">
        <v>4</v>
      </c>
      <c r="Y2349" s="11">
        <v>0.27272727272727271</v>
      </c>
      <c r="Z2349" s="11">
        <v>0.36363636363636365</v>
      </c>
      <c r="AA2349" s="11">
        <v>0.36363636363636365</v>
      </c>
    </row>
    <row r="2350" spans="21:27" x14ac:dyDescent="0.25">
      <c r="U2350" s="37">
        <v>41267</v>
      </c>
      <c r="V2350" s="10">
        <v>5</v>
      </c>
      <c r="W2350" s="10">
        <v>4</v>
      </c>
      <c r="X2350" s="10">
        <v>5</v>
      </c>
      <c r="Y2350" s="11">
        <v>0.35714285714285715</v>
      </c>
      <c r="Z2350" s="11">
        <v>0.2857142857142857</v>
      </c>
      <c r="AA2350" s="11">
        <v>0.35714285714285715</v>
      </c>
    </row>
    <row r="2351" spans="21:27" x14ac:dyDescent="0.25">
      <c r="U2351" s="37">
        <v>41268</v>
      </c>
      <c r="V2351" s="10">
        <v>5</v>
      </c>
      <c r="W2351" s="10">
        <v>7</v>
      </c>
      <c r="X2351" s="10">
        <v>18</v>
      </c>
      <c r="Y2351" s="11">
        <v>0.16666666666666666</v>
      </c>
      <c r="Z2351" s="11">
        <v>0.23333333333333334</v>
      </c>
      <c r="AA2351" s="11">
        <v>0.6</v>
      </c>
    </row>
    <row r="2352" spans="21:27" x14ac:dyDescent="0.25">
      <c r="U2352" s="37">
        <v>41273</v>
      </c>
      <c r="V2352" s="10">
        <v>1</v>
      </c>
      <c r="W2352" s="10">
        <v>1</v>
      </c>
      <c r="X2352" s="10">
        <v>5</v>
      </c>
      <c r="Y2352" s="11">
        <v>0.14285714285714285</v>
      </c>
      <c r="Z2352" s="11">
        <v>0.14285714285714285</v>
      </c>
      <c r="AA2352" s="11">
        <v>0.7142857142857143</v>
      </c>
    </row>
    <row r="2353" spans="21:27" x14ac:dyDescent="0.25">
      <c r="U2353" s="37">
        <v>41280</v>
      </c>
      <c r="V2353" s="10">
        <v>0</v>
      </c>
      <c r="W2353" s="10">
        <v>2</v>
      </c>
      <c r="X2353" s="10">
        <v>5</v>
      </c>
      <c r="Y2353" s="11">
        <v>0</v>
      </c>
      <c r="Z2353" s="11">
        <v>0.2857142857142857</v>
      </c>
      <c r="AA2353" s="11">
        <v>0.7142857142857143</v>
      </c>
    </row>
    <row r="2354" spans="21:27" x14ac:dyDescent="0.25">
      <c r="U2354" s="37">
        <v>41287</v>
      </c>
      <c r="V2354" s="10">
        <v>4</v>
      </c>
      <c r="W2354" s="10">
        <v>2</v>
      </c>
      <c r="X2354" s="10">
        <v>3</v>
      </c>
      <c r="Y2354" s="11">
        <v>0.44444444444444442</v>
      </c>
      <c r="Z2354" s="11">
        <v>0.22222222222222221</v>
      </c>
      <c r="AA2354" s="11">
        <v>0.33333333333333331</v>
      </c>
    </row>
    <row r="2355" spans="21:27" x14ac:dyDescent="0.25">
      <c r="U2355" s="37">
        <v>41294</v>
      </c>
      <c r="V2355" s="10">
        <v>4</v>
      </c>
      <c r="W2355" s="10">
        <v>1</v>
      </c>
      <c r="X2355" s="10">
        <v>4</v>
      </c>
      <c r="Y2355" s="11">
        <v>0.44444444444444442</v>
      </c>
      <c r="Z2355" s="11">
        <v>0.1111111111111111</v>
      </c>
      <c r="AA2355" s="11">
        <v>0.44444444444444442</v>
      </c>
    </row>
    <row r="2356" spans="21:27" x14ac:dyDescent="0.25">
      <c r="U2356" s="37">
        <v>41301</v>
      </c>
      <c r="V2356" s="10">
        <v>5</v>
      </c>
      <c r="W2356" s="10">
        <v>2</v>
      </c>
      <c r="X2356" s="10">
        <v>10</v>
      </c>
      <c r="Y2356" s="11">
        <v>0.29411764705882354</v>
      </c>
      <c r="Z2356" s="11">
        <v>0.11764705882352941</v>
      </c>
      <c r="AA2356" s="11">
        <v>0.58823529411764708</v>
      </c>
    </row>
    <row r="2357" spans="21:27" x14ac:dyDescent="0.25">
      <c r="U2357" s="37">
        <v>41308</v>
      </c>
      <c r="V2357" s="10">
        <v>3</v>
      </c>
      <c r="W2357" s="10">
        <v>1</v>
      </c>
      <c r="X2357" s="10">
        <v>5</v>
      </c>
      <c r="Y2357" s="11">
        <v>0.33333333333333331</v>
      </c>
      <c r="Z2357" s="11">
        <v>0.1111111111111111</v>
      </c>
      <c r="AA2357" s="11">
        <v>0.55555555555555558</v>
      </c>
    </row>
    <row r="2358" spans="21:27" x14ac:dyDescent="0.25">
      <c r="U2358" s="37">
        <v>41315</v>
      </c>
      <c r="V2358" s="10">
        <v>5</v>
      </c>
      <c r="W2358" s="10">
        <v>2</v>
      </c>
      <c r="X2358" s="10">
        <v>8</v>
      </c>
      <c r="Y2358" s="11">
        <v>0.33333333333333331</v>
      </c>
      <c r="Z2358" s="11">
        <v>0.13333333333333333</v>
      </c>
      <c r="AA2358" s="11">
        <v>0.53333333333333333</v>
      </c>
    </row>
    <row r="2359" spans="21:27" x14ac:dyDescent="0.25">
      <c r="U2359" s="37">
        <v>41322</v>
      </c>
      <c r="V2359" s="10">
        <v>5</v>
      </c>
      <c r="W2359" s="10">
        <v>9</v>
      </c>
      <c r="X2359" s="10">
        <v>12</v>
      </c>
      <c r="Y2359" s="11">
        <v>0.19230769230769232</v>
      </c>
      <c r="Z2359" s="11">
        <v>0.34615384615384615</v>
      </c>
      <c r="AA2359" s="11">
        <v>0.46153846153846156</v>
      </c>
    </row>
    <row r="2360" spans="21:27" x14ac:dyDescent="0.25">
      <c r="U2360" s="37">
        <v>41329</v>
      </c>
      <c r="V2360" s="10">
        <v>9</v>
      </c>
      <c r="W2360" s="10">
        <v>8</v>
      </c>
      <c r="X2360" s="10">
        <v>11</v>
      </c>
      <c r="Y2360" s="11">
        <v>0.32142857142857145</v>
      </c>
      <c r="Z2360" s="11">
        <v>0.2857142857142857</v>
      </c>
      <c r="AA2360" s="11">
        <v>0.39285714285714285</v>
      </c>
    </row>
    <row r="2361" spans="21:27" x14ac:dyDescent="0.25">
      <c r="U2361" s="37">
        <v>41336</v>
      </c>
      <c r="V2361" s="10">
        <v>9</v>
      </c>
      <c r="W2361" s="10">
        <v>3</v>
      </c>
      <c r="X2361" s="10">
        <v>7</v>
      </c>
      <c r="Y2361" s="11">
        <v>0.47368421052631576</v>
      </c>
      <c r="Z2361" s="11">
        <v>0.15789473684210525</v>
      </c>
      <c r="AA2361" s="11">
        <v>0.36842105263157893</v>
      </c>
    </row>
    <row r="2362" spans="21:27" x14ac:dyDescent="0.25">
      <c r="U2362" s="37">
        <v>41343</v>
      </c>
      <c r="V2362" s="10">
        <v>2</v>
      </c>
      <c r="W2362" s="10">
        <v>6</v>
      </c>
      <c r="X2362" s="10">
        <v>2</v>
      </c>
      <c r="Y2362" s="11">
        <v>0.2</v>
      </c>
      <c r="Z2362" s="11">
        <v>0.6</v>
      </c>
      <c r="AA2362" s="11">
        <v>0.2</v>
      </c>
    </row>
    <row r="2363" spans="21:27" x14ac:dyDescent="0.25">
      <c r="U2363" s="37">
        <v>41350</v>
      </c>
      <c r="V2363" s="10">
        <v>4</v>
      </c>
      <c r="W2363" s="10">
        <v>3</v>
      </c>
      <c r="X2363" s="10">
        <v>5</v>
      </c>
      <c r="Y2363" s="11">
        <v>0.33333333333333331</v>
      </c>
      <c r="Z2363" s="11">
        <v>0.25</v>
      </c>
      <c r="AA2363" s="11">
        <v>0.41666666666666669</v>
      </c>
    </row>
    <row r="2364" spans="21:27" x14ac:dyDescent="0.25">
      <c r="U2364" s="37">
        <v>41357</v>
      </c>
      <c r="V2364" s="10">
        <v>7</v>
      </c>
      <c r="W2364" s="10">
        <v>1</v>
      </c>
      <c r="X2364" s="10">
        <v>3</v>
      </c>
      <c r="Y2364" s="11">
        <v>0.63636363636363635</v>
      </c>
      <c r="Z2364" s="11">
        <v>9.0909090909090912E-2</v>
      </c>
      <c r="AA2364" s="11">
        <v>0.27272727272727271</v>
      </c>
    </row>
    <row r="2365" spans="21:27" x14ac:dyDescent="0.25">
      <c r="U2365" s="37">
        <v>41364</v>
      </c>
      <c r="V2365" s="10">
        <v>7</v>
      </c>
      <c r="W2365" s="10">
        <v>5</v>
      </c>
      <c r="X2365" s="10">
        <v>4</v>
      </c>
      <c r="Y2365" s="11">
        <v>0.4375</v>
      </c>
      <c r="Z2365" s="11">
        <v>0.3125</v>
      </c>
      <c r="AA2365" s="11">
        <v>0.25</v>
      </c>
    </row>
    <row r="2366" spans="21:27" x14ac:dyDescent="0.25">
      <c r="U2366" s="37">
        <v>41371</v>
      </c>
      <c r="V2366" s="10">
        <v>4</v>
      </c>
      <c r="W2366" s="10">
        <v>4</v>
      </c>
      <c r="X2366" s="10">
        <v>4</v>
      </c>
      <c r="Y2366" s="11">
        <v>0.33333333333333331</v>
      </c>
      <c r="Z2366" s="11">
        <v>0.33333333333333331</v>
      </c>
      <c r="AA2366" s="11">
        <v>0.33333333333333331</v>
      </c>
    </row>
    <row r="2367" spans="21:27" x14ac:dyDescent="0.25">
      <c r="U2367" s="37">
        <v>41378</v>
      </c>
      <c r="V2367" s="10">
        <v>5</v>
      </c>
      <c r="W2367" s="10">
        <v>5</v>
      </c>
      <c r="X2367" s="10">
        <v>4</v>
      </c>
      <c r="Y2367" s="11">
        <v>0.35714285714285715</v>
      </c>
      <c r="Z2367" s="11">
        <v>0.35714285714285715</v>
      </c>
      <c r="AA2367" s="11">
        <v>0.2857142857142857</v>
      </c>
    </row>
    <row r="2368" spans="21:27" x14ac:dyDescent="0.25">
      <c r="U2368" s="37">
        <v>41385</v>
      </c>
      <c r="V2368" s="10">
        <v>4</v>
      </c>
      <c r="W2368" s="10">
        <v>4</v>
      </c>
      <c r="X2368" s="10">
        <v>7</v>
      </c>
      <c r="Y2368" s="11">
        <v>0.26666666666666666</v>
      </c>
      <c r="Z2368" s="11">
        <v>0.26666666666666666</v>
      </c>
      <c r="AA2368" s="11">
        <v>0.46666666666666667</v>
      </c>
    </row>
    <row r="2369" spans="21:27" x14ac:dyDescent="0.25">
      <c r="U2369" s="37">
        <v>41392</v>
      </c>
      <c r="V2369" s="10">
        <v>4</v>
      </c>
      <c r="W2369" s="10">
        <v>3</v>
      </c>
      <c r="X2369" s="10">
        <v>3</v>
      </c>
      <c r="Y2369" s="11">
        <v>0.4</v>
      </c>
      <c r="Z2369" s="11">
        <v>0.3</v>
      </c>
      <c r="AA2369" s="11">
        <v>0.3</v>
      </c>
    </row>
    <row r="2370" spans="21:27" x14ac:dyDescent="0.25">
      <c r="U2370" s="37">
        <v>41399</v>
      </c>
      <c r="V2370" s="10">
        <v>5</v>
      </c>
      <c r="W2370" s="10">
        <v>4</v>
      </c>
      <c r="X2370" s="10">
        <v>7</v>
      </c>
      <c r="Y2370" s="11">
        <v>0.3125</v>
      </c>
      <c r="Z2370" s="11">
        <v>0.25</v>
      </c>
      <c r="AA2370" s="11">
        <v>0.4375</v>
      </c>
    </row>
    <row r="2371" spans="21:27" x14ac:dyDescent="0.25">
      <c r="U2371" s="37">
        <v>41403</v>
      </c>
      <c r="V2371" s="10">
        <v>3</v>
      </c>
      <c r="W2371" s="10">
        <v>2</v>
      </c>
      <c r="X2371" s="10">
        <v>4</v>
      </c>
      <c r="Y2371" s="11">
        <v>0.33333333333333331</v>
      </c>
      <c r="Z2371" s="11">
        <v>0.22222222222222221</v>
      </c>
      <c r="AA2371" s="11">
        <v>0.44444444444444442</v>
      </c>
    </row>
    <row r="2372" spans="21:27" x14ac:dyDescent="0.25">
      <c r="U2372" s="37">
        <v>41406</v>
      </c>
      <c r="V2372" s="10">
        <v>4</v>
      </c>
      <c r="W2372" s="10">
        <v>5</v>
      </c>
      <c r="X2372" s="10">
        <v>8</v>
      </c>
      <c r="Y2372" s="11">
        <v>0.23529411764705882</v>
      </c>
      <c r="Z2372" s="11">
        <v>0.29411764705882354</v>
      </c>
      <c r="AA2372" s="11">
        <v>0.47058823529411764</v>
      </c>
    </row>
    <row r="2373" spans="21:27" x14ac:dyDescent="0.25">
      <c r="U2373" s="37">
        <v>41413</v>
      </c>
      <c r="V2373" s="10">
        <v>7</v>
      </c>
      <c r="W2373" s="10">
        <v>2</v>
      </c>
      <c r="X2373" s="10">
        <v>2</v>
      </c>
      <c r="Y2373" s="11">
        <v>0.63636363636363635</v>
      </c>
      <c r="Z2373" s="11">
        <v>0.18181818181818182</v>
      </c>
      <c r="AA2373" s="11">
        <v>0.18181818181818182</v>
      </c>
    </row>
    <row r="2374" spans="21:27" x14ac:dyDescent="0.25">
      <c r="U2374" s="37">
        <v>41420</v>
      </c>
      <c r="V2374" s="10">
        <v>3</v>
      </c>
      <c r="W2374" s="10">
        <v>3</v>
      </c>
      <c r="X2374" s="10">
        <v>6</v>
      </c>
      <c r="Y2374" s="11">
        <v>0.25</v>
      </c>
      <c r="Z2374" s="11">
        <v>0.25</v>
      </c>
      <c r="AA2374" s="11">
        <v>0.5</v>
      </c>
    </row>
    <row r="2375" spans="21:27" x14ac:dyDescent="0.25">
      <c r="U2375" s="37">
        <v>41427</v>
      </c>
      <c r="V2375" s="10">
        <v>5</v>
      </c>
      <c r="W2375" s="10">
        <v>2</v>
      </c>
      <c r="X2375" s="10">
        <v>7</v>
      </c>
      <c r="Y2375" s="11">
        <v>0.35714285714285715</v>
      </c>
      <c r="Z2375" s="11">
        <v>0.14285714285714285</v>
      </c>
      <c r="AA2375" s="11">
        <v>0.5</v>
      </c>
    </row>
    <row r="2376" spans="21:27" x14ac:dyDescent="0.25">
      <c r="U2376" s="37">
        <v>41434</v>
      </c>
      <c r="V2376" s="10">
        <v>6</v>
      </c>
      <c r="W2376" s="10">
        <v>1</v>
      </c>
      <c r="X2376" s="10">
        <v>6</v>
      </c>
      <c r="Y2376" s="11">
        <v>0.46153846153846156</v>
      </c>
      <c r="Z2376" s="11">
        <v>7.6923076923076927E-2</v>
      </c>
      <c r="AA2376" s="11">
        <v>0.46153846153846156</v>
      </c>
    </row>
    <row r="2377" spans="21:27" x14ac:dyDescent="0.25">
      <c r="U2377" s="37">
        <v>41441</v>
      </c>
      <c r="V2377" s="10">
        <v>7</v>
      </c>
      <c r="W2377" s="10">
        <v>2</v>
      </c>
      <c r="X2377" s="10">
        <v>6</v>
      </c>
      <c r="Y2377" s="11">
        <v>0.46666666666666667</v>
      </c>
      <c r="Z2377" s="11">
        <v>0.13333333333333333</v>
      </c>
      <c r="AA2377" s="11">
        <v>0.4</v>
      </c>
    </row>
    <row r="2378" spans="21:27" x14ac:dyDescent="0.25">
      <c r="U2378" s="37">
        <v>41448</v>
      </c>
      <c r="V2378" s="10">
        <v>5</v>
      </c>
      <c r="W2378" s="10">
        <v>6</v>
      </c>
      <c r="X2378" s="10">
        <v>9</v>
      </c>
      <c r="Y2378" s="11">
        <v>0.25</v>
      </c>
      <c r="Z2378" s="11">
        <v>0.3</v>
      </c>
      <c r="AA2378" s="11">
        <v>0.45</v>
      </c>
    </row>
    <row r="2379" spans="21:27" x14ac:dyDescent="0.25">
      <c r="U2379" s="37">
        <v>41455</v>
      </c>
      <c r="V2379" s="10">
        <v>6</v>
      </c>
      <c r="W2379" s="10">
        <v>4</v>
      </c>
      <c r="X2379" s="10">
        <v>7</v>
      </c>
      <c r="Y2379" s="11">
        <v>0.35294117647058826</v>
      </c>
      <c r="Z2379" s="11">
        <v>0.23529411764705882</v>
      </c>
      <c r="AA2379" s="11">
        <v>0.41176470588235292</v>
      </c>
    </row>
    <row r="2380" spans="21:27" x14ac:dyDescent="0.25">
      <c r="U2380" s="37">
        <v>41462</v>
      </c>
      <c r="V2380" s="10">
        <v>4</v>
      </c>
      <c r="W2380" s="10">
        <v>2</v>
      </c>
      <c r="X2380" s="10">
        <v>2</v>
      </c>
      <c r="Y2380" s="11">
        <v>0.5</v>
      </c>
      <c r="Z2380" s="11">
        <v>0.25</v>
      </c>
      <c r="AA2380" s="11">
        <v>0.25</v>
      </c>
    </row>
    <row r="2381" spans="21:27" x14ac:dyDescent="0.25">
      <c r="U2381" s="37">
        <v>41469</v>
      </c>
      <c r="V2381" s="10">
        <v>0</v>
      </c>
      <c r="W2381" s="10">
        <v>0</v>
      </c>
      <c r="X2381" s="10">
        <v>1</v>
      </c>
      <c r="Y2381" s="11">
        <v>0</v>
      </c>
      <c r="Z2381" s="11">
        <v>0</v>
      </c>
      <c r="AA2381" s="11">
        <v>1</v>
      </c>
    </row>
    <row r="2382" spans="21:27" x14ac:dyDescent="0.25">
      <c r="U2382" s="37">
        <v>41476</v>
      </c>
      <c r="V2382" s="10">
        <v>9</v>
      </c>
      <c r="W2382" s="10">
        <v>6</v>
      </c>
      <c r="X2382" s="10">
        <v>7</v>
      </c>
      <c r="Y2382" s="11">
        <v>0.40909090909090912</v>
      </c>
      <c r="Z2382" s="11">
        <v>0.27272727272727271</v>
      </c>
      <c r="AA2382" s="11">
        <v>0.31818181818181818</v>
      </c>
    </row>
    <row r="2383" spans="21:27" x14ac:dyDescent="0.25">
      <c r="U2383" s="37">
        <v>41483</v>
      </c>
      <c r="V2383" s="10">
        <v>13</v>
      </c>
      <c r="W2383" s="10">
        <v>5</v>
      </c>
      <c r="X2383" s="10">
        <v>3</v>
      </c>
      <c r="Y2383" s="11">
        <v>0.61904761904761907</v>
      </c>
      <c r="Z2383" s="11">
        <v>0.23809523809523808</v>
      </c>
      <c r="AA2383" s="11">
        <v>0.14285714285714285</v>
      </c>
    </row>
    <row r="2384" spans="21:27" x14ac:dyDescent="0.25">
      <c r="U2384" s="37">
        <v>41490</v>
      </c>
      <c r="V2384" s="10">
        <v>4</v>
      </c>
      <c r="W2384" s="10">
        <v>0</v>
      </c>
      <c r="X2384" s="10">
        <v>4</v>
      </c>
      <c r="Y2384" s="11">
        <v>0.5</v>
      </c>
      <c r="Z2384" s="11">
        <v>0</v>
      </c>
      <c r="AA2384" s="11">
        <v>0.5</v>
      </c>
    </row>
    <row r="2385" spans="21:27" x14ac:dyDescent="0.25">
      <c r="U2385" s="37">
        <v>41497</v>
      </c>
      <c r="V2385" s="10">
        <v>6</v>
      </c>
      <c r="W2385" s="10">
        <v>5</v>
      </c>
      <c r="X2385" s="10">
        <v>4</v>
      </c>
      <c r="Y2385" s="11">
        <v>0.4</v>
      </c>
      <c r="Z2385" s="11">
        <v>0.33333333333333331</v>
      </c>
      <c r="AA2385" s="11">
        <v>0.26666666666666666</v>
      </c>
    </row>
    <row r="2386" spans="21:27" x14ac:dyDescent="0.25">
      <c r="U2386" s="37">
        <v>41501</v>
      </c>
      <c r="V2386" s="10">
        <v>2</v>
      </c>
      <c r="W2386" s="10">
        <v>2</v>
      </c>
      <c r="X2386" s="10">
        <v>14</v>
      </c>
      <c r="Y2386" s="11">
        <v>0.1111111111111111</v>
      </c>
      <c r="Z2386" s="11">
        <v>0.1111111111111111</v>
      </c>
      <c r="AA2386" s="11">
        <v>0.77777777777777779</v>
      </c>
    </row>
    <row r="2387" spans="21:27" x14ac:dyDescent="0.25">
      <c r="U2387" s="37">
        <v>41504</v>
      </c>
      <c r="V2387" s="10">
        <v>1</v>
      </c>
      <c r="W2387" s="10">
        <v>3</v>
      </c>
      <c r="X2387" s="10">
        <v>15</v>
      </c>
      <c r="Y2387" s="11">
        <v>5.2631578947368418E-2</v>
      </c>
      <c r="Z2387" s="11">
        <v>0.15789473684210525</v>
      </c>
      <c r="AA2387" s="11">
        <v>0.78947368421052633</v>
      </c>
    </row>
    <row r="2388" spans="21:27" x14ac:dyDescent="0.25">
      <c r="U2388" s="37">
        <v>41511</v>
      </c>
      <c r="V2388" s="10">
        <v>3</v>
      </c>
      <c r="W2388" s="10">
        <v>1</v>
      </c>
      <c r="X2388" s="10">
        <v>5</v>
      </c>
      <c r="Y2388" s="11">
        <v>0.33333333333333331</v>
      </c>
      <c r="Z2388" s="11">
        <v>0.1111111111111111</v>
      </c>
      <c r="AA2388" s="11">
        <v>0.55555555555555558</v>
      </c>
    </row>
    <row r="2389" spans="21:27" x14ac:dyDescent="0.25">
      <c r="U2389" s="37">
        <v>41518</v>
      </c>
      <c r="V2389" s="10">
        <v>4</v>
      </c>
      <c r="W2389" s="10">
        <v>5</v>
      </c>
      <c r="X2389" s="10">
        <v>5</v>
      </c>
      <c r="Y2389" s="11">
        <v>0.2857142857142857</v>
      </c>
      <c r="Z2389" s="11">
        <v>0.35714285714285715</v>
      </c>
      <c r="AA2389" s="11">
        <v>0.35714285714285715</v>
      </c>
    </row>
    <row r="2390" spans="21:27" x14ac:dyDescent="0.25">
      <c r="U2390" s="37">
        <v>41525</v>
      </c>
      <c r="V2390" s="10">
        <v>5</v>
      </c>
      <c r="W2390" s="10">
        <v>8</v>
      </c>
      <c r="X2390" s="10">
        <v>9</v>
      </c>
      <c r="Y2390" s="11">
        <v>0.22727272727272727</v>
      </c>
      <c r="Z2390" s="11">
        <v>0.36363636363636365</v>
      </c>
      <c r="AA2390" s="11">
        <v>0.40909090909090912</v>
      </c>
    </row>
    <row r="2391" spans="21:27" x14ac:dyDescent="0.25">
      <c r="U2391" s="37">
        <v>41532</v>
      </c>
      <c r="V2391" s="10">
        <v>5</v>
      </c>
      <c r="W2391" s="10">
        <v>2</v>
      </c>
      <c r="X2391" s="10">
        <v>1</v>
      </c>
      <c r="Y2391" s="11">
        <v>0.625</v>
      </c>
      <c r="Z2391" s="11">
        <v>0.25</v>
      </c>
      <c r="AA2391" s="11">
        <v>0.125</v>
      </c>
    </row>
    <row r="2392" spans="21:27" x14ac:dyDescent="0.25">
      <c r="U2392" s="37">
        <v>41539</v>
      </c>
      <c r="V2392" s="10">
        <v>9</v>
      </c>
      <c r="W2392" s="10">
        <v>6</v>
      </c>
      <c r="X2392" s="10">
        <v>0</v>
      </c>
      <c r="Y2392" s="11">
        <v>0.6</v>
      </c>
      <c r="Z2392" s="11">
        <v>0.4</v>
      </c>
      <c r="AA2392" s="11">
        <v>0</v>
      </c>
    </row>
    <row r="2393" spans="21:27" x14ac:dyDescent="0.25">
      <c r="U2393" s="37">
        <v>41546</v>
      </c>
      <c r="V2393" s="10">
        <v>3</v>
      </c>
      <c r="W2393" s="10">
        <v>4</v>
      </c>
      <c r="X2393" s="10">
        <v>12</v>
      </c>
      <c r="Y2393" s="11">
        <v>0.15789473684210525</v>
      </c>
      <c r="Z2393" s="11">
        <v>0.21052631578947367</v>
      </c>
      <c r="AA2393" s="11">
        <v>0.63157894736842102</v>
      </c>
    </row>
    <row r="2394" spans="21:27" x14ac:dyDescent="0.25">
      <c r="U2394" s="37">
        <v>41553</v>
      </c>
      <c r="V2394" s="10">
        <v>2</v>
      </c>
      <c r="W2394" s="10">
        <v>4</v>
      </c>
      <c r="X2394" s="10">
        <v>3</v>
      </c>
      <c r="Y2394" s="11">
        <v>0.22222222222222221</v>
      </c>
      <c r="Z2394" s="11">
        <v>0.44444444444444442</v>
      </c>
      <c r="AA2394" s="11">
        <v>0.33333333333333331</v>
      </c>
    </row>
    <row r="2395" spans="21:27" x14ac:dyDescent="0.25">
      <c r="U2395" s="37">
        <v>41560</v>
      </c>
      <c r="V2395" s="10">
        <v>7</v>
      </c>
      <c r="W2395" s="10">
        <v>5</v>
      </c>
      <c r="X2395" s="10">
        <v>14</v>
      </c>
      <c r="Y2395" s="11">
        <v>0.26923076923076922</v>
      </c>
      <c r="Z2395" s="11">
        <v>0.19230769230769232</v>
      </c>
      <c r="AA2395" s="11">
        <v>0.53846153846153844</v>
      </c>
    </row>
    <row r="2396" spans="21:27" x14ac:dyDescent="0.25">
      <c r="U2396" s="37">
        <v>41567</v>
      </c>
      <c r="V2396" s="10">
        <v>11</v>
      </c>
      <c r="W2396" s="10">
        <v>7</v>
      </c>
      <c r="X2396" s="10">
        <v>6</v>
      </c>
      <c r="Y2396" s="11">
        <v>0.45833333333333331</v>
      </c>
      <c r="Z2396" s="11">
        <v>0.29166666666666669</v>
      </c>
      <c r="AA2396" s="11">
        <v>0.25</v>
      </c>
    </row>
    <row r="2397" spans="21:27" x14ac:dyDescent="0.25">
      <c r="U2397" s="37">
        <v>41574</v>
      </c>
      <c r="V2397" s="10">
        <v>5</v>
      </c>
      <c r="W2397" s="10">
        <v>6</v>
      </c>
      <c r="X2397" s="10">
        <v>10</v>
      </c>
      <c r="Y2397" s="11">
        <v>0.23809523809523808</v>
      </c>
      <c r="Z2397" s="11">
        <v>0.2857142857142857</v>
      </c>
      <c r="AA2397" s="11">
        <v>0.47619047619047616</v>
      </c>
    </row>
    <row r="2398" spans="21:27" x14ac:dyDescent="0.25">
      <c r="U2398" s="37">
        <v>41579</v>
      </c>
      <c r="V2398" s="10">
        <v>2</v>
      </c>
      <c r="W2398" s="10">
        <v>4</v>
      </c>
      <c r="X2398" s="10">
        <v>6</v>
      </c>
      <c r="Y2398" s="11">
        <v>0.16666666666666666</v>
      </c>
      <c r="Z2398" s="11">
        <v>0.33333333333333331</v>
      </c>
      <c r="AA2398" s="11">
        <v>0.5</v>
      </c>
    </row>
    <row r="2399" spans="21:27" x14ac:dyDescent="0.25">
      <c r="U2399" s="37">
        <v>41581</v>
      </c>
      <c r="V2399" s="10">
        <v>5</v>
      </c>
      <c r="W2399" s="10">
        <v>1</v>
      </c>
      <c r="X2399" s="10">
        <v>6</v>
      </c>
      <c r="Y2399" s="11">
        <v>0.41666666666666669</v>
      </c>
      <c r="Z2399" s="11">
        <v>8.3333333333333329E-2</v>
      </c>
      <c r="AA2399" s="11">
        <v>0.5</v>
      </c>
    </row>
    <row r="2400" spans="21:27" x14ac:dyDescent="0.25">
      <c r="U2400" s="37">
        <v>41588</v>
      </c>
      <c r="V2400" s="10">
        <v>5</v>
      </c>
      <c r="W2400" s="10">
        <v>4</v>
      </c>
      <c r="X2400" s="10">
        <v>5</v>
      </c>
      <c r="Y2400" s="11">
        <v>0.35714285714285715</v>
      </c>
      <c r="Z2400" s="11">
        <v>0.2857142857142857</v>
      </c>
      <c r="AA2400" s="11">
        <v>0.35714285714285715</v>
      </c>
    </row>
    <row r="2401" spans="21:27" x14ac:dyDescent="0.25">
      <c r="U2401" s="37">
        <v>41595</v>
      </c>
      <c r="V2401" s="10">
        <v>4</v>
      </c>
      <c r="W2401" s="10">
        <v>0</v>
      </c>
      <c r="X2401" s="10">
        <v>5</v>
      </c>
      <c r="Y2401" s="11">
        <v>0.44444444444444442</v>
      </c>
      <c r="Z2401" s="11">
        <v>0</v>
      </c>
      <c r="AA2401" s="11">
        <v>0.55555555555555558</v>
      </c>
    </row>
    <row r="2402" spans="21:27" x14ac:dyDescent="0.25">
      <c r="U2402" s="37">
        <v>41602</v>
      </c>
      <c r="V2402" s="10">
        <v>2</v>
      </c>
      <c r="W2402" s="10">
        <v>3</v>
      </c>
      <c r="X2402" s="10">
        <v>6</v>
      </c>
      <c r="Y2402" s="11">
        <v>0.18181818181818182</v>
      </c>
      <c r="Z2402" s="11">
        <v>0.27272727272727271</v>
      </c>
      <c r="AA2402" s="11">
        <v>0.54545454545454541</v>
      </c>
    </row>
    <row r="2403" spans="21:27" x14ac:dyDescent="0.25">
      <c r="U2403" s="37">
        <v>41609</v>
      </c>
      <c r="V2403" s="10">
        <v>3</v>
      </c>
      <c r="W2403" s="10">
        <v>4</v>
      </c>
      <c r="X2403" s="10">
        <v>5</v>
      </c>
      <c r="Y2403" s="11">
        <v>0.25</v>
      </c>
      <c r="Z2403" s="11">
        <v>0.33333333333333331</v>
      </c>
      <c r="AA2403" s="11">
        <v>0.41666666666666669</v>
      </c>
    </row>
    <row r="2404" spans="21:27" x14ac:dyDescent="0.25">
      <c r="U2404" s="37">
        <v>41616</v>
      </c>
      <c r="V2404" s="10">
        <v>3</v>
      </c>
      <c r="W2404" s="10">
        <v>5</v>
      </c>
      <c r="X2404" s="10">
        <v>6</v>
      </c>
      <c r="Y2404" s="11">
        <v>0.21428571428571427</v>
      </c>
      <c r="Z2404" s="11">
        <v>0.35714285714285715</v>
      </c>
      <c r="AA2404" s="11">
        <v>0.42857142857142855</v>
      </c>
    </row>
    <row r="2405" spans="21:27" x14ac:dyDescent="0.25">
      <c r="U2405" s="37">
        <v>41623</v>
      </c>
      <c r="V2405" s="10">
        <v>6</v>
      </c>
      <c r="W2405" s="10">
        <v>3</v>
      </c>
      <c r="X2405" s="10">
        <v>5</v>
      </c>
      <c r="Y2405" s="11">
        <v>0.42857142857142855</v>
      </c>
      <c r="Z2405" s="11">
        <v>0.21428571428571427</v>
      </c>
      <c r="AA2405" s="11">
        <v>0.35714285714285715</v>
      </c>
    </row>
    <row r="2406" spans="21:27" x14ac:dyDescent="0.25">
      <c r="U2406" s="37">
        <v>41630</v>
      </c>
      <c r="V2406" s="10">
        <v>2</v>
      </c>
      <c r="W2406" s="10">
        <v>1</v>
      </c>
      <c r="X2406" s="10">
        <v>6</v>
      </c>
      <c r="Y2406" s="11">
        <v>0.22222222222222221</v>
      </c>
      <c r="Z2406" s="11">
        <v>0.1111111111111111</v>
      </c>
      <c r="AA2406" s="11">
        <v>0.66666666666666663</v>
      </c>
    </row>
    <row r="2407" spans="21:27" x14ac:dyDescent="0.25">
      <c r="U2407" s="37">
        <v>41632</v>
      </c>
      <c r="V2407" s="10">
        <v>7</v>
      </c>
      <c r="W2407" s="10">
        <v>4</v>
      </c>
      <c r="X2407" s="10">
        <v>5</v>
      </c>
      <c r="Y2407" s="11">
        <v>0.4375</v>
      </c>
      <c r="Z2407" s="11">
        <v>0.25</v>
      </c>
      <c r="AA2407" s="11">
        <v>0.3125</v>
      </c>
    </row>
    <row r="2408" spans="21:27" x14ac:dyDescent="0.25">
      <c r="U2408" s="37">
        <v>41633</v>
      </c>
      <c r="V2408" s="10">
        <v>2</v>
      </c>
      <c r="W2408" s="10">
        <v>4</v>
      </c>
      <c r="X2408" s="10">
        <v>2</v>
      </c>
      <c r="Y2408" s="11">
        <v>0.25</v>
      </c>
      <c r="Z2408" s="11">
        <v>0.5</v>
      </c>
      <c r="AA2408" s="11">
        <v>0.25</v>
      </c>
    </row>
    <row r="2409" spans="21:27" x14ac:dyDescent="0.25">
      <c r="U2409" s="37">
        <v>41637</v>
      </c>
      <c r="V2409" s="10">
        <v>2</v>
      </c>
      <c r="W2409" s="10">
        <v>6</v>
      </c>
      <c r="X2409" s="10">
        <v>2</v>
      </c>
      <c r="Y2409" s="11">
        <v>0.2</v>
      </c>
      <c r="Z2409" s="11">
        <v>0.6</v>
      </c>
      <c r="AA2409" s="11">
        <v>0.2</v>
      </c>
    </row>
    <row r="2410" spans="21:27" x14ac:dyDescent="0.25">
      <c r="U2410" s="37">
        <v>41644</v>
      </c>
      <c r="V2410" s="10">
        <v>2</v>
      </c>
      <c r="W2410" s="10">
        <v>3</v>
      </c>
      <c r="X2410" s="10">
        <v>4</v>
      </c>
      <c r="Y2410" s="11">
        <v>0.22222222222222221</v>
      </c>
      <c r="Z2410" s="11">
        <v>0.33333333333333331</v>
      </c>
      <c r="AA2410" s="11">
        <v>0.44444444444444442</v>
      </c>
    </row>
    <row r="2411" spans="21:27" x14ac:dyDescent="0.25">
      <c r="U2411" s="37">
        <v>41651</v>
      </c>
      <c r="V2411" s="10">
        <v>6</v>
      </c>
      <c r="W2411" s="10">
        <v>3</v>
      </c>
      <c r="X2411" s="10">
        <v>10</v>
      </c>
      <c r="Y2411" s="11">
        <v>0.31578947368421051</v>
      </c>
      <c r="Z2411" s="11">
        <v>0.15789473684210525</v>
      </c>
      <c r="AA2411" s="11">
        <v>0.52631578947368418</v>
      </c>
    </row>
    <row r="2412" spans="21:27" x14ac:dyDescent="0.25">
      <c r="U2412" s="37">
        <v>41658</v>
      </c>
      <c r="V2412" s="10">
        <v>6</v>
      </c>
      <c r="W2412" s="10">
        <v>1</v>
      </c>
      <c r="X2412" s="10">
        <v>9</v>
      </c>
      <c r="Y2412" s="11">
        <v>0.375</v>
      </c>
      <c r="Z2412" s="11">
        <v>6.25E-2</v>
      </c>
      <c r="AA2412" s="11">
        <v>0.5625</v>
      </c>
    </row>
    <row r="2413" spans="21:27" x14ac:dyDescent="0.25">
      <c r="U2413" s="37">
        <v>41665</v>
      </c>
      <c r="V2413" s="10">
        <v>6</v>
      </c>
      <c r="W2413" s="10">
        <v>5</v>
      </c>
      <c r="X2413" s="10">
        <v>39</v>
      </c>
      <c r="Y2413" s="11">
        <v>0.12</v>
      </c>
      <c r="Z2413" s="11">
        <v>0.1</v>
      </c>
      <c r="AA2413" s="11">
        <v>0.78</v>
      </c>
    </row>
    <row r="2414" spans="21:27" x14ac:dyDescent="0.25">
      <c r="U2414" s="37">
        <v>41672</v>
      </c>
      <c r="V2414" s="10">
        <v>1</v>
      </c>
      <c r="W2414" s="10">
        <v>3</v>
      </c>
      <c r="X2414" s="10">
        <v>12</v>
      </c>
      <c r="Y2414" s="11">
        <v>6.25E-2</v>
      </c>
      <c r="Z2414" s="11">
        <v>0.1875</v>
      </c>
      <c r="AA2414" s="11">
        <v>0.75</v>
      </c>
    </row>
    <row r="2415" spans="21:27" x14ac:dyDescent="0.25">
      <c r="U2415" s="37">
        <v>41679</v>
      </c>
      <c r="V2415" s="10">
        <v>3</v>
      </c>
      <c r="W2415" s="10">
        <v>3</v>
      </c>
      <c r="X2415" s="10">
        <v>1</v>
      </c>
      <c r="Y2415" s="11">
        <v>0.42857142857142855</v>
      </c>
      <c r="Z2415" s="11">
        <v>0.42857142857142855</v>
      </c>
      <c r="AA2415" s="11">
        <v>0.14285714285714285</v>
      </c>
    </row>
    <row r="2416" spans="21:27" x14ac:dyDescent="0.25">
      <c r="U2416" s="37">
        <v>41686</v>
      </c>
      <c r="V2416" s="10">
        <v>2</v>
      </c>
      <c r="W2416" s="10">
        <v>2</v>
      </c>
      <c r="X2416" s="10">
        <v>5</v>
      </c>
      <c r="Y2416" s="11">
        <v>0.22222222222222221</v>
      </c>
      <c r="Z2416" s="11">
        <v>0.22222222222222221</v>
      </c>
      <c r="AA2416" s="11">
        <v>0.55555555555555558</v>
      </c>
    </row>
    <row r="2417" spans="21:27" x14ac:dyDescent="0.25">
      <c r="U2417" s="37">
        <v>41693</v>
      </c>
      <c r="V2417" s="10">
        <v>3</v>
      </c>
      <c r="W2417" s="10">
        <v>2</v>
      </c>
      <c r="X2417" s="10">
        <v>13</v>
      </c>
      <c r="Y2417" s="11">
        <v>0.16666666666666666</v>
      </c>
      <c r="Z2417" s="11">
        <v>0.1111111111111111</v>
      </c>
      <c r="AA2417" s="11">
        <v>0.72222222222222221</v>
      </c>
    </row>
    <row r="2418" spans="21:27" x14ac:dyDescent="0.25">
      <c r="U2418" s="37">
        <v>41700</v>
      </c>
      <c r="V2418" s="10">
        <v>4</v>
      </c>
      <c r="W2418" s="10">
        <v>2</v>
      </c>
      <c r="X2418" s="10">
        <v>2</v>
      </c>
      <c r="Y2418" s="11">
        <v>0.5</v>
      </c>
      <c r="Z2418" s="11">
        <v>0.25</v>
      </c>
      <c r="AA2418" s="11">
        <v>0.25</v>
      </c>
    </row>
    <row r="2419" spans="21:27" x14ac:dyDescent="0.25">
      <c r="U2419" s="37">
        <v>41707</v>
      </c>
      <c r="V2419" s="10">
        <v>8</v>
      </c>
      <c r="W2419" s="10">
        <v>6</v>
      </c>
      <c r="X2419" s="10">
        <v>3</v>
      </c>
      <c r="Y2419" s="11">
        <v>0.47058823529411764</v>
      </c>
      <c r="Z2419" s="11">
        <v>0.35294117647058826</v>
      </c>
      <c r="AA2419" s="11">
        <v>0.17647058823529413</v>
      </c>
    </row>
    <row r="2420" spans="21:27" x14ac:dyDescent="0.25">
      <c r="U2420" s="37">
        <v>41714</v>
      </c>
      <c r="V2420" s="10">
        <v>1</v>
      </c>
      <c r="W2420" s="10">
        <v>3</v>
      </c>
      <c r="X2420" s="10">
        <v>10</v>
      </c>
      <c r="Y2420" s="11">
        <v>7.1428571428571425E-2</v>
      </c>
      <c r="Z2420" s="11">
        <v>0.21428571428571427</v>
      </c>
      <c r="AA2420" s="11">
        <v>0.7142857142857143</v>
      </c>
    </row>
    <row r="2421" spans="21:27" x14ac:dyDescent="0.25">
      <c r="U2421" s="37">
        <v>41718</v>
      </c>
      <c r="V2421" s="10">
        <v>2</v>
      </c>
      <c r="W2421" s="10">
        <v>2</v>
      </c>
      <c r="X2421" s="10">
        <v>5</v>
      </c>
      <c r="Y2421" s="11">
        <v>0.22222222222222221</v>
      </c>
      <c r="Z2421" s="11">
        <v>0.22222222222222221</v>
      </c>
      <c r="AA2421" s="11">
        <v>0.55555555555555558</v>
      </c>
    </row>
    <row r="2422" spans="21:27" x14ac:dyDescent="0.25">
      <c r="U2422" s="37">
        <v>41721</v>
      </c>
      <c r="V2422" s="10">
        <v>5</v>
      </c>
      <c r="W2422" s="10">
        <v>9</v>
      </c>
      <c r="X2422" s="10">
        <v>4</v>
      </c>
      <c r="Y2422" s="11">
        <v>0.27777777777777779</v>
      </c>
      <c r="Z2422" s="11">
        <v>0.5</v>
      </c>
      <c r="AA2422" s="11">
        <v>0.22222222222222221</v>
      </c>
    </row>
    <row r="2423" spans="21:27" x14ac:dyDescent="0.25">
      <c r="U2423" s="37">
        <v>41735</v>
      </c>
      <c r="V2423" s="10">
        <v>5</v>
      </c>
      <c r="W2423" s="10">
        <v>1</v>
      </c>
      <c r="X2423" s="10">
        <v>2</v>
      </c>
      <c r="Y2423" s="11">
        <v>0.625</v>
      </c>
      <c r="Z2423" s="11">
        <v>0.125</v>
      </c>
      <c r="AA2423" s="11">
        <v>0.25</v>
      </c>
    </row>
    <row r="2424" spans="21:27" x14ac:dyDescent="0.25">
      <c r="U2424" s="37">
        <v>41742</v>
      </c>
      <c r="V2424" s="10">
        <v>7</v>
      </c>
      <c r="W2424" s="10">
        <v>1</v>
      </c>
      <c r="X2424" s="10">
        <v>11</v>
      </c>
      <c r="Y2424" s="11">
        <v>0.36842105263157893</v>
      </c>
      <c r="Z2424" s="11">
        <v>5.2631578947368418E-2</v>
      </c>
      <c r="AA2424" s="11">
        <v>0.57894736842105265</v>
      </c>
    </row>
    <row r="2425" spans="21:27" x14ac:dyDescent="0.25">
      <c r="U2425" s="37">
        <v>41749</v>
      </c>
      <c r="V2425" s="10">
        <v>9</v>
      </c>
      <c r="W2425" s="10">
        <v>0</v>
      </c>
      <c r="X2425" s="10">
        <v>6</v>
      </c>
      <c r="Y2425" s="11">
        <v>0.6</v>
      </c>
      <c r="Z2425" s="11">
        <v>0</v>
      </c>
      <c r="AA2425" s="11">
        <v>0.4</v>
      </c>
    </row>
    <row r="2426" spans="21:27" x14ac:dyDescent="0.25">
      <c r="U2426" s="37">
        <v>41756</v>
      </c>
      <c r="V2426" s="10">
        <v>5</v>
      </c>
      <c r="W2426" s="10">
        <v>5</v>
      </c>
      <c r="X2426" s="10">
        <v>20</v>
      </c>
      <c r="Y2426" s="11">
        <v>0.16666666666666666</v>
      </c>
      <c r="Z2426" s="11">
        <v>0.16666666666666666</v>
      </c>
      <c r="AA2426" s="11">
        <v>0.66666666666666663</v>
      </c>
    </row>
    <row r="2427" spans="21:27" x14ac:dyDescent="0.25">
      <c r="U2427" s="37">
        <v>41763</v>
      </c>
      <c r="V2427" s="10">
        <v>3</v>
      </c>
      <c r="W2427" s="10">
        <v>1</v>
      </c>
      <c r="X2427" s="10">
        <v>4</v>
      </c>
      <c r="Y2427" s="11">
        <v>0.375</v>
      </c>
      <c r="Z2427" s="11">
        <v>0.125</v>
      </c>
      <c r="AA2427" s="11">
        <v>0.5</v>
      </c>
    </row>
    <row r="2428" spans="21:27" x14ac:dyDescent="0.25">
      <c r="U2428" s="37">
        <v>41770</v>
      </c>
      <c r="V2428" s="10">
        <v>7</v>
      </c>
      <c r="W2428" s="10">
        <v>1</v>
      </c>
      <c r="X2428" s="10">
        <v>4</v>
      </c>
      <c r="Y2428" s="11">
        <v>0.58333333333333337</v>
      </c>
      <c r="Z2428" s="11">
        <v>8.3333333333333329E-2</v>
      </c>
      <c r="AA2428" s="11">
        <v>0.33333333333333331</v>
      </c>
    </row>
    <row r="2429" spans="21:27" x14ac:dyDescent="0.25">
      <c r="U2429" s="37">
        <v>41777</v>
      </c>
      <c r="V2429" s="10">
        <v>5</v>
      </c>
      <c r="W2429" s="10">
        <v>1</v>
      </c>
      <c r="X2429" s="10">
        <v>3</v>
      </c>
      <c r="Y2429" s="11">
        <v>0.55555555555555558</v>
      </c>
      <c r="Z2429" s="11">
        <v>0.1111111111111111</v>
      </c>
      <c r="AA2429" s="11">
        <v>0.33333333333333331</v>
      </c>
    </row>
    <row r="2430" spans="21:27" x14ac:dyDescent="0.25">
      <c r="U2430" s="37">
        <v>41784</v>
      </c>
      <c r="V2430" s="10">
        <v>0</v>
      </c>
      <c r="W2430" s="10">
        <v>1</v>
      </c>
      <c r="X2430" s="10">
        <v>1</v>
      </c>
      <c r="Y2430" s="11">
        <v>0</v>
      </c>
      <c r="Z2430" s="11">
        <v>0.5</v>
      </c>
      <c r="AA2430" s="11">
        <v>0.5</v>
      </c>
    </row>
    <row r="2431" spans="21:27" x14ac:dyDescent="0.25">
      <c r="U2431" s="37">
        <v>41788</v>
      </c>
      <c r="V2431" s="10">
        <v>8</v>
      </c>
      <c r="W2431" s="10">
        <v>0</v>
      </c>
      <c r="X2431" s="10">
        <v>7</v>
      </c>
      <c r="Y2431" s="11">
        <v>0.53333333333333333</v>
      </c>
      <c r="Z2431" s="11">
        <v>0</v>
      </c>
      <c r="AA2431" s="11">
        <v>0.46666666666666667</v>
      </c>
    </row>
    <row r="2432" spans="21:27" x14ac:dyDescent="0.25">
      <c r="U2432" s="37">
        <v>41791</v>
      </c>
      <c r="V2432" s="10">
        <v>1</v>
      </c>
      <c r="W2432" s="10">
        <v>0</v>
      </c>
      <c r="X2432" s="10">
        <v>5</v>
      </c>
      <c r="Y2432" s="11">
        <v>0.16666666666666666</v>
      </c>
      <c r="Z2432" s="11">
        <v>0</v>
      </c>
      <c r="AA2432" s="11">
        <v>0.83333333333333337</v>
      </c>
    </row>
    <row r="2433" spans="21:27" x14ac:dyDescent="0.25">
      <c r="U2433" s="37">
        <v>41798</v>
      </c>
      <c r="V2433" s="10">
        <v>2</v>
      </c>
      <c r="W2433" s="10">
        <v>1</v>
      </c>
      <c r="X2433" s="10">
        <v>3</v>
      </c>
      <c r="Y2433" s="11">
        <v>0.33333333333333331</v>
      </c>
      <c r="Z2433" s="11">
        <v>0.16666666666666666</v>
      </c>
      <c r="AA2433" s="11">
        <v>0.5</v>
      </c>
    </row>
    <row r="2434" spans="21:27" x14ac:dyDescent="0.25">
      <c r="U2434" s="37">
        <v>41805</v>
      </c>
      <c r="V2434" s="10">
        <v>9</v>
      </c>
      <c r="W2434" s="10">
        <v>3</v>
      </c>
      <c r="X2434" s="10">
        <v>9</v>
      </c>
      <c r="Y2434" s="11">
        <v>0.42857142857142855</v>
      </c>
      <c r="Z2434" s="11">
        <v>0.14285714285714285</v>
      </c>
      <c r="AA2434" s="11">
        <v>0.42857142857142855</v>
      </c>
    </row>
    <row r="2435" spans="21:27" x14ac:dyDescent="0.25">
      <c r="U2435" s="37">
        <v>41812</v>
      </c>
      <c r="V2435" s="10">
        <v>4</v>
      </c>
      <c r="W2435" s="10">
        <v>3</v>
      </c>
      <c r="X2435" s="10">
        <v>4</v>
      </c>
      <c r="Y2435" s="11">
        <v>0.36363636363636365</v>
      </c>
      <c r="Z2435" s="11">
        <v>0.27272727272727271</v>
      </c>
      <c r="AA2435" s="11">
        <v>0.36363636363636365</v>
      </c>
    </row>
    <row r="2436" spans="21:27" x14ac:dyDescent="0.25">
      <c r="U2436" s="37">
        <v>41819</v>
      </c>
      <c r="V2436" s="10">
        <v>0</v>
      </c>
      <c r="W2436" s="10">
        <v>1</v>
      </c>
      <c r="X2436" s="10">
        <v>9</v>
      </c>
      <c r="Y2436" s="11">
        <v>0</v>
      </c>
      <c r="Z2436" s="11">
        <v>0.1</v>
      </c>
      <c r="AA2436" s="11">
        <v>0.9</v>
      </c>
    </row>
    <row r="2437" spans="21:27" x14ac:dyDescent="0.25">
      <c r="U2437" s="37">
        <v>41826</v>
      </c>
      <c r="V2437" s="10">
        <v>1</v>
      </c>
      <c r="W2437" s="10">
        <v>3</v>
      </c>
      <c r="X2437" s="10">
        <v>20</v>
      </c>
      <c r="Y2437" s="11">
        <v>4.1666666666666664E-2</v>
      </c>
      <c r="Z2437" s="11">
        <v>0.125</v>
      </c>
      <c r="AA2437" s="11">
        <v>0.83333333333333337</v>
      </c>
    </row>
    <row r="2438" spans="21:27" x14ac:dyDescent="0.25">
      <c r="U2438" s="37">
        <v>41833</v>
      </c>
      <c r="V2438" s="10">
        <v>4</v>
      </c>
      <c r="W2438" s="10">
        <v>0</v>
      </c>
      <c r="X2438" s="10">
        <v>1</v>
      </c>
      <c r="Y2438" s="11">
        <v>0.8</v>
      </c>
      <c r="Z2438" s="11">
        <v>0</v>
      </c>
      <c r="AA2438" s="11">
        <v>0.2</v>
      </c>
    </row>
    <row r="2439" spans="21:27" x14ac:dyDescent="0.25">
      <c r="U2439" s="37">
        <v>41840</v>
      </c>
      <c r="V2439" s="10">
        <v>2</v>
      </c>
      <c r="W2439" s="10">
        <v>2</v>
      </c>
      <c r="X2439" s="10">
        <v>1</v>
      </c>
      <c r="Y2439" s="11">
        <v>0.4</v>
      </c>
      <c r="Z2439" s="11">
        <v>0.4</v>
      </c>
      <c r="AA2439" s="11">
        <v>0.2</v>
      </c>
    </row>
    <row r="2440" spans="21:27" x14ac:dyDescent="0.25">
      <c r="U2440" s="37">
        <v>41847</v>
      </c>
      <c r="V2440" s="10">
        <v>4</v>
      </c>
      <c r="W2440" s="10">
        <v>5</v>
      </c>
      <c r="X2440" s="10">
        <v>0</v>
      </c>
      <c r="Y2440" s="11">
        <v>0.44444444444444442</v>
      </c>
      <c r="Z2440" s="11">
        <v>0.55555555555555558</v>
      </c>
      <c r="AA2440" s="11">
        <v>0</v>
      </c>
    </row>
    <row r="2441" spans="21:27" x14ac:dyDescent="0.25">
      <c r="U2441" s="37">
        <v>41854</v>
      </c>
      <c r="V2441" s="10">
        <v>5</v>
      </c>
      <c r="W2441" s="10">
        <v>3</v>
      </c>
      <c r="X2441" s="10">
        <v>6</v>
      </c>
      <c r="Y2441" s="11">
        <v>0.35714285714285715</v>
      </c>
      <c r="Z2441" s="11">
        <v>0.21428571428571427</v>
      </c>
      <c r="AA2441" s="11">
        <v>0.42857142857142855</v>
      </c>
    </row>
    <row r="2442" spans="21:27" x14ac:dyDescent="0.25">
      <c r="U2442" s="37">
        <v>41861</v>
      </c>
      <c r="V2442" s="10">
        <v>10</v>
      </c>
      <c r="W2442" s="10">
        <v>7</v>
      </c>
      <c r="X2442" s="10">
        <v>3</v>
      </c>
      <c r="Y2442" s="11">
        <v>0.5</v>
      </c>
      <c r="Z2442" s="11">
        <v>0.35</v>
      </c>
      <c r="AA2442" s="11">
        <v>0.15</v>
      </c>
    </row>
    <row r="2443" spans="21:27" x14ac:dyDescent="0.25">
      <c r="U2443" s="37">
        <v>41866</v>
      </c>
      <c r="V2443" s="10">
        <v>5</v>
      </c>
      <c r="W2443" s="10">
        <v>2</v>
      </c>
      <c r="X2443" s="10">
        <v>2</v>
      </c>
      <c r="Y2443" s="11">
        <v>0.55555555555555558</v>
      </c>
      <c r="Z2443" s="11">
        <v>0.22222222222222221</v>
      </c>
      <c r="AA2443" s="11">
        <v>0.22222222222222221</v>
      </c>
    </row>
    <row r="2444" spans="21:27" x14ac:dyDescent="0.25">
      <c r="U2444" s="37">
        <v>41868</v>
      </c>
      <c r="V2444" s="10">
        <v>5</v>
      </c>
      <c r="W2444" s="10">
        <v>2</v>
      </c>
      <c r="X2444" s="10">
        <v>2</v>
      </c>
      <c r="Y2444" s="11">
        <v>0.55555555555555558</v>
      </c>
      <c r="Z2444" s="11">
        <v>0.22222222222222221</v>
      </c>
      <c r="AA2444" s="11">
        <v>0.22222222222222221</v>
      </c>
    </row>
    <row r="2445" spans="21:27" x14ac:dyDescent="0.25">
      <c r="U2445" s="37">
        <v>41875</v>
      </c>
      <c r="V2445" s="10">
        <v>9</v>
      </c>
      <c r="W2445" s="10">
        <v>5</v>
      </c>
      <c r="X2445" s="10">
        <v>10</v>
      </c>
      <c r="Y2445" s="11">
        <v>0.375</v>
      </c>
      <c r="Z2445" s="11">
        <v>0.20833333333333334</v>
      </c>
      <c r="AA2445" s="11">
        <v>0.41666666666666669</v>
      </c>
    </row>
    <row r="2446" spans="21:27" x14ac:dyDescent="0.25">
      <c r="U2446" s="37">
        <v>41882</v>
      </c>
      <c r="V2446" s="10">
        <v>6</v>
      </c>
      <c r="W2446" s="10">
        <v>8</v>
      </c>
      <c r="X2446" s="10">
        <v>15</v>
      </c>
      <c r="Y2446" s="11">
        <v>0.20689655172413793</v>
      </c>
      <c r="Z2446" s="11">
        <v>0.27586206896551724</v>
      </c>
      <c r="AA2446" s="11">
        <v>0.51724137931034486</v>
      </c>
    </row>
    <row r="2447" spans="21:27" x14ac:dyDescent="0.25">
      <c r="U2447" s="37">
        <v>41889</v>
      </c>
      <c r="V2447" s="10">
        <v>2</v>
      </c>
      <c r="W2447" s="10">
        <v>0</v>
      </c>
      <c r="X2447" s="10">
        <v>2</v>
      </c>
      <c r="Y2447" s="11">
        <v>0.5</v>
      </c>
      <c r="Z2447" s="11">
        <v>0</v>
      </c>
      <c r="AA2447" s="11">
        <v>0.5</v>
      </c>
    </row>
    <row r="2448" spans="21:27" x14ac:dyDescent="0.25">
      <c r="U2448" s="37">
        <v>41896</v>
      </c>
      <c r="V2448" s="10">
        <v>7</v>
      </c>
      <c r="W2448" s="10">
        <v>4</v>
      </c>
      <c r="X2448" s="10">
        <v>9</v>
      </c>
      <c r="Y2448" s="11">
        <v>0.35</v>
      </c>
      <c r="Z2448" s="11">
        <v>0.2</v>
      </c>
      <c r="AA2448" s="11">
        <v>0.45</v>
      </c>
    </row>
    <row r="2449" spans="21:27" x14ac:dyDescent="0.25">
      <c r="U2449" s="37">
        <v>41903</v>
      </c>
      <c r="V2449" s="10">
        <v>1</v>
      </c>
      <c r="W2449" s="10">
        <v>2</v>
      </c>
      <c r="X2449" s="10">
        <v>4</v>
      </c>
      <c r="Y2449" s="11">
        <v>0.14285714285714285</v>
      </c>
      <c r="Z2449" s="11">
        <v>0.2857142857142857</v>
      </c>
      <c r="AA2449" s="11">
        <v>0.5714285714285714</v>
      </c>
    </row>
    <row r="2450" spans="21:27" x14ac:dyDescent="0.25">
      <c r="U2450" s="37">
        <v>41910</v>
      </c>
      <c r="V2450" s="10">
        <v>0</v>
      </c>
      <c r="W2450" s="10">
        <v>4</v>
      </c>
      <c r="X2450" s="10">
        <v>13</v>
      </c>
      <c r="Y2450" s="11">
        <v>0</v>
      </c>
      <c r="Z2450" s="11">
        <v>0.23529411764705882</v>
      </c>
      <c r="AA2450" s="11">
        <v>0.76470588235294112</v>
      </c>
    </row>
    <row r="2451" spans="21:27" x14ac:dyDescent="0.25">
      <c r="U2451" s="37">
        <v>41917</v>
      </c>
      <c r="V2451" s="10">
        <v>8</v>
      </c>
      <c r="W2451" s="10">
        <v>3</v>
      </c>
      <c r="X2451" s="10">
        <v>4</v>
      </c>
      <c r="Y2451" s="11">
        <v>0.53333333333333333</v>
      </c>
      <c r="Z2451" s="11">
        <v>0.2</v>
      </c>
      <c r="AA2451" s="11">
        <v>0.26666666666666666</v>
      </c>
    </row>
    <row r="2452" spans="21:27" x14ac:dyDescent="0.25">
      <c r="U2452" s="37">
        <v>41924</v>
      </c>
      <c r="V2452" s="10">
        <v>2</v>
      </c>
      <c r="W2452" s="10">
        <v>5</v>
      </c>
      <c r="X2452" s="10">
        <v>10</v>
      </c>
      <c r="Y2452" s="11">
        <v>0.11764705882352941</v>
      </c>
      <c r="Z2452" s="11">
        <v>0.29411764705882354</v>
      </c>
      <c r="AA2452" s="11">
        <v>0.58823529411764708</v>
      </c>
    </row>
    <row r="2453" spans="21:27" x14ac:dyDescent="0.25">
      <c r="U2453" s="37">
        <v>41931</v>
      </c>
      <c r="V2453" s="10">
        <v>7</v>
      </c>
      <c r="W2453" s="10">
        <v>8</v>
      </c>
      <c r="X2453" s="10">
        <v>11</v>
      </c>
      <c r="Y2453" s="11">
        <v>0.26923076923076922</v>
      </c>
      <c r="Z2453" s="11">
        <v>0.30769230769230771</v>
      </c>
      <c r="AA2453" s="11">
        <v>0.42307692307692307</v>
      </c>
    </row>
    <row r="2454" spans="21:27" x14ac:dyDescent="0.25">
      <c r="U2454" s="37">
        <v>41938</v>
      </c>
      <c r="V2454" s="10">
        <v>6</v>
      </c>
      <c r="W2454" s="10">
        <v>5</v>
      </c>
      <c r="X2454" s="10">
        <v>10</v>
      </c>
      <c r="Y2454" s="11">
        <v>0.2857142857142857</v>
      </c>
      <c r="Z2454" s="11">
        <v>0.23809523809523808</v>
      </c>
      <c r="AA2454" s="11">
        <v>0.47619047619047616</v>
      </c>
    </row>
    <row r="2455" spans="21:27" x14ac:dyDescent="0.25">
      <c r="U2455" s="37">
        <v>41944</v>
      </c>
      <c r="V2455" s="10">
        <v>9</v>
      </c>
      <c r="W2455" s="10">
        <v>2</v>
      </c>
      <c r="X2455" s="10">
        <v>4</v>
      </c>
      <c r="Y2455" s="11">
        <v>0.6</v>
      </c>
      <c r="Z2455" s="11">
        <v>0.13333333333333333</v>
      </c>
      <c r="AA2455" s="11">
        <v>0.26666666666666666</v>
      </c>
    </row>
    <row r="2456" spans="21:27" x14ac:dyDescent="0.25">
      <c r="U2456" s="37">
        <v>41945</v>
      </c>
      <c r="V2456" s="10">
        <v>4</v>
      </c>
      <c r="W2456" s="10">
        <v>2</v>
      </c>
      <c r="X2456" s="10">
        <v>3</v>
      </c>
      <c r="Y2456" s="11">
        <v>0.44444444444444442</v>
      </c>
      <c r="Z2456" s="11">
        <v>0.22222222222222221</v>
      </c>
      <c r="AA2456" s="11">
        <v>0.33333333333333331</v>
      </c>
    </row>
    <row r="2457" spans="21:27" x14ac:dyDescent="0.25">
      <c r="U2457" s="37">
        <v>41952</v>
      </c>
      <c r="V2457" s="10">
        <v>8</v>
      </c>
      <c r="W2457" s="10">
        <v>3</v>
      </c>
      <c r="X2457" s="10">
        <v>18</v>
      </c>
      <c r="Y2457" s="11">
        <v>0.27586206896551724</v>
      </c>
      <c r="Z2457" s="11">
        <v>0.10344827586206896</v>
      </c>
      <c r="AA2457" s="11">
        <v>0.62068965517241381</v>
      </c>
    </row>
    <row r="2458" spans="21:27" x14ac:dyDescent="0.25">
      <c r="U2458" s="37">
        <v>41959</v>
      </c>
      <c r="V2458" s="10">
        <v>5</v>
      </c>
      <c r="W2458" s="10">
        <v>2</v>
      </c>
      <c r="X2458" s="10">
        <v>8</v>
      </c>
      <c r="Y2458" s="11">
        <v>0.33333333333333331</v>
      </c>
      <c r="Z2458" s="11">
        <v>0.13333333333333333</v>
      </c>
      <c r="AA2458" s="11">
        <v>0.53333333333333333</v>
      </c>
    </row>
    <row r="2459" spans="21:27" x14ac:dyDescent="0.25">
      <c r="U2459" s="37">
        <v>41966</v>
      </c>
      <c r="V2459" s="10">
        <v>4</v>
      </c>
      <c r="W2459" s="10">
        <v>1</v>
      </c>
      <c r="X2459" s="10">
        <v>3</v>
      </c>
      <c r="Y2459" s="11">
        <v>0.5</v>
      </c>
      <c r="Z2459" s="11">
        <v>0.125</v>
      </c>
      <c r="AA2459" s="11">
        <v>0.375</v>
      </c>
    </row>
    <row r="2460" spans="21:27" x14ac:dyDescent="0.25">
      <c r="U2460" s="37">
        <v>41973</v>
      </c>
      <c r="V2460" s="10">
        <v>4</v>
      </c>
      <c r="W2460" s="10">
        <v>5</v>
      </c>
      <c r="X2460" s="10">
        <v>5</v>
      </c>
      <c r="Y2460" s="11">
        <v>0.2857142857142857</v>
      </c>
      <c r="Z2460" s="11">
        <v>0.35714285714285715</v>
      </c>
      <c r="AA2460" s="11">
        <v>0.35714285714285715</v>
      </c>
    </row>
    <row r="2461" spans="21:27" x14ac:dyDescent="0.25">
      <c r="U2461" s="37">
        <v>41980</v>
      </c>
      <c r="V2461" s="10">
        <v>1</v>
      </c>
      <c r="W2461" s="10">
        <v>5</v>
      </c>
      <c r="X2461" s="10">
        <v>4</v>
      </c>
      <c r="Y2461" s="11">
        <v>0.1</v>
      </c>
      <c r="Z2461" s="11">
        <v>0.5</v>
      </c>
      <c r="AA2461" s="11">
        <v>0.4</v>
      </c>
    </row>
    <row r="2462" spans="21:27" x14ac:dyDescent="0.25">
      <c r="U2462" s="37">
        <v>41987</v>
      </c>
      <c r="V2462" s="10">
        <v>1</v>
      </c>
      <c r="W2462" s="10">
        <v>0</v>
      </c>
      <c r="X2462" s="10">
        <v>0</v>
      </c>
      <c r="Y2462" s="11">
        <v>1</v>
      </c>
      <c r="Z2462" s="11">
        <v>0</v>
      </c>
      <c r="AA2462" s="11">
        <v>0</v>
      </c>
    </row>
    <row r="2463" spans="21:27" x14ac:dyDescent="0.25">
      <c r="U2463" s="37">
        <v>41994</v>
      </c>
      <c r="V2463" s="10">
        <v>5</v>
      </c>
      <c r="W2463" s="10">
        <v>3</v>
      </c>
      <c r="X2463" s="10">
        <v>5</v>
      </c>
      <c r="Y2463" s="11">
        <v>0.38461538461538464</v>
      </c>
      <c r="Z2463" s="11">
        <v>0.23076923076923078</v>
      </c>
      <c r="AA2463" s="11">
        <v>0.38461538461538464</v>
      </c>
    </row>
    <row r="2464" spans="21:27" x14ac:dyDescent="0.25">
      <c r="U2464" s="37">
        <v>41997</v>
      </c>
      <c r="V2464" s="10">
        <v>7</v>
      </c>
      <c r="W2464" s="10">
        <v>2</v>
      </c>
      <c r="X2464" s="10">
        <v>9</v>
      </c>
      <c r="Y2464" s="11">
        <v>0.3888888888888889</v>
      </c>
      <c r="Z2464" s="11">
        <v>0.1111111111111111</v>
      </c>
      <c r="AA2464" s="11">
        <v>0.5</v>
      </c>
    </row>
    <row r="2465" spans="21:27" x14ac:dyDescent="0.25">
      <c r="U2465" s="37">
        <v>41998</v>
      </c>
      <c r="V2465" s="10">
        <v>4</v>
      </c>
      <c r="W2465" s="10">
        <v>3</v>
      </c>
      <c r="X2465" s="10">
        <v>14</v>
      </c>
      <c r="Y2465" s="11">
        <v>0.19047619047619047</v>
      </c>
      <c r="Z2465" s="11">
        <v>0.14285714285714285</v>
      </c>
      <c r="AA2465" s="11">
        <v>0.66666666666666663</v>
      </c>
    </row>
    <row r="2466" spans="21:27" x14ac:dyDescent="0.25">
      <c r="U2466" s="37">
        <v>42001</v>
      </c>
      <c r="V2466" s="10">
        <v>6</v>
      </c>
      <c r="W2466" s="10">
        <v>3</v>
      </c>
      <c r="X2466" s="10">
        <v>12</v>
      </c>
      <c r="Y2466" s="11">
        <v>0.2857142857142857</v>
      </c>
      <c r="Z2466" s="11">
        <v>0.14285714285714285</v>
      </c>
      <c r="AA2466" s="11">
        <v>0.5714285714285714</v>
      </c>
    </row>
    <row r="2467" spans="21:27" x14ac:dyDescent="0.25">
      <c r="U2467" s="37">
        <v>42008</v>
      </c>
      <c r="V2467" s="10">
        <v>6</v>
      </c>
      <c r="W2467" s="10">
        <v>2</v>
      </c>
      <c r="X2467" s="10">
        <v>2</v>
      </c>
      <c r="Y2467" s="11">
        <v>0.6</v>
      </c>
      <c r="Z2467" s="11">
        <v>0.2</v>
      </c>
      <c r="AA2467" s="11">
        <v>0.2</v>
      </c>
    </row>
    <row r="2468" spans="21:27" x14ac:dyDescent="0.25">
      <c r="U2468" s="37">
        <v>42015</v>
      </c>
      <c r="V2468" s="10">
        <v>3</v>
      </c>
      <c r="W2468" s="10">
        <v>9</v>
      </c>
      <c r="X2468" s="10">
        <v>6</v>
      </c>
      <c r="Y2468" s="11">
        <v>0.16666666666666666</v>
      </c>
      <c r="Z2468" s="11">
        <v>0.5</v>
      </c>
      <c r="AA2468" s="11">
        <v>0.33333333333333331</v>
      </c>
    </row>
    <row r="2469" spans="21:27" x14ac:dyDescent="0.25">
      <c r="U2469" s="37">
        <v>42022</v>
      </c>
      <c r="V2469" s="10">
        <v>2</v>
      </c>
      <c r="W2469" s="10">
        <v>9</v>
      </c>
      <c r="X2469" s="10">
        <v>5</v>
      </c>
      <c r="Y2469" s="11">
        <v>0.125</v>
      </c>
      <c r="Z2469" s="11">
        <v>0.5625</v>
      </c>
      <c r="AA2469" s="11">
        <v>0.3125</v>
      </c>
    </row>
    <row r="2470" spans="21:27" x14ac:dyDescent="0.25">
      <c r="U2470" s="37">
        <v>42029</v>
      </c>
      <c r="V2470" s="10">
        <v>1</v>
      </c>
      <c r="W2470" s="10">
        <v>3</v>
      </c>
      <c r="X2470" s="10">
        <v>9</v>
      </c>
      <c r="Y2470" s="11">
        <v>7.6923076923076927E-2</v>
      </c>
      <c r="Z2470" s="11">
        <v>0.23076923076923078</v>
      </c>
      <c r="AA2470" s="11">
        <v>0.69230769230769229</v>
      </c>
    </row>
    <row r="2471" spans="21:27" x14ac:dyDescent="0.25">
      <c r="U2471" s="37">
        <v>42036</v>
      </c>
      <c r="V2471" s="10">
        <v>6</v>
      </c>
      <c r="W2471" s="10">
        <v>3</v>
      </c>
      <c r="X2471" s="10">
        <v>6</v>
      </c>
      <c r="Y2471" s="11">
        <v>0.4</v>
      </c>
      <c r="Z2471" s="11">
        <v>0.2</v>
      </c>
      <c r="AA2471" s="11">
        <v>0.4</v>
      </c>
    </row>
    <row r="2472" spans="21:27" x14ac:dyDescent="0.25">
      <c r="U2472" s="37">
        <v>42043</v>
      </c>
      <c r="V2472" s="10">
        <v>1</v>
      </c>
      <c r="W2472" s="10">
        <v>2</v>
      </c>
      <c r="X2472" s="10">
        <v>3</v>
      </c>
      <c r="Y2472" s="11">
        <v>0.16666666666666666</v>
      </c>
      <c r="Z2472" s="11">
        <v>0.33333333333333331</v>
      </c>
      <c r="AA2472" s="11">
        <v>0.5</v>
      </c>
    </row>
    <row r="2473" spans="21:27" x14ac:dyDescent="0.25">
      <c r="U2473" s="37">
        <v>42050</v>
      </c>
      <c r="V2473" s="10">
        <v>6</v>
      </c>
      <c r="W2473" s="10">
        <v>7</v>
      </c>
      <c r="X2473" s="10">
        <v>11</v>
      </c>
      <c r="Y2473" s="11">
        <v>0.25</v>
      </c>
      <c r="Z2473" s="11">
        <v>0.29166666666666669</v>
      </c>
      <c r="AA2473" s="11">
        <v>0.45833333333333331</v>
      </c>
    </row>
    <row r="2474" spans="21:27" x14ac:dyDescent="0.25">
      <c r="U2474" s="37">
        <v>42057</v>
      </c>
      <c r="V2474" s="10">
        <v>5</v>
      </c>
      <c r="W2474" s="10">
        <v>1</v>
      </c>
      <c r="X2474" s="10">
        <v>7</v>
      </c>
      <c r="Y2474" s="11">
        <v>0.38461538461538464</v>
      </c>
      <c r="Z2474" s="11">
        <v>7.6923076923076927E-2</v>
      </c>
      <c r="AA2474" s="11">
        <v>0.53846153846153844</v>
      </c>
    </row>
    <row r="2475" spans="21:27" x14ac:dyDescent="0.25">
      <c r="U2475" s="37">
        <v>42064</v>
      </c>
      <c r="V2475" s="10">
        <v>10</v>
      </c>
      <c r="W2475" s="10">
        <v>4</v>
      </c>
      <c r="X2475" s="10">
        <v>4</v>
      </c>
      <c r="Y2475" s="11">
        <v>0.55555555555555558</v>
      </c>
      <c r="Z2475" s="11">
        <v>0.22222222222222221</v>
      </c>
      <c r="AA2475" s="11">
        <v>0.22222222222222221</v>
      </c>
    </row>
    <row r="2476" spans="21:27" x14ac:dyDescent="0.25">
      <c r="U2476" s="37">
        <v>42071</v>
      </c>
      <c r="V2476" s="10">
        <v>2</v>
      </c>
      <c r="W2476" s="10">
        <v>2</v>
      </c>
      <c r="X2476" s="10">
        <v>1</v>
      </c>
      <c r="Y2476" s="11">
        <v>0.4</v>
      </c>
      <c r="Z2476" s="11">
        <v>0.4</v>
      </c>
      <c r="AA2476" s="11">
        <v>0.2</v>
      </c>
    </row>
    <row r="2477" spans="21:27" x14ac:dyDescent="0.25">
      <c r="U2477" s="37">
        <v>42078</v>
      </c>
      <c r="V2477" s="10">
        <v>3</v>
      </c>
      <c r="W2477" s="10">
        <v>0</v>
      </c>
      <c r="X2477" s="10">
        <v>2</v>
      </c>
      <c r="Y2477" s="11">
        <v>0.6</v>
      </c>
      <c r="Z2477" s="11">
        <v>0</v>
      </c>
      <c r="AA2477" s="11">
        <v>0.4</v>
      </c>
    </row>
    <row r="2478" spans="21:27" x14ac:dyDescent="0.25">
      <c r="U2478" s="37">
        <v>42085</v>
      </c>
      <c r="V2478" s="10">
        <v>1</v>
      </c>
      <c r="W2478" s="10">
        <v>0</v>
      </c>
      <c r="X2478" s="10">
        <v>3</v>
      </c>
      <c r="Y2478" s="11">
        <v>0.25</v>
      </c>
      <c r="Z2478" s="11">
        <v>0</v>
      </c>
      <c r="AA2478" s="11">
        <v>0.75</v>
      </c>
    </row>
    <row r="2479" spans="21:27" x14ac:dyDescent="0.25">
      <c r="U2479" s="37">
        <v>42092</v>
      </c>
      <c r="V2479" s="10">
        <v>16</v>
      </c>
      <c r="W2479" s="10">
        <v>7</v>
      </c>
      <c r="X2479" s="10">
        <v>9</v>
      </c>
      <c r="Y2479" s="11">
        <v>0.5</v>
      </c>
      <c r="Z2479" s="11">
        <v>0.21875</v>
      </c>
      <c r="AA2479" s="11">
        <v>0.28125</v>
      </c>
    </row>
    <row r="2480" spans="21:27" x14ac:dyDescent="0.25">
      <c r="U2480" s="37">
        <v>42099</v>
      </c>
      <c r="V2480" s="10">
        <v>8</v>
      </c>
      <c r="W2480" s="10">
        <v>2</v>
      </c>
      <c r="X2480" s="10">
        <v>16</v>
      </c>
      <c r="Y2480" s="11">
        <v>0.30769230769230771</v>
      </c>
      <c r="Z2480" s="11">
        <v>7.6923076923076927E-2</v>
      </c>
      <c r="AA2480" s="11">
        <v>0.61538461538461542</v>
      </c>
    </row>
    <row r="2481" spans="21:27" x14ac:dyDescent="0.25">
      <c r="U2481" s="37">
        <v>42106</v>
      </c>
      <c r="V2481" s="10">
        <v>5</v>
      </c>
      <c r="W2481" s="10">
        <v>7</v>
      </c>
      <c r="X2481" s="10">
        <v>6</v>
      </c>
      <c r="Y2481" s="11">
        <v>0.27777777777777779</v>
      </c>
      <c r="Z2481" s="11">
        <v>0.3888888888888889</v>
      </c>
      <c r="AA2481" s="11">
        <v>0.33333333333333331</v>
      </c>
    </row>
    <row r="2482" spans="21:27" x14ac:dyDescent="0.25">
      <c r="U2482" s="37">
        <v>42113</v>
      </c>
      <c r="V2482" s="10">
        <v>5</v>
      </c>
      <c r="W2482" s="10">
        <v>4</v>
      </c>
      <c r="X2482" s="10">
        <v>1</v>
      </c>
      <c r="Y2482" s="11">
        <v>0.5</v>
      </c>
      <c r="Z2482" s="11">
        <v>0.4</v>
      </c>
      <c r="AA2482" s="11">
        <v>0.1</v>
      </c>
    </row>
    <row r="2483" spans="21:27" x14ac:dyDescent="0.25">
      <c r="U2483" s="37">
        <v>42120</v>
      </c>
      <c r="V2483" s="10">
        <v>9</v>
      </c>
      <c r="W2483" s="10">
        <v>3</v>
      </c>
      <c r="X2483" s="10">
        <v>2</v>
      </c>
      <c r="Y2483" s="11">
        <v>0.6428571428571429</v>
      </c>
      <c r="Z2483" s="11">
        <v>0.21428571428571427</v>
      </c>
      <c r="AA2483" s="11">
        <v>0.14285714285714285</v>
      </c>
    </row>
    <row r="2484" spans="21:27" x14ac:dyDescent="0.25">
      <c r="U2484" s="37">
        <v>42127</v>
      </c>
      <c r="V2484" s="10">
        <v>3</v>
      </c>
      <c r="W2484" s="10">
        <v>4</v>
      </c>
      <c r="X2484" s="10">
        <v>8</v>
      </c>
      <c r="Y2484" s="11">
        <v>0.2</v>
      </c>
      <c r="Z2484" s="11">
        <v>0.26666666666666666</v>
      </c>
      <c r="AA2484" s="11">
        <v>0.53333333333333333</v>
      </c>
    </row>
    <row r="2485" spans="21:27" x14ac:dyDescent="0.25">
      <c r="U2485" s="37">
        <v>42134</v>
      </c>
      <c r="V2485" s="10">
        <v>1</v>
      </c>
      <c r="W2485" s="10">
        <v>1</v>
      </c>
      <c r="X2485" s="10">
        <v>5</v>
      </c>
      <c r="Y2485" s="11">
        <v>0.14285714285714285</v>
      </c>
      <c r="Z2485" s="11">
        <v>0.14285714285714285</v>
      </c>
      <c r="AA2485" s="11">
        <v>0.7142857142857143</v>
      </c>
    </row>
    <row r="2486" spans="21:27" x14ac:dyDescent="0.25">
      <c r="U2486" s="37">
        <v>42138</v>
      </c>
      <c r="V2486" s="10">
        <v>7</v>
      </c>
      <c r="W2486" s="10">
        <v>3</v>
      </c>
      <c r="X2486" s="10">
        <v>4</v>
      </c>
      <c r="Y2486" s="11">
        <v>0.5</v>
      </c>
      <c r="Z2486" s="11">
        <v>0.21428571428571427</v>
      </c>
      <c r="AA2486" s="11">
        <v>0.2857142857142857</v>
      </c>
    </row>
    <row r="2487" spans="21:27" x14ac:dyDescent="0.25">
      <c r="U2487" s="37">
        <v>42141</v>
      </c>
      <c r="V2487" s="10">
        <v>6</v>
      </c>
      <c r="W2487" s="10">
        <v>8</v>
      </c>
      <c r="X2487" s="10">
        <v>2</v>
      </c>
      <c r="Y2487" s="11">
        <v>0.375</v>
      </c>
      <c r="Z2487" s="11">
        <v>0.5</v>
      </c>
      <c r="AA2487" s="11">
        <v>0.125</v>
      </c>
    </row>
    <row r="2488" spans="21:27" x14ac:dyDescent="0.25">
      <c r="U2488" s="37">
        <v>42148</v>
      </c>
      <c r="V2488" s="10">
        <v>1</v>
      </c>
      <c r="W2488" s="10">
        <v>2</v>
      </c>
      <c r="X2488" s="10">
        <v>1</v>
      </c>
      <c r="Y2488" s="11">
        <v>0.25</v>
      </c>
      <c r="Z2488" s="11">
        <v>0.5</v>
      </c>
      <c r="AA2488" s="11">
        <v>0.25</v>
      </c>
    </row>
    <row r="2489" spans="21:27" x14ac:dyDescent="0.25">
      <c r="U2489" s="37">
        <v>42155</v>
      </c>
      <c r="V2489" s="10">
        <v>5</v>
      </c>
      <c r="W2489" s="10">
        <v>3</v>
      </c>
      <c r="X2489" s="10">
        <v>1</v>
      </c>
      <c r="Y2489" s="11">
        <v>0.55555555555555558</v>
      </c>
      <c r="Z2489" s="11">
        <v>0.33333333333333331</v>
      </c>
      <c r="AA2489" s="11">
        <v>0.1111111111111111</v>
      </c>
    </row>
    <row r="2490" spans="21:27" x14ac:dyDescent="0.25">
      <c r="U2490" s="37">
        <v>42162</v>
      </c>
      <c r="V2490" s="10">
        <v>7</v>
      </c>
      <c r="W2490" s="10">
        <v>5</v>
      </c>
      <c r="X2490" s="10">
        <v>12</v>
      </c>
      <c r="Y2490" s="11">
        <v>0.29166666666666669</v>
      </c>
      <c r="Z2490" s="11">
        <v>0.20833333333333334</v>
      </c>
      <c r="AA2490" s="11">
        <v>0.5</v>
      </c>
    </row>
    <row r="2491" spans="21:27" x14ac:dyDescent="0.25">
      <c r="U2491" s="37">
        <v>42169</v>
      </c>
      <c r="V2491" s="10">
        <v>13</v>
      </c>
      <c r="W2491" s="10">
        <v>4</v>
      </c>
      <c r="X2491" s="10">
        <v>8</v>
      </c>
      <c r="Y2491" s="11">
        <v>0.52</v>
      </c>
      <c r="Z2491" s="11">
        <v>0.16</v>
      </c>
      <c r="AA2491" s="11">
        <v>0.32</v>
      </c>
    </row>
    <row r="2492" spans="21:27" x14ac:dyDescent="0.25">
      <c r="U2492" s="37">
        <v>42176</v>
      </c>
      <c r="V2492" s="10">
        <v>7</v>
      </c>
      <c r="W2492" s="10">
        <v>4</v>
      </c>
      <c r="X2492" s="10">
        <v>6</v>
      </c>
      <c r="Y2492" s="11">
        <v>0.41176470588235292</v>
      </c>
      <c r="Z2492" s="11">
        <v>0.23529411764705882</v>
      </c>
      <c r="AA2492" s="11">
        <v>0.35294117647058826</v>
      </c>
    </row>
    <row r="2493" spans="21:27" x14ac:dyDescent="0.25">
      <c r="U2493" s="37">
        <v>42183</v>
      </c>
      <c r="V2493" s="10">
        <v>1</v>
      </c>
      <c r="W2493" s="10">
        <v>3</v>
      </c>
      <c r="X2493" s="10">
        <v>6</v>
      </c>
      <c r="Y2493" s="11">
        <v>0.1</v>
      </c>
      <c r="Z2493" s="11">
        <v>0.3</v>
      </c>
      <c r="AA2493" s="11">
        <v>0.6</v>
      </c>
    </row>
    <row r="2494" spans="21:27" x14ac:dyDescent="0.25">
      <c r="U2494" s="37">
        <v>42190</v>
      </c>
      <c r="V2494" s="10">
        <v>10</v>
      </c>
      <c r="W2494" s="10">
        <v>6</v>
      </c>
      <c r="X2494" s="10">
        <v>9</v>
      </c>
      <c r="Y2494" s="11">
        <v>0.4</v>
      </c>
      <c r="Z2494" s="11">
        <v>0.24</v>
      </c>
      <c r="AA2494" s="11">
        <v>0.36</v>
      </c>
    </row>
    <row r="2495" spans="21:27" x14ac:dyDescent="0.25">
      <c r="U2495" s="37">
        <v>42197</v>
      </c>
      <c r="V2495" s="10">
        <v>4</v>
      </c>
      <c r="W2495" s="10">
        <v>8</v>
      </c>
      <c r="X2495" s="10">
        <v>9</v>
      </c>
      <c r="Y2495" s="11">
        <v>0.19047619047619047</v>
      </c>
      <c r="Z2495" s="11">
        <v>0.38095238095238093</v>
      </c>
      <c r="AA2495" s="11">
        <v>0.42857142857142855</v>
      </c>
    </row>
    <row r="2496" spans="21:27" x14ac:dyDescent="0.25">
      <c r="U2496" s="37">
        <v>42204</v>
      </c>
      <c r="V2496" s="10">
        <v>6</v>
      </c>
      <c r="W2496" s="10">
        <v>7</v>
      </c>
      <c r="X2496" s="10">
        <v>4</v>
      </c>
      <c r="Y2496" s="11">
        <v>0.35294117647058826</v>
      </c>
      <c r="Z2496" s="11">
        <v>0.41176470588235292</v>
      </c>
      <c r="AA2496" s="11">
        <v>0.23529411764705882</v>
      </c>
    </row>
    <row r="2497" spans="21:27" x14ac:dyDescent="0.25">
      <c r="U2497" s="37">
        <v>42211</v>
      </c>
      <c r="V2497" s="10">
        <v>6</v>
      </c>
      <c r="W2497" s="10">
        <v>3</v>
      </c>
      <c r="X2497" s="10">
        <v>4</v>
      </c>
      <c r="Y2497" s="11">
        <v>0.46153846153846156</v>
      </c>
      <c r="Z2497" s="11">
        <v>0.23076923076923078</v>
      </c>
      <c r="AA2497" s="11">
        <v>0.30769230769230771</v>
      </c>
    </row>
    <row r="2498" spans="21:27" x14ac:dyDescent="0.25">
      <c r="U2498" s="37">
        <v>42218</v>
      </c>
      <c r="V2498" s="10">
        <v>7</v>
      </c>
      <c r="W2498" s="10">
        <v>3</v>
      </c>
      <c r="X2498" s="10">
        <v>3</v>
      </c>
      <c r="Y2498" s="11">
        <v>0.53846153846153844</v>
      </c>
      <c r="Z2498" s="11">
        <v>0.23076923076923078</v>
      </c>
      <c r="AA2498" s="11">
        <v>0.23076923076923078</v>
      </c>
    </row>
    <row r="2499" spans="21:27" x14ac:dyDescent="0.25">
      <c r="U2499" s="37">
        <v>42225</v>
      </c>
      <c r="V2499" s="10">
        <v>3</v>
      </c>
      <c r="W2499" s="10">
        <v>1</v>
      </c>
      <c r="X2499" s="10">
        <v>4</v>
      </c>
      <c r="Y2499" s="11">
        <v>0.375</v>
      </c>
      <c r="Z2499" s="11">
        <v>0.125</v>
      </c>
      <c r="AA2499" s="11">
        <v>0.5</v>
      </c>
    </row>
    <row r="2500" spans="21:27" x14ac:dyDescent="0.25">
      <c r="U2500" s="37">
        <v>42231</v>
      </c>
      <c r="V2500" s="10">
        <v>3</v>
      </c>
      <c r="W2500" s="10">
        <v>4</v>
      </c>
      <c r="X2500" s="10">
        <v>13</v>
      </c>
      <c r="Y2500" s="11">
        <v>0.15</v>
      </c>
      <c r="Z2500" s="11">
        <v>0.2</v>
      </c>
      <c r="AA2500" s="11">
        <v>0.65</v>
      </c>
    </row>
    <row r="2501" spans="21:27" x14ac:dyDescent="0.25">
      <c r="U2501" s="37">
        <v>42232</v>
      </c>
      <c r="V2501" s="10">
        <v>6</v>
      </c>
      <c r="W2501" s="10">
        <v>7</v>
      </c>
      <c r="X2501" s="10">
        <v>4</v>
      </c>
      <c r="Y2501" s="11">
        <v>0.35294117647058826</v>
      </c>
      <c r="Z2501" s="11">
        <v>0.41176470588235292</v>
      </c>
      <c r="AA2501" s="11">
        <v>0.23529411764705882</v>
      </c>
    </row>
    <row r="2502" spans="21:27" x14ac:dyDescent="0.25">
      <c r="U2502" s="37">
        <v>42239</v>
      </c>
      <c r="V2502" s="10">
        <v>3</v>
      </c>
      <c r="W2502" s="10">
        <v>4</v>
      </c>
      <c r="X2502" s="10">
        <v>5</v>
      </c>
      <c r="Y2502" s="11">
        <v>0.25</v>
      </c>
      <c r="Z2502" s="11">
        <v>0.33333333333333331</v>
      </c>
      <c r="AA2502" s="11">
        <v>0.41666666666666669</v>
      </c>
    </row>
    <row r="2503" spans="21:27" x14ac:dyDescent="0.25">
      <c r="U2503" s="37">
        <v>42246</v>
      </c>
      <c r="V2503" s="10">
        <v>6</v>
      </c>
      <c r="W2503" s="10">
        <v>7</v>
      </c>
      <c r="X2503" s="10">
        <v>9</v>
      </c>
      <c r="Y2503" s="11">
        <v>0.27272727272727271</v>
      </c>
      <c r="Z2503" s="11">
        <v>0.31818181818181818</v>
      </c>
      <c r="AA2503" s="11">
        <v>0.40909090909090912</v>
      </c>
    </row>
    <row r="2504" spans="21:27" x14ac:dyDescent="0.25">
      <c r="U2504" s="37">
        <v>42253</v>
      </c>
      <c r="V2504" s="10">
        <v>3</v>
      </c>
      <c r="W2504" s="10">
        <v>2</v>
      </c>
      <c r="X2504" s="10">
        <v>4</v>
      </c>
      <c r="Y2504" s="11">
        <v>0.33333333333333331</v>
      </c>
      <c r="Z2504" s="11">
        <v>0.22222222222222221</v>
      </c>
      <c r="AA2504" s="11">
        <v>0.44444444444444442</v>
      </c>
    </row>
    <row r="2505" spans="21:27" x14ac:dyDescent="0.25">
      <c r="U2505" s="37">
        <v>42260</v>
      </c>
      <c r="V2505" s="10">
        <v>8</v>
      </c>
      <c r="W2505" s="10">
        <v>10</v>
      </c>
      <c r="X2505" s="10">
        <v>3</v>
      </c>
      <c r="Y2505" s="11">
        <v>0.38095238095238093</v>
      </c>
      <c r="Z2505" s="11">
        <v>0.47619047619047616</v>
      </c>
      <c r="AA2505" s="11">
        <v>0.14285714285714285</v>
      </c>
    </row>
    <row r="2506" spans="21:27" x14ac:dyDescent="0.25">
      <c r="U2506" s="37">
        <v>42267</v>
      </c>
      <c r="V2506" s="10">
        <v>3</v>
      </c>
      <c r="W2506" s="10">
        <v>4</v>
      </c>
      <c r="X2506" s="10">
        <v>5</v>
      </c>
      <c r="Y2506" s="11">
        <v>0.25</v>
      </c>
      <c r="Z2506" s="11">
        <v>0.33333333333333331</v>
      </c>
      <c r="AA2506" s="11">
        <v>0.41666666666666669</v>
      </c>
    </row>
    <row r="2507" spans="21:27" x14ac:dyDescent="0.25">
      <c r="U2507" s="37">
        <v>42274</v>
      </c>
      <c r="V2507" s="10">
        <v>5</v>
      </c>
      <c r="W2507" s="10">
        <v>2</v>
      </c>
      <c r="X2507" s="10">
        <v>1</v>
      </c>
      <c r="Y2507" s="11">
        <v>0.625</v>
      </c>
      <c r="Z2507" s="11">
        <v>0.25</v>
      </c>
      <c r="AA2507" s="11">
        <v>0.125</v>
      </c>
    </row>
    <row r="2508" spans="21:27" x14ac:dyDescent="0.25">
      <c r="U2508" s="37">
        <v>42281</v>
      </c>
      <c r="V2508" s="10">
        <v>7</v>
      </c>
      <c r="W2508" s="10">
        <v>2</v>
      </c>
      <c r="X2508" s="10">
        <v>6</v>
      </c>
      <c r="Y2508" s="11">
        <v>0.46666666666666667</v>
      </c>
      <c r="Z2508" s="11">
        <v>0.13333333333333333</v>
      </c>
      <c r="AA2508" s="11">
        <v>0.4</v>
      </c>
    </row>
    <row r="2509" spans="21:27" x14ac:dyDescent="0.25">
      <c r="U2509" s="37">
        <v>42288</v>
      </c>
      <c r="V2509" s="10">
        <v>2</v>
      </c>
      <c r="W2509" s="10">
        <v>2</v>
      </c>
      <c r="X2509" s="10">
        <v>6</v>
      </c>
      <c r="Y2509" s="11">
        <v>0.2</v>
      </c>
      <c r="Z2509" s="11">
        <v>0.2</v>
      </c>
      <c r="AA2509" s="11">
        <v>0.6</v>
      </c>
    </row>
    <row r="2510" spans="21:27" x14ac:dyDescent="0.25">
      <c r="U2510" s="37">
        <v>42295</v>
      </c>
      <c r="V2510" s="10">
        <v>0</v>
      </c>
      <c r="W2510" s="10">
        <v>7</v>
      </c>
      <c r="X2510" s="10">
        <v>13</v>
      </c>
      <c r="Y2510" s="11">
        <v>0</v>
      </c>
      <c r="Z2510" s="11">
        <v>0.35</v>
      </c>
      <c r="AA2510" s="11">
        <v>0.65</v>
      </c>
    </row>
    <row r="2511" spans="21:27" x14ac:dyDescent="0.25">
      <c r="U2511" s="37">
        <v>42302</v>
      </c>
      <c r="V2511" s="10">
        <v>4</v>
      </c>
      <c r="W2511" s="10">
        <v>5</v>
      </c>
      <c r="X2511" s="10">
        <v>5</v>
      </c>
      <c r="Y2511" s="11">
        <v>0.2857142857142857</v>
      </c>
      <c r="Z2511" s="11">
        <v>0.35714285714285715</v>
      </c>
      <c r="AA2511" s="11">
        <v>0.35714285714285715</v>
      </c>
    </row>
    <row r="2512" spans="21:27" x14ac:dyDescent="0.25">
      <c r="U2512" s="37">
        <v>42309</v>
      </c>
      <c r="V2512" s="10">
        <v>3</v>
      </c>
      <c r="W2512" s="10">
        <v>3</v>
      </c>
      <c r="X2512" s="10">
        <v>13</v>
      </c>
      <c r="Y2512" s="11">
        <v>0.15789473684210525</v>
      </c>
      <c r="Z2512" s="11">
        <v>0.15789473684210525</v>
      </c>
      <c r="AA2512" s="11">
        <v>0.68421052631578949</v>
      </c>
    </row>
    <row r="2513" spans="21:27" x14ac:dyDescent="0.25">
      <c r="U2513" s="37">
        <v>42316</v>
      </c>
      <c r="V2513" s="10">
        <v>3</v>
      </c>
      <c r="W2513" s="10">
        <v>0</v>
      </c>
      <c r="X2513" s="10">
        <v>2</v>
      </c>
      <c r="Y2513" s="11">
        <v>0.6</v>
      </c>
      <c r="Z2513" s="11">
        <v>0</v>
      </c>
      <c r="AA2513" s="11">
        <v>0.4</v>
      </c>
    </row>
    <row r="2514" spans="21:27" x14ac:dyDescent="0.25">
      <c r="U2514" s="37">
        <v>42323</v>
      </c>
      <c r="V2514" s="10">
        <v>10</v>
      </c>
      <c r="W2514" s="10">
        <v>5</v>
      </c>
      <c r="X2514" s="10">
        <v>5</v>
      </c>
      <c r="Y2514" s="11">
        <v>0.5</v>
      </c>
      <c r="Z2514" s="11">
        <v>0.25</v>
      </c>
      <c r="AA2514" s="11">
        <v>0.25</v>
      </c>
    </row>
    <row r="2515" spans="21:27" x14ac:dyDescent="0.25">
      <c r="U2515" s="37">
        <v>42330</v>
      </c>
      <c r="V2515" s="10">
        <v>4</v>
      </c>
      <c r="W2515" s="10">
        <v>6</v>
      </c>
      <c r="X2515" s="10">
        <v>5</v>
      </c>
      <c r="Y2515" s="11">
        <v>0.26666666666666666</v>
      </c>
      <c r="Z2515" s="11">
        <v>0.4</v>
      </c>
      <c r="AA2515" s="11">
        <v>0.33333333333333331</v>
      </c>
    </row>
    <row r="2516" spans="21:27" x14ac:dyDescent="0.25">
      <c r="U2516" s="37">
        <v>42337</v>
      </c>
      <c r="V2516" s="10">
        <v>5</v>
      </c>
      <c r="W2516" s="10">
        <v>3</v>
      </c>
      <c r="X2516" s="10">
        <v>10</v>
      </c>
      <c r="Y2516" s="11">
        <v>0.27777777777777779</v>
      </c>
      <c r="Z2516" s="11">
        <v>0.16666666666666666</v>
      </c>
      <c r="AA2516" s="11">
        <v>0.55555555555555558</v>
      </c>
    </row>
    <row r="2517" spans="21:27" x14ac:dyDescent="0.25">
      <c r="U2517" s="37">
        <v>42344</v>
      </c>
      <c r="V2517" s="10">
        <v>1</v>
      </c>
      <c r="W2517" s="10">
        <v>0</v>
      </c>
      <c r="X2517" s="10">
        <v>4</v>
      </c>
      <c r="Y2517" s="11">
        <v>0.2</v>
      </c>
      <c r="Z2517" s="11">
        <v>0</v>
      </c>
      <c r="AA2517" s="11">
        <v>0.8</v>
      </c>
    </row>
    <row r="2518" spans="21:27" x14ac:dyDescent="0.25">
      <c r="U2518" s="37">
        <v>42351</v>
      </c>
      <c r="V2518" s="10">
        <v>4</v>
      </c>
      <c r="W2518" s="10">
        <v>3</v>
      </c>
      <c r="X2518" s="10">
        <v>3</v>
      </c>
      <c r="Y2518" s="11">
        <v>0.4</v>
      </c>
      <c r="Z2518" s="11">
        <v>0.3</v>
      </c>
      <c r="AA2518" s="11">
        <v>0.3</v>
      </c>
    </row>
    <row r="2519" spans="21:27" x14ac:dyDescent="0.25">
      <c r="U2519" s="37">
        <v>42358</v>
      </c>
      <c r="V2519" s="10">
        <v>6</v>
      </c>
      <c r="W2519" s="10">
        <v>4</v>
      </c>
      <c r="X2519" s="10">
        <v>3</v>
      </c>
      <c r="Y2519" s="11">
        <v>0.46153846153846156</v>
      </c>
      <c r="Z2519" s="11">
        <v>0.30769230769230771</v>
      </c>
      <c r="AA2519" s="11">
        <v>0.23076923076923078</v>
      </c>
    </row>
    <row r="2520" spans="21:27" x14ac:dyDescent="0.25">
      <c r="U2520" s="37">
        <v>42362</v>
      </c>
      <c r="V2520" s="10">
        <v>2</v>
      </c>
      <c r="W2520" s="10">
        <v>1</v>
      </c>
      <c r="X2520" s="10">
        <v>7</v>
      </c>
      <c r="Y2520" s="11">
        <v>0.2</v>
      </c>
      <c r="Z2520" s="11">
        <v>0.1</v>
      </c>
      <c r="AA2520" s="11">
        <v>0.7</v>
      </c>
    </row>
    <row r="2521" spans="21:27" x14ac:dyDescent="0.25">
      <c r="U2521" s="37">
        <v>42363</v>
      </c>
      <c r="V2521" s="10">
        <v>5</v>
      </c>
      <c r="W2521" s="10">
        <v>9</v>
      </c>
      <c r="X2521" s="10">
        <v>6</v>
      </c>
      <c r="Y2521" s="11">
        <v>0.25</v>
      </c>
      <c r="Z2521" s="11">
        <v>0.45</v>
      </c>
      <c r="AA2521" s="11">
        <v>0.3</v>
      </c>
    </row>
    <row r="2522" spans="21:27" x14ac:dyDescent="0.25">
      <c r="U2522" s="37">
        <v>42365</v>
      </c>
      <c r="V2522" s="10">
        <v>5</v>
      </c>
      <c r="W2522" s="10">
        <v>0</v>
      </c>
      <c r="X2522" s="10">
        <v>0</v>
      </c>
      <c r="Y2522" s="11">
        <v>1</v>
      </c>
      <c r="Z2522" s="11">
        <v>0</v>
      </c>
      <c r="AA2522" s="11">
        <v>0</v>
      </c>
    </row>
    <row r="2523" spans="21:27" x14ac:dyDescent="0.25">
      <c r="U2523" s="37">
        <v>42372</v>
      </c>
      <c r="V2523" s="10">
        <v>4</v>
      </c>
      <c r="W2523" s="10">
        <v>3</v>
      </c>
      <c r="X2523" s="10">
        <v>7</v>
      </c>
      <c r="Y2523" s="11">
        <v>0.2857142857142857</v>
      </c>
      <c r="Z2523" s="11">
        <v>0.21428571428571427</v>
      </c>
      <c r="AA2523" s="11">
        <v>0.5</v>
      </c>
    </row>
    <row r="2524" spans="21:27" x14ac:dyDescent="0.25">
      <c r="U2524" s="37">
        <v>42379</v>
      </c>
      <c r="V2524" s="10">
        <v>9</v>
      </c>
      <c r="W2524" s="10">
        <v>3</v>
      </c>
      <c r="X2524" s="10">
        <v>10</v>
      </c>
      <c r="Y2524" s="11">
        <v>0.40909090909090912</v>
      </c>
      <c r="Z2524" s="11">
        <v>0.13636363636363635</v>
      </c>
      <c r="AA2524" s="11">
        <v>0.45454545454545453</v>
      </c>
    </row>
    <row r="2525" spans="21:27" x14ac:dyDescent="0.25">
      <c r="U2525" s="37">
        <v>42386</v>
      </c>
      <c r="V2525" s="10">
        <v>4</v>
      </c>
      <c r="W2525" s="10">
        <v>2</v>
      </c>
      <c r="X2525" s="10">
        <v>8</v>
      </c>
      <c r="Y2525" s="11">
        <v>0.2857142857142857</v>
      </c>
      <c r="Z2525" s="11">
        <v>0.14285714285714285</v>
      </c>
      <c r="AA2525" s="11">
        <v>0.5714285714285714</v>
      </c>
    </row>
    <row r="2526" spans="21:27" x14ac:dyDescent="0.25">
      <c r="U2526" s="37">
        <v>42393</v>
      </c>
      <c r="V2526" s="10">
        <v>3</v>
      </c>
      <c r="W2526" s="10">
        <v>3</v>
      </c>
      <c r="X2526" s="10">
        <v>12</v>
      </c>
      <c r="Y2526" s="11">
        <v>0.16666666666666666</v>
      </c>
      <c r="Z2526" s="11">
        <v>0.16666666666666666</v>
      </c>
      <c r="AA2526" s="11">
        <v>0.66666666666666663</v>
      </c>
    </row>
    <row r="2527" spans="21:27" x14ac:dyDescent="0.25">
      <c r="U2527" s="37">
        <v>42400</v>
      </c>
      <c r="V2527" s="10">
        <v>3</v>
      </c>
      <c r="W2527" s="10">
        <v>6</v>
      </c>
      <c r="X2527" s="10">
        <v>5</v>
      </c>
      <c r="Y2527" s="11">
        <v>0.21428571428571427</v>
      </c>
      <c r="Z2527" s="11">
        <v>0.42857142857142855</v>
      </c>
      <c r="AA2527" s="11">
        <v>0.35714285714285715</v>
      </c>
    </row>
    <row r="2528" spans="21:27" x14ac:dyDescent="0.25">
      <c r="U2528" s="37">
        <v>42407</v>
      </c>
      <c r="V2528" s="10">
        <v>7</v>
      </c>
      <c r="W2528" s="10">
        <v>4</v>
      </c>
      <c r="X2528" s="10">
        <v>1</v>
      </c>
      <c r="Y2528" s="11">
        <v>0.58333333333333337</v>
      </c>
      <c r="Z2528" s="11">
        <v>0.33333333333333331</v>
      </c>
      <c r="AA2528" s="11">
        <v>8.3333333333333329E-2</v>
      </c>
    </row>
    <row r="2529" spans="21:27" x14ac:dyDescent="0.25">
      <c r="U2529" s="37">
        <v>42414</v>
      </c>
      <c r="V2529" s="10">
        <v>7</v>
      </c>
      <c r="W2529" s="10">
        <v>4</v>
      </c>
      <c r="X2529" s="10">
        <v>9</v>
      </c>
      <c r="Y2529" s="11">
        <v>0.35</v>
      </c>
      <c r="Z2529" s="11">
        <v>0.2</v>
      </c>
      <c r="AA2529" s="11">
        <v>0.45</v>
      </c>
    </row>
    <row r="2530" spans="21:27" x14ac:dyDescent="0.25">
      <c r="U2530" s="37">
        <v>42421</v>
      </c>
      <c r="V2530" s="10">
        <v>3</v>
      </c>
      <c r="W2530" s="10">
        <v>8</v>
      </c>
      <c r="X2530" s="10">
        <v>1</v>
      </c>
      <c r="Y2530" s="11">
        <v>0.25</v>
      </c>
      <c r="Z2530" s="11">
        <v>0.66666666666666663</v>
      </c>
      <c r="AA2530" s="11">
        <v>8.3333333333333329E-2</v>
      </c>
    </row>
    <row r="2531" spans="21:27" x14ac:dyDescent="0.25">
      <c r="U2531" s="37">
        <v>42428</v>
      </c>
      <c r="V2531" s="10">
        <v>3</v>
      </c>
      <c r="W2531" s="10">
        <v>3</v>
      </c>
      <c r="X2531" s="10">
        <v>7</v>
      </c>
      <c r="Y2531" s="11">
        <v>0.23076923076923078</v>
      </c>
      <c r="Z2531" s="11">
        <v>0.23076923076923078</v>
      </c>
      <c r="AA2531" s="11">
        <v>0.53846153846153844</v>
      </c>
    </row>
    <row r="2532" spans="21:27" x14ac:dyDescent="0.25">
      <c r="U2532" s="37">
        <v>42435</v>
      </c>
      <c r="V2532" s="10">
        <v>3</v>
      </c>
      <c r="W2532" s="10">
        <v>2</v>
      </c>
      <c r="X2532" s="10">
        <v>3</v>
      </c>
      <c r="Y2532" s="11">
        <v>0.375</v>
      </c>
      <c r="Z2532" s="11">
        <v>0.25</v>
      </c>
      <c r="AA2532" s="11">
        <v>0.375</v>
      </c>
    </row>
    <row r="2533" spans="21:27" x14ac:dyDescent="0.25">
      <c r="U2533" s="37">
        <v>42442</v>
      </c>
      <c r="V2533" s="10">
        <v>2</v>
      </c>
      <c r="W2533" s="10">
        <v>1</v>
      </c>
      <c r="X2533" s="10">
        <v>3</v>
      </c>
      <c r="Y2533" s="11">
        <v>0.33333333333333331</v>
      </c>
      <c r="Z2533" s="11">
        <v>0.16666666666666666</v>
      </c>
      <c r="AA2533" s="11">
        <v>0.5</v>
      </c>
    </row>
    <row r="2534" spans="21:27" x14ac:dyDescent="0.25">
      <c r="U2534" s="37">
        <v>42449</v>
      </c>
      <c r="V2534" s="10">
        <v>9</v>
      </c>
      <c r="W2534" s="10">
        <v>10</v>
      </c>
      <c r="X2534" s="10">
        <v>9</v>
      </c>
      <c r="Y2534" s="11">
        <v>0.32142857142857145</v>
      </c>
      <c r="Z2534" s="11">
        <v>0.35714285714285715</v>
      </c>
      <c r="AA2534" s="11">
        <v>0.32142857142857145</v>
      </c>
    </row>
    <row r="2535" spans="21:27" x14ac:dyDescent="0.25">
      <c r="U2535" s="37">
        <v>42456</v>
      </c>
      <c r="V2535" s="10">
        <v>8</v>
      </c>
      <c r="W2535" s="10">
        <v>4</v>
      </c>
      <c r="X2535" s="10">
        <v>6</v>
      </c>
      <c r="Y2535" s="11">
        <v>0.44444444444444442</v>
      </c>
      <c r="Z2535" s="11">
        <v>0.22222222222222221</v>
      </c>
      <c r="AA2535" s="11">
        <v>0.33333333333333331</v>
      </c>
    </row>
    <row r="2536" spans="21:27" x14ac:dyDescent="0.25">
      <c r="U2536" s="37">
        <v>42463</v>
      </c>
      <c r="V2536" s="10">
        <v>7</v>
      </c>
      <c r="W2536" s="10">
        <v>3</v>
      </c>
      <c r="X2536" s="10">
        <v>9</v>
      </c>
      <c r="Y2536" s="11">
        <v>0.36842105263157893</v>
      </c>
      <c r="Z2536" s="11">
        <v>0.15789473684210525</v>
      </c>
      <c r="AA2536" s="11">
        <v>0.47368421052631576</v>
      </c>
    </row>
    <row r="2537" spans="21:27" x14ac:dyDescent="0.25">
      <c r="U2537" s="37">
        <v>42470</v>
      </c>
      <c r="V2537" s="10">
        <v>7</v>
      </c>
      <c r="W2537" s="10">
        <v>6</v>
      </c>
      <c r="X2537" s="10">
        <v>2</v>
      </c>
      <c r="Y2537" s="11">
        <v>0.46666666666666667</v>
      </c>
      <c r="Z2537" s="11">
        <v>0.4</v>
      </c>
      <c r="AA2537" s="11">
        <v>0.13333333333333333</v>
      </c>
    </row>
    <row r="2538" spans="21:27" x14ac:dyDescent="0.25">
      <c r="U2538" s="37">
        <v>42477</v>
      </c>
      <c r="V2538" s="10">
        <v>6</v>
      </c>
      <c r="W2538" s="10">
        <v>5</v>
      </c>
      <c r="X2538" s="10">
        <v>7</v>
      </c>
      <c r="Y2538" s="11">
        <v>0.33333333333333331</v>
      </c>
      <c r="Z2538" s="11">
        <v>0.27777777777777779</v>
      </c>
      <c r="AA2538" s="11">
        <v>0.3888888888888889</v>
      </c>
    </row>
    <row r="2539" spans="21:27" x14ac:dyDescent="0.25">
      <c r="U2539" s="37">
        <v>42484</v>
      </c>
      <c r="V2539" s="10">
        <v>7</v>
      </c>
      <c r="W2539" s="10">
        <v>2</v>
      </c>
      <c r="X2539" s="10">
        <v>4</v>
      </c>
      <c r="Y2539" s="11">
        <v>0.53846153846153844</v>
      </c>
      <c r="Z2539" s="11">
        <v>0.15384615384615385</v>
      </c>
      <c r="AA2539" s="11">
        <v>0.30769230769230771</v>
      </c>
    </row>
    <row r="2540" spans="21:27" x14ac:dyDescent="0.25">
      <c r="U2540" s="37">
        <v>42491</v>
      </c>
      <c r="V2540" s="10">
        <v>7</v>
      </c>
      <c r="W2540" s="10">
        <v>1</v>
      </c>
      <c r="X2540" s="10">
        <v>4</v>
      </c>
      <c r="Y2540" s="11">
        <v>0.58333333333333337</v>
      </c>
      <c r="Z2540" s="11">
        <v>8.3333333333333329E-2</v>
      </c>
      <c r="AA2540" s="11">
        <v>0.33333333333333331</v>
      </c>
    </row>
    <row r="2541" spans="21:27" x14ac:dyDescent="0.25">
      <c r="U2541" s="37">
        <v>42495</v>
      </c>
      <c r="V2541" s="10">
        <v>6</v>
      </c>
      <c r="W2541" s="10">
        <v>3</v>
      </c>
      <c r="X2541" s="10">
        <v>4</v>
      </c>
      <c r="Y2541" s="11">
        <v>0.46153846153846156</v>
      </c>
      <c r="Z2541" s="11">
        <v>0.23076923076923078</v>
      </c>
      <c r="AA2541" s="11">
        <v>0.30769230769230771</v>
      </c>
    </row>
    <row r="2542" spans="21:27" x14ac:dyDescent="0.25">
      <c r="U2542" s="37">
        <v>42498</v>
      </c>
      <c r="V2542" s="10">
        <v>10</v>
      </c>
      <c r="W2542" s="10">
        <v>2</v>
      </c>
      <c r="X2542" s="10">
        <v>7</v>
      </c>
      <c r="Y2542" s="11">
        <v>0.52631578947368418</v>
      </c>
      <c r="Z2542" s="11">
        <v>0.10526315789473684</v>
      </c>
      <c r="AA2542" s="11">
        <v>0.36842105263157893</v>
      </c>
    </row>
    <row r="2543" spans="21:27" x14ac:dyDescent="0.25">
      <c r="U2543" s="37">
        <v>42505</v>
      </c>
      <c r="V2543" s="10">
        <v>4</v>
      </c>
      <c r="W2543" s="10">
        <v>0</v>
      </c>
      <c r="X2543" s="10">
        <v>6</v>
      </c>
      <c r="Y2543" s="11">
        <v>0.4</v>
      </c>
      <c r="Z2543" s="11">
        <v>0</v>
      </c>
      <c r="AA2543" s="11">
        <v>0.6</v>
      </c>
    </row>
    <row r="2544" spans="21:27" x14ac:dyDescent="0.25">
      <c r="U2544" s="37">
        <v>42512</v>
      </c>
      <c r="V2544" s="10">
        <v>4</v>
      </c>
      <c r="W2544" s="10">
        <v>4</v>
      </c>
      <c r="X2544" s="10">
        <v>4</v>
      </c>
      <c r="Y2544" s="11">
        <v>0.33333333333333331</v>
      </c>
      <c r="Z2544" s="11">
        <v>0.33333333333333331</v>
      </c>
      <c r="AA2544" s="11">
        <v>0.33333333333333331</v>
      </c>
    </row>
    <row r="2545" spans="21:27" x14ac:dyDescent="0.25">
      <c r="U2545" s="37">
        <v>42519</v>
      </c>
      <c r="V2545" s="10">
        <v>7</v>
      </c>
      <c r="W2545" s="10">
        <v>1</v>
      </c>
      <c r="X2545" s="10">
        <v>3</v>
      </c>
      <c r="Y2545" s="11">
        <v>0.63636363636363635</v>
      </c>
      <c r="Z2545" s="11">
        <v>9.0909090909090912E-2</v>
      </c>
      <c r="AA2545" s="11">
        <v>0.27272727272727271</v>
      </c>
    </row>
    <row r="2546" spans="21:27" x14ac:dyDescent="0.25">
      <c r="U2546" s="37">
        <v>42526</v>
      </c>
      <c r="V2546" s="10">
        <v>1</v>
      </c>
      <c r="W2546" s="10">
        <v>8</v>
      </c>
      <c r="X2546" s="10">
        <v>4</v>
      </c>
      <c r="Y2546" s="11">
        <v>7.6923076923076927E-2</v>
      </c>
      <c r="Z2546" s="11">
        <v>0.61538461538461542</v>
      </c>
      <c r="AA2546" s="11">
        <v>0.30769230769230771</v>
      </c>
    </row>
    <row r="2547" spans="21:27" x14ac:dyDescent="0.25">
      <c r="U2547" s="37">
        <v>42533</v>
      </c>
      <c r="V2547" s="10">
        <v>8</v>
      </c>
      <c r="W2547" s="10">
        <v>4</v>
      </c>
      <c r="X2547" s="10">
        <v>6</v>
      </c>
      <c r="Y2547" s="11">
        <v>0.44444444444444442</v>
      </c>
      <c r="Z2547" s="11">
        <v>0.22222222222222221</v>
      </c>
      <c r="AA2547" s="11">
        <v>0.33333333333333331</v>
      </c>
    </row>
    <row r="2548" spans="21:27" x14ac:dyDescent="0.25">
      <c r="U2548" s="37">
        <v>42540</v>
      </c>
      <c r="V2548" s="10">
        <v>3</v>
      </c>
      <c r="W2548" s="10">
        <v>14</v>
      </c>
      <c r="X2548" s="10">
        <v>6</v>
      </c>
      <c r="Y2548" s="11">
        <v>0.13043478260869565</v>
      </c>
      <c r="Z2548" s="11">
        <v>0.60869565217391308</v>
      </c>
      <c r="AA2548" s="11">
        <v>0.2608695652173913</v>
      </c>
    </row>
    <row r="2549" spans="21:27" x14ac:dyDescent="0.25">
      <c r="U2549" s="37">
        <v>42547</v>
      </c>
      <c r="V2549" s="10">
        <v>6</v>
      </c>
      <c r="W2549" s="10">
        <v>2</v>
      </c>
      <c r="X2549" s="10">
        <v>7</v>
      </c>
      <c r="Y2549" s="11">
        <v>0.4</v>
      </c>
      <c r="Z2549" s="11">
        <v>0.13333333333333333</v>
      </c>
      <c r="AA2549" s="11">
        <v>0.46666666666666667</v>
      </c>
    </row>
    <row r="2550" spans="21:27" x14ac:dyDescent="0.25">
      <c r="U2550" s="37">
        <v>42554</v>
      </c>
      <c r="V2550" s="10">
        <v>0</v>
      </c>
      <c r="W2550" s="10">
        <v>2</v>
      </c>
      <c r="X2550" s="10">
        <v>8</v>
      </c>
      <c r="Y2550" s="11">
        <v>0</v>
      </c>
      <c r="Z2550" s="11">
        <v>0.2</v>
      </c>
      <c r="AA2550" s="11">
        <v>0.8</v>
      </c>
    </row>
    <row r="2551" spans="21:27" x14ac:dyDescent="0.25">
      <c r="U2551" s="37">
        <v>42561</v>
      </c>
      <c r="V2551" s="10">
        <v>5</v>
      </c>
      <c r="W2551" s="10">
        <v>3</v>
      </c>
      <c r="X2551" s="10">
        <v>6</v>
      </c>
      <c r="Y2551" s="11">
        <v>0.35714285714285715</v>
      </c>
      <c r="Z2551" s="11">
        <v>0.21428571428571427</v>
      </c>
      <c r="AA2551" s="11">
        <v>0.42857142857142855</v>
      </c>
    </row>
    <row r="2552" spans="21:27" x14ac:dyDescent="0.25">
      <c r="U2552" s="37">
        <v>42568</v>
      </c>
      <c r="V2552" s="10">
        <v>8</v>
      </c>
      <c r="W2552" s="10">
        <v>2</v>
      </c>
      <c r="X2552" s="10">
        <v>5</v>
      </c>
      <c r="Y2552" s="11">
        <v>0.53333333333333333</v>
      </c>
      <c r="Z2552" s="11">
        <v>0.13333333333333333</v>
      </c>
      <c r="AA2552" s="11">
        <v>0.33333333333333331</v>
      </c>
    </row>
    <row r="2553" spans="21:27" x14ac:dyDescent="0.25">
      <c r="U2553" s="37">
        <v>42575</v>
      </c>
      <c r="V2553" s="10">
        <v>5</v>
      </c>
      <c r="W2553" s="10">
        <v>3</v>
      </c>
      <c r="X2553" s="10">
        <v>10</v>
      </c>
      <c r="Y2553" s="11">
        <v>0.27777777777777779</v>
      </c>
      <c r="Z2553" s="11">
        <v>0.16666666666666666</v>
      </c>
      <c r="AA2553" s="11">
        <v>0.55555555555555558</v>
      </c>
    </row>
    <row r="2554" spans="21:27" x14ac:dyDescent="0.25">
      <c r="U2554" s="37">
        <v>42582</v>
      </c>
      <c r="V2554" s="10">
        <v>18</v>
      </c>
      <c r="W2554" s="10">
        <v>14</v>
      </c>
      <c r="X2554" s="10">
        <v>13</v>
      </c>
      <c r="Y2554" s="11">
        <v>0.4</v>
      </c>
      <c r="Z2554" s="11">
        <v>0.31111111111111112</v>
      </c>
      <c r="AA2554" s="11">
        <v>0.28888888888888886</v>
      </c>
    </row>
    <row r="2555" spans="21:27" x14ac:dyDescent="0.25">
      <c r="U2555" s="37">
        <v>42589</v>
      </c>
      <c r="V2555" s="10">
        <v>2</v>
      </c>
      <c r="W2555" s="10">
        <v>2</v>
      </c>
      <c r="X2555" s="10">
        <v>1</v>
      </c>
      <c r="Y2555" s="11">
        <v>0.4</v>
      </c>
      <c r="Z2555" s="11">
        <v>0.4</v>
      </c>
      <c r="AA2555" s="11">
        <v>0.2</v>
      </c>
    </row>
    <row r="2556" spans="21:27" x14ac:dyDescent="0.25">
      <c r="U2556" s="37">
        <v>42596</v>
      </c>
      <c r="V2556" s="10">
        <v>7</v>
      </c>
      <c r="W2556" s="10">
        <v>2</v>
      </c>
      <c r="X2556" s="10">
        <v>7</v>
      </c>
      <c r="Y2556" s="11">
        <v>0.4375</v>
      </c>
      <c r="Z2556" s="11">
        <v>0.125</v>
      </c>
      <c r="AA2556" s="11">
        <v>0.4375</v>
      </c>
    </row>
    <row r="2557" spans="21:27" x14ac:dyDescent="0.25">
      <c r="U2557" s="37">
        <v>42597</v>
      </c>
      <c r="V2557" s="10">
        <v>3</v>
      </c>
      <c r="W2557" s="10">
        <v>8</v>
      </c>
      <c r="X2557" s="10">
        <v>8</v>
      </c>
      <c r="Y2557" s="11">
        <v>0.15789473684210525</v>
      </c>
      <c r="Z2557" s="11">
        <v>0.42105263157894735</v>
      </c>
      <c r="AA2557" s="11">
        <v>0.42105263157894735</v>
      </c>
    </row>
    <row r="2558" spans="21:27" x14ac:dyDescent="0.25">
      <c r="U2558" s="37">
        <v>42603</v>
      </c>
      <c r="V2558" s="10">
        <v>7</v>
      </c>
      <c r="W2558" s="10">
        <v>3</v>
      </c>
      <c r="X2558" s="10">
        <v>7</v>
      </c>
      <c r="Y2558" s="11">
        <v>0.41176470588235292</v>
      </c>
      <c r="Z2558" s="11">
        <v>0.17647058823529413</v>
      </c>
      <c r="AA2558" s="11">
        <v>0.41176470588235292</v>
      </c>
    </row>
    <row r="2559" spans="21:27" x14ac:dyDescent="0.25">
      <c r="U2559" s="37">
        <v>42610</v>
      </c>
      <c r="V2559" s="10">
        <v>8</v>
      </c>
      <c r="W2559" s="10">
        <v>3</v>
      </c>
      <c r="X2559" s="10">
        <v>3</v>
      </c>
      <c r="Y2559" s="11">
        <v>0.5714285714285714</v>
      </c>
      <c r="Z2559" s="11">
        <v>0.21428571428571427</v>
      </c>
      <c r="AA2559" s="11">
        <v>0.21428571428571427</v>
      </c>
    </row>
    <row r="2560" spans="21:27" x14ac:dyDescent="0.25">
      <c r="U2560" s="37">
        <v>42617</v>
      </c>
      <c r="V2560" s="10">
        <v>4</v>
      </c>
      <c r="W2560" s="10">
        <v>7</v>
      </c>
      <c r="X2560" s="10">
        <v>9</v>
      </c>
      <c r="Y2560" s="11">
        <v>0.2</v>
      </c>
      <c r="Z2560" s="11">
        <v>0.35</v>
      </c>
      <c r="AA2560" s="11">
        <v>0.45</v>
      </c>
    </row>
    <row r="2561" spans="21:27" x14ac:dyDescent="0.25">
      <c r="U2561" s="37">
        <v>42624</v>
      </c>
      <c r="V2561" s="10">
        <v>2</v>
      </c>
      <c r="W2561" s="10">
        <v>3</v>
      </c>
      <c r="X2561" s="10">
        <v>4</v>
      </c>
      <c r="Y2561" s="11">
        <v>0.22222222222222221</v>
      </c>
      <c r="Z2561" s="11">
        <v>0.33333333333333331</v>
      </c>
      <c r="AA2561" s="11">
        <v>0.44444444444444442</v>
      </c>
    </row>
    <row r="2562" spans="21:27" x14ac:dyDescent="0.25">
      <c r="U2562" s="37">
        <v>42631</v>
      </c>
      <c r="V2562" s="10">
        <v>9</v>
      </c>
      <c r="W2562" s="10">
        <v>6</v>
      </c>
      <c r="X2562" s="10">
        <v>1</v>
      </c>
      <c r="Y2562" s="11">
        <v>0.5625</v>
      </c>
      <c r="Z2562" s="11">
        <v>0.375</v>
      </c>
      <c r="AA2562" s="11">
        <v>6.25E-2</v>
      </c>
    </row>
    <row r="2563" spans="21:27" x14ac:dyDescent="0.25">
      <c r="U2563" s="37">
        <v>42638</v>
      </c>
      <c r="V2563" s="10">
        <v>1</v>
      </c>
      <c r="W2563" s="10">
        <v>0</v>
      </c>
      <c r="X2563" s="10">
        <v>2</v>
      </c>
      <c r="Y2563" s="11">
        <v>0.33333333333333331</v>
      </c>
      <c r="Z2563" s="11">
        <v>0</v>
      </c>
      <c r="AA2563" s="11">
        <v>0.66666666666666663</v>
      </c>
    </row>
    <row r="2564" spans="21:27" x14ac:dyDescent="0.25">
      <c r="U2564" s="37">
        <v>42645</v>
      </c>
      <c r="V2564" s="10">
        <v>6</v>
      </c>
      <c r="W2564" s="10">
        <v>1</v>
      </c>
      <c r="X2564" s="10">
        <v>10</v>
      </c>
      <c r="Y2564" s="11">
        <v>0.35294117647058826</v>
      </c>
      <c r="Z2564" s="11">
        <v>5.8823529411764705E-2</v>
      </c>
      <c r="AA2564" s="11">
        <v>0.58823529411764708</v>
      </c>
    </row>
    <row r="2565" spans="21:27" x14ac:dyDescent="0.25">
      <c r="U2565" s="37">
        <v>42652</v>
      </c>
      <c r="V2565" s="10">
        <v>4</v>
      </c>
      <c r="W2565" s="10">
        <v>4</v>
      </c>
      <c r="X2565" s="10">
        <v>16</v>
      </c>
      <c r="Y2565" s="11">
        <v>0.16666666666666666</v>
      </c>
      <c r="Z2565" s="11">
        <v>0.16666666666666666</v>
      </c>
      <c r="AA2565" s="11">
        <v>0.66666666666666663</v>
      </c>
    </row>
    <row r="2566" spans="21:27" x14ac:dyDescent="0.25">
      <c r="U2566" s="37">
        <v>42659</v>
      </c>
      <c r="V2566" s="10">
        <v>2</v>
      </c>
      <c r="W2566" s="10">
        <v>0</v>
      </c>
      <c r="X2566" s="10">
        <v>5</v>
      </c>
      <c r="Y2566" s="11">
        <v>0.2857142857142857</v>
      </c>
      <c r="Z2566" s="11">
        <v>0</v>
      </c>
      <c r="AA2566" s="11">
        <v>0.7142857142857143</v>
      </c>
    </row>
    <row r="2567" spans="21:27" x14ac:dyDescent="0.25">
      <c r="U2567" s="37">
        <v>42666</v>
      </c>
      <c r="V2567" s="10">
        <v>3</v>
      </c>
      <c r="W2567" s="10">
        <v>3</v>
      </c>
      <c r="X2567" s="10">
        <v>1</v>
      </c>
      <c r="Y2567" s="11">
        <v>0.42857142857142855</v>
      </c>
      <c r="Z2567" s="11">
        <v>0.42857142857142855</v>
      </c>
      <c r="AA2567" s="11">
        <v>0.14285714285714285</v>
      </c>
    </row>
    <row r="2568" spans="21:27" x14ac:dyDescent="0.25">
      <c r="U2568" s="37">
        <v>42673</v>
      </c>
      <c r="V2568" s="10">
        <v>4</v>
      </c>
      <c r="W2568" s="10">
        <v>2</v>
      </c>
      <c r="X2568" s="10">
        <v>5</v>
      </c>
      <c r="Y2568" s="11">
        <v>0.36363636363636365</v>
      </c>
      <c r="Z2568" s="11">
        <v>0.18181818181818182</v>
      </c>
      <c r="AA2568" s="11">
        <v>0.45454545454545453</v>
      </c>
    </row>
    <row r="2569" spans="21:27" x14ac:dyDescent="0.25">
      <c r="U2569" s="37">
        <v>42675</v>
      </c>
      <c r="V2569" s="10">
        <v>2</v>
      </c>
      <c r="W2569" s="10">
        <v>0</v>
      </c>
      <c r="X2569" s="10">
        <v>4</v>
      </c>
      <c r="Y2569" s="11">
        <v>0.33333333333333331</v>
      </c>
      <c r="Z2569" s="11">
        <v>0</v>
      </c>
      <c r="AA2569" s="11">
        <v>0.66666666666666663</v>
      </c>
    </row>
    <row r="2570" spans="21:27" x14ac:dyDescent="0.25">
      <c r="U2570" s="37">
        <v>42680</v>
      </c>
      <c r="V2570" s="10">
        <v>10</v>
      </c>
      <c r="W2570" s="10">
        <v>7</v>
      </c>
      <c r="X2570" s="10">
        <v>10</v>
      </c>
      <c r="Y2570" s="11">
        <v>0.37037037037037035</v>
      </c>
      <c r="Z2570" s="11">
        <v>0.25925925925925924</v>
      </c>
      <c r="AA2570" s="11">
        <v>0.37037037037037035</v>
      </c>
    </row>
    <row r="2571" spans="21:27" x14ac:dyDescent="0.25">
      <c r="U2571" s="37">
        <v>42687</v>
      </c>
      <c r="V2571" s="10">
        <v>4</v>
      </c>
      <c r="W2571" s="10">
        <v>7</v>
      </c>
      <c r="X2571" s="10">
        <v>4</v>
      </c>
      <c r="Y2571" s="11">
        <v>0.26666666666666666</v>
      </c>
      <c r="Z2571" s="11">
        <v>0.46666666666666667</v>
      </c>
      <c r="AA2571" s="11">
        <v>0.26666666666666666</v>
      </c>
    </row>
    <row r="2572" spans="21:27" x14ac:dyDescent="0.25">
      <c r="U2572" s="37">
        <v>42694</v>
      </c>
      <c r="V2572" s="10">
        <v>4</v>
      </c>
      <c r="W2572" s="10">
        <v>1</v>
      </c>
      <c r="X2572" s="10">
        <v>7</v>
      </c>
      <c r="Y2572" s="11">
        <v>0.33333333333333331</v>
      </c>
      <c r="Z2572" s="11">
        <v>8.3333333333333329E-2</v>
      </c>
      <c r="AA2572" s="11">
        <v>0.58333333333333337</v>
      </c>
    </row>
    <row r="2573" spans="21:27" x14ac:dyDescent="0.25">
      <c r="U2573" s="37">
        <v>42701</v>
      </c>
      <c r="V2573" s="10">
        <v>3</v>
      </c>
      <c r="W2573" s="10">
        <v>4</v>
      </c>
      <c r="X2573" s="10">
        <v>8</v>
      </c>
      <c r="Y2573" s="11">
        <v>0.2</v>
      </c>
      <c r="Z2573" s="11">
        <v>0.26666666666666666</v>
      </c>
      <c r="AA2573" s="11">
        <v>0.53333333333333333</v>
      </c>
    </row>
    <row r="2574" spans="21:27" x14ac:dyDescent="0.25">
      <c r="U2574" s="37">
        <v>42708</v>
      </c>
      <c r="V2574" s="10">
        <v>1</v>
      </c>
      <c r="W2574" s="10">
        <v>2</v>
      </c>
      <c r="X2574" s="10">
        <v>3</v>
      </c>
      <c r="Y2574" s="11">
        <v>0.16666666666666666</v>
      </c>
      <c r="Z2574" s="11">
        <v>0.33333333333333331</v>
      </c>
      <c r="AA2574" s="11">
        <v>0.5</v>
      </c>
    </row>
    <row r="2575" spans="21:27" x14ac:dyDescent="0.25">
      <c r="U2575" s="37">
        <v>42715</v>
      </c>
      <c r="V2575" s="10">
        <v>6</v>
      </c>
      <c r="W2575" s="10">
        <v>10</v>
      </c>
      <c r="X2575" s="10">
        <v>9</v>
      </c>
      <c r="Y2575" s="11">
        <v>0.24</v>
      </c>
      <c r="Z2575" s="11">
        <v>0.4</v>
      </c>
      <c r="AA2575" s="11">
        <v>0.36</v>
      </c>
    </row>
    <row r="2576" spans="21:27" x14ac:dyDescent="0.25">
      <c r="U2576" s="37">
        <v>42722</v>
      </c>
      <c r="V2576" s="10">
        <v>4</v>
      </c>
      <c r="W2576" s="10">
        <v>4</v>
      </c>
      <c r="X2576" s="10">
        <v>3</v>
      </c>
      <c r="Y2576" s="11">
        <v>0.36363636363636365</v>
      </c>
      <c r="Z2576" s="11">
        <v>0.36363636363636365</v>
      </c>
      <c r="AA2576" s="11">
        <v>0.27272727272727271</v>
      </c>
    </row>
    <row r="2577" spans="21:27" x14ac:dyDescent="0.25">
      <c r="U2577" s="37">
        <v>42728</v>
      </c>
      <c r="V2577" s="10">
        <v>6</v>
      </c>
      <c r="W2577" s="10">
        <v>5</v>
      </c>
      <c r="X2577" s="10">
        <v>10</v>
      </c>
      <c r="Y2577" s="11">
        <v>0.2857142857142857</v>
      </c>
      <c r="Z2577" s="11">
        <v>0.23809523809523808</v>
      </c>
      <c r="AA2577" s="11">
        <v>0.47619047619047616</v>
      </c>
    </row>
    <row r="2578" spans="21:27" x14ac:dyDescent="0.25">
      <c r="U2578" s="37">
        <v>42729</v>
      </c>
      <c r="V2578" s="10">
        <v>6</v>
      </c>
      <c r="W2578" s="10">
        <v>10</v>
      </c>
      <c r="X2578" s="10">
        <v>9</v>
      </c>
      <c r="Y2578" s="11">
        <v>0.24</v>
      </c>
      <c r="Z2578" s="11">
        <v>0.4</v>
      </c>
      <c r="AA2578" s="11">
        <v>0.36</v>
      </c>
    </row>
    <row r="2579" spans="21:27" x14ac:dyDescent="0.25">
      <c r="U2579" s="37">
        <v>42736</v>
      </c>
      <c r="V2579" s="10">
        <v>8</v>
      </c>
      <c r="W2579" s="10">
        <v>4</v>
      </c>
      <c r="X2579" s="10">
        <v>3</v>
      </c>
      <c r="Y2579" s="11">
        <v>0.53333333333333333</v>
      </c>
      <c r="Z2579" s="11">
        <v>0.26666666666666666</v>
      </c>
      <c r="AA2579" s="11">
        <v>0.2</v>
      </c>
    </row>
    <row r="2580" spans="21:27" x14ac:dyDescent="0.25">
      <c r="U2580" s="37">
        <v>42743</v>
      </c>
      <c r="V2580" s="10">
        <v>7</v>
      </c>
      <c r="W2580" s="10">
        <v>5</v>
      </c>
      <c r="X2580" s="10">
        <v>2</v>
      </c>
      <c r="Y2580" s="11">
        <v>0.5</v>
      </c>
      <c r="Z2580" s="11">
        <v>0.35714285714285715</v>
      </c>
      <c r="AA2580" s="11">
        <v>0.14285714285714285</v>
      </c>
    </row>
    <row r="2581" spans="21:27" x14ac:dyDescent="0.25">
      <c r="U2581" s="37">
        <v>42750</v>
      </c>
      <c r="V2581" s="10">
        <v>5</v>
      </c>
      <c r="W2581" s="10">
        <v>2</v>
      </c>
      <c r="X2581" s="10">
        <v>3</v>
      </c>
      <c r="Y2581" s="11">
        <v>0.5</v>
      </c>
      <c r="Z2581" s="11">
        <v>0.2</v>
      </c>
      <c r="AA2581" s="11">
        <v>0.3</v>
      </c>
    </row>
    <row r="2582" spans="21:27" x14ac:dyDescent="0.25">
      <c r="U2582" s="37">
        <v>42757</v>
      </c>
      <c r="V2582" s="10">
        <v>4</v>
      </c>
      <c r="W2582" s="10">
        <v>2</v>
      </c>
      <c r="X2582" s="10">
        <v>5</v>
      </c>
      <c r="Y2582" s="11">
        <v>0.36363636363636365</v>
      </c>
      <c r="Z2582" s="11">
        <v>0.18181818181818182</v>
      </c>
      <c r="AA2582" s="11">
        <v>0.45454545454545453</v>
      </c>
    </row>
    <row r="2583" spans="21:27" x14ac:dyDescent="0.25">
      <c r="U2583" s="37">
        <v>42764</v>
      </c>
      <c r="V2583" s="10">
        <v>8</v>
      </c>
      <c r="W2583" s="10">
        <v>3</v>
      </c>
      <c r="X2583" s="10">
        <v>5</v>
      </c>
      <c r="Y2583" s="11">
        <v>0.5</v>
      </c>
      <c r="Z2583" s="11">
        <v>0.1875</v>
      </c>
      <c r="AA2583" s="11">
        <v>0.3125</v>
      </c>
    </row>
    <row r="2584" spans="21:27" x14ac:dyDescent="0.25">
      <c r="U2584" s="37">
        <v>42771</v>
      </c>
      <c r="V2584" s="10">
        <v>1</v>
      </c>
      <c r="W2584" s="10">
        <v>3</v>
      </c>
      <c r="X2584" s="10">
        <v>4</v>
      </c>
      <c r="Y2584" s="11">
        <v>0.125</v>
      </c>
      <c r="Z2584" s="11">
        <v>0.375</v>
      </c>
      <c r="AA2584" s="11">
        <v>0.5</v>
      </c>
    </row>
    <row r="2585" spans="21:27" x14ac:dyDescent="0.25">
      <c r="U2585" s="37">
        <v>42778</v>
      </c>
      <c r="V2585" s="10">
        <v>3</v>
      </c>
      <c r="W2585" s="10">
        <v>0</v>
      </c>
      <c r="X2585" s="10">
        <v>5</v>
      </c>
      <c r="Y2585" s="11">
        <v>0.375</v>
      </c>
      <c r="Z2585" s="11">
        <v>0</v>
      </c>
      <c r="AA2585" s="11">
        <v>0.625</v>
      </c>
    </row>
    <row r="2586" spans="21:27" x14ac:dyDescent="0.25">
      <c r="U2586" s="37">
        <v>42785</v>
      </c>
      <c r="V2586" s="10">
        <v>3</v>
      </c>
      <c r="W2586" s="10">
        <v>1</v>
      </c>
      <c r="X2586" s="10">
        <v>4</v>
      </c>
      <c r="Y2586" s="11">
        <v>0.375</v>
      </c>
      <c r="Z2586" s="11">
        <v>0.125</v>
      </c>
      <c r="AA2586" s="11">
        <v>0.5</v>
      </c>
    </row>
    <row r="2587" spans="21:27" x14ac:dyDescent="0.25">
      <c r="U2587" s="37">
        <v>42792</v>
      </c>
      <c r="V2587" s="10">
        <v>6</v>
      </c>
      <c r="W2587" s="10">
        <v>1</v>
      </c>
      <c r="X2587" s="10">
        <v>4</v>
      </c>
      <c r="Y2587" s="11">
        <v>0.54545454545454541</v>
      </c>
      <c r="Z2587" s="11">
        <v>9.0909090909090912E-2</v>
      </c>
      <c r="AA2587" s="11">
        <v>0.36363636363636365</v>
      </c>
    </row>
    <row r="2588" spans="21:27" x14ac:dyDescent="0.25">
      <c r="U2588" s="37">
        <v>42799</v>
      </c>
      <c r="V2588" s="10">
        <v>7</v>
      </c>
      <c r="W2588" s="10">
        <v>0</v>
      </c>
      <c r="X2588" s="10">
        <v>0</v>
      </c>
      <c r="Y2588" s="11">
        <v>1</v>
      </c>
      <c r="Z2588" s="11">
        <v>0</v>
      </c>
      <c r="AA2588" s="11">
        <v>0</v>
      </c>
    </row>
    <row r="2589" spans="21:27" x14ac:dyDescent="0.25">
      <c r="U2589" s="37">
        <v>42806</v>
      </c>
      <c r="V2589" s="10">
        <v>10</v>
      </c>
      <c r="W2589" s="10">
        <v>0</v>
      </c>
      <c r="X2589" s="10">
        <v>9</v>
      </c>
      <c r="Y2589" s="11">
        <v>0.52631578947368418</v>
      </c>
      <c r="Z2589" s="11">
        <v>0</v>
      </c>
      <c r="AA2589" s="11">
        <v>0.47368421052631576</v>
      </c>
    </row>
    <row r="2590" spans="21:27" x14ac:dyDescent="0.25">
      <c r="U2590" s="37">
        <v>42813</v>
      </c>
      <c r="V2590" s="10">
        <v>6</v>
      </c>
      <c r="W2590" s="10">
        <v>3</v>
      </c>
      <c r="X2590" s="10">
        <v>1</v>
      </c>
      <c r="Y2590" s="11">
        <v>0.6</v>
      </c>
      <c r="Z2590" s="11">
        <v>0.3</v>
      </c>
      <c r="AA2590" s="11">
        <v>0.1</v>
      </c>
    </row>
    <row r="2591" spans="21:27" x14ac:dyDescent="0.25">
      <c r="U2591" s="37">
        <v>42820</v>
      </c>
      <c r="V2591" s="10">
        <v>10</v>
      </c>
      <c r="W2591" s="10">
        <v>8</v>
      </c>
      <c r="X2591" s="10">
        <v>1</v>
      </c>
      <c r="Y2591" s="11">
        <v>0.52631578947368418</v>
      </c>
      <c r="Z2591" s="11">
        <v>0.42105263157894735</v>
      </c>
      <c r="AA2591" s="11">
        <v>5.2631578947368418E-2</v>
      </c>
    </row>
    <row r="2592" spans="21:27" x14ac:dyDescent="0.25">
      <c r="U2592" s="37">
        <v>42827</v>
      </c>
      <c r="V2592" s="10">
        <v>6</v>
      </c>
      <c r="W2592" s="10">
        <v>1</v>
      </c>
      <c r="X2592" s="10">
        <v>1</v>
      </c>
      <c r="Y2592" s="11">
        <v>0.75</v>
      </c>
      <c r="Z2592" s="11">
        <v>0.125</v>
      </c>
      <c r="AA2592" s="11">
        <v>0.125</v>
      </c>
    </row>
    <row r="2593" spans="21:27" x14ac:dyDescent="0.25">
      <c r="U2593" s="37">
        <v>42834</v>
      </c>
      <c r="V2593" s="10">
        <v>6</v>
      </c>
      <c r="W2593" s="10">
        <v>3</v>
      </c>
      <c r="X2593" s="10">
        <v>5</v>
      </c>
      <c r="Y2593" s="11">
        <v>0.42857142857142855</v>
      </c>
      <c r="Z2593" s="11">
        <v>0.21428571428571427</v>
      </c>
      <c r="AA2593" s="11">
        <v>0.35714285714285715</v>
      </c>
    </row>
    <row r="2594" spans="21:27" x14ac:dyDescent="0.25">
      <c r="U2594" s="37">
        <v>42841</v>
      </c>
      <c r="V2594" s="10">
        <v>6</v>
      </c>
      <c r="W2594" s="10">
        <v>8</v>
      </c>
      <c r="X2594" s="10">
        <v>2</v>
      </c>
      <c r="Y2594" s="11">
        <v>0.375</v>
      </c>
      <c r="Z2594" s="11">
        <v>0.5</v>
      </c>
      <c r="AA2594" s="11">
        <v>0.125</v>
      </c>
    </row>
    <row r="2595" spans="21:27" x14ac:dyDescent="0.25">
      <c r="U2595" s="37">
        <v>42848</v>
      </c>
      <c r="V2595" s="10">
        <v>9</v>
      </c>
      <c r="W2595" s="10">
        <v>5</v>
      </c>
      <c r="X2595" s="10">
        <v>16</v>
      </c>
      <c r="Y2595" s="11">
        <v>0.3</v>
      </c>
      <c r="Z2595" s="11">
        <v>0.16666666666666666</v>
      </c>
      <c r="AA2595" s="11">
        <v>0.53333333333333333</v>
      </c>
    </row>
    <row r="2596" spans="21:27" x14ac:dyDescent="0.25">
      <c r="U2596" s="37">
        <v>42855</v>
      </c>
      <c r="V2596" s="10">
        <v>7</v>
      </c>
      <c r="W2596" s="10">
        <v>4</v>
      </c>
      <c r="X2596" s="10">
        <v>5</v>
      </c>
      <c r="Y2596" s="11">
        <v>0.4375</v>
      </c>
      <c r="Z2596" s="11">
        <v>0.25</v>
      </c>
      <c r="AA2596" s="11">
        <v>0.3125</v>
      </c>
    </row>
    <row r="2597" spans="21:27" x14ac:dyDescent="0.25">
      <c r="U2597" s="37">
        <v>42862</v>
      </c>
      <c r="V2597" s="10">
        <v>3</v>
      </c>
      <c r="W2597" s="10">
        <v>1</v>
      </c>
      <c r="X2597" s="10">
        <v>10</v>
      </c>
      <c r="Y2597" s="11">
        <v>0.21428571428571427</v>
      </c>
      <c r="Z2597" s="11">
        <v>7.1428571428571425E-2</v>
      </c>
      <c r="AA2597" s="11">
        <v>0.7142857142857143</v>
      </c>
    </row>
    <row r="2598" spans="21:27" x14ac:dyDescent="0.25">
      <c r="U2598" s="37">
        <v>42869</v>
      </c>
      <c r="V2598" s="10">
        <v>9</v>
      </c>
      <c r="W2598" s="10">
        <v>4</v>
      </c>
      <c r="X2598" s="10">
        <v>5</v>
      </c>
      <c r="Y2598" s="11">
        <v>0.5</v>
      </c>
      <c r="Z2598" s="11">
        <v>0.22222222222222221</v>
      </c>
      <c r="AA2598" s="11">
        <v>0.27777777777777779</v>
      </c>
    </row>
    <row r="2599" spans="21:27" x14ac:dyDescent="0.25">
      <c r="U2599" s="37">
        <v>42876</v>
      </c>
      <c r="V2599" s="10">
        <v>5</v>
      </c>
      <c r="W2599" s="10">
        <v>2</v>
      </c>
      <c r="X2599" s="10">
        <v>3</v>
      </c>
      <c r="Y2599" s="11">
        <v>0.5</v>
      </c>
      <c r="Z2599" s="11">
        <v>0.2</v>
      </c>
      <c r="AA2599" s="11">
        <v>0.3</v>
      </c>
    </row>
    <row r="2600" spans="21:27" x14ac:dyDescent="0.25">
      <c r="U2600" s="37">
        <v>42880</v>
      </c>
      <c r="V2600" s="10">
        <v>3</v>
      </c>
      <c r="W2600" s="10">
        <v>0</v>
      </c>
      <c r="X2600" s="10">
        <v>7</v>
      </c>
      <c r="Y2600" s="11">
        <v>0.3</v>
      </c>
      <c r="Z2600" s="11">
        <v>0</v>
      </c>
      <c r="AA2600" s="11">
        <v>0.7</v>
      </c>
    </row>
    <row r="2601" spans="21:27" x14ac:dyDescent="0.25">
      <c r="U2601" s="37">
        <v>42883</v>
      </c>
      <c r="V2601" s="10">
        <v>3</v>
      </c>
      <c r="W2601" s="10">
        <v>11</v>
      </c>
      <c r="X2601" s="10">
        <v>10</v>
      </c>
      <c r="Y2601" s="11">
        <v>0.125</v>
      </c>
      <c r="Z2601" s="11">
        <v>0.45833333333333331</v>
      </c>
      <c r="AA2601" s="11">
        <v>0.41666666666666669</v>
      </c>
    </row>
    <row r="2602" spans="21:27" x14ac:dyDescent="0.25">
      <c r="U2602" s="37">
        <v>42890</v>
      </c>
      <c r="V2602" s="10">
        <v>11</v>
      </c>
      <c r="W2602" s="10">
        <v>9</v>
      </c>
      <c r="X2602" s="10">
        <v>9</v>
      </c>
      <c r="Y2602" s="11">
        <v>0.37931034482758619</v>
      </c>
      <c r="Z2602" s="11">
        <v>0.31034482758620691</v>
      </c>
      <c r="AA2602" s="11">
        <v>0.31034482758620691</v>
      </c>
    </row>
    <row r="2603" spans="21:27" x14ac:dyDescent="0.25">
      <c r="U2603" s="37">
        <v>42897</v>
      </c>
      <c r="V2603" s="10">
        <v>9</v>
      </c>
      <c r="W2603" s="10">
        <v>2</v>
      </c>
      <c r="X2603" s="10">
        <v>11</v>
      </c>
      <c r="Y2603" s="11">
        <v>0.40909090909090912</v>
      </c>
      <c r="Z2603" s="11">
        <v>9.0909090909090912E-2</v>
      </c>
      <c r="AA2603" s="11">
        <v>0.5</v>
      </c>
    </row>
    <row r="2604" spans="21:27" x14ac:dyDescent="0.25">
      <c r="U2604" s="37">
        <v>42904</v>
      </c>
      <c r="V2604" s="10">
        <v>2</v>
      </c>
      <c r="W2604" s="10">
        <v>2</v>
      </c>
      <c r="X2604" s="10">
        <v>8</v>
      </c>
      <c r="Y2604" s="11">
        <v>0.16666666666666666</v>
      </c>
      <c r="Z2604" s="11">
        <v>0.16666666666666666</v>
      </c>
      <c r="AA2604" s="11">
        <v>0.66666666666666663</v>
      </c>
    </row>
    <row r="2605" spans="21:27" x14ac:dyDescent="0.25">
      <c r="U2605" s="37">
        <v>42911</v>
      </c>
      <c r="V2605" s="10">
        <v>8</v>
      </c>
      <c r="W2605" s="10">
        <v>0</v>
      </c>
      <c r="X2605" s="10">
        <v>4</v>
      </c>
      <c r="Y2605" s="11">
        <v>0.66666666666666663</v>
      </c>
      <c r="Z2605" s="11">
        <v>0</v>
      </c>
      <c r="AA2605" s="11">
        <v>0.33333333333333331</v>
      </c>
    </row>
    <row r="2606" spans="21:27" x14ac:dyDescent="0.25">
      <c r="U2606" s="37">
        <v>42918</v>
      </c>
      <c r="V2606" s="10">
        <v>3</v>
      </c>
      <c r="W2606" s="10">
        <v>4</v>
      </c>
      <c r="X2606" s="10">
        <v>6</v>
      </c>
      <c r="Y2606" s="11">
        <v>0.23076923076923078</v>
      </c>
      <c r="Z2606" s="11">
        <v>0.30769230769230771</v>
      </c>
      <c r="AA2606" s="11">
        <v>0.46153846153846156</v>
      </c>
    </row>
    <row r="2607" spans="21:27" x14ac:dyDescent="0.25">
      <c r="U2607" s="37">
        <v>42925</v>
      </c>
      <c r="V2607" s="10">
        <v>5</v>
      </c>
      <c r="W2607" s="10">
        <v>3</v>
      </c>
      <c r="X2607" s="10">
        <v>8</v>
      </c>
      <c r="Y2607" s="11">
        <v>0.3125</v>
      </c>
      <c r="Z2607" s="11">
        <v>0.1875</v>
      </c>
      <c r="AA2607" s="11">
        <v>0.5</v>
      </c>
    </row>
    <row r="2608" spans="21:27" x14ac:dyDescent="0.25">
      <c r="U2608" s="37">
        <v>42932</v>
      </c>
      <c r="V2608" s="10">
        <v>3</v>
      </c>
      <c r="W2608" s="10">
        <v>6</v>
      </c>
      <c r="X2608" s="10">
        <v>7</v>
      </c>
      <c r="Y2608" s="11">
        <v>0.1875</v>
      </c>
      <c r="Z2608" s="11">
        <v>0.375</v>
      </c>
      <c r="AA2608" s="11">
        <v>0.4375</v>
      </c>
    </row>
    <row r="2609" spans="21:27" x14ac:dyDescent="0.25">
      <c r="U2609" s="37">
        <v>42939</v>
      </c>
      <c r="V2609" s="10">
        <v>5</v>
      </c>
      <c r="W2609" s="10">
        <v>2</v>
      </c>
      <c r="X2609" s="10">
        <v>1</v>
      </c>
      <c r="Y2609" s="11">
        <v>0.625</v>
      </c>
      <c r="Z2609" s="11">
        <v>0.25</v>
      </c>
      <c r="AA2609" s="11">
        <v>0.125</v>
      </c>
    </row>
    <row r="2610" spans="21:27" x14ac:dyDescent="0.25">
      <c r="U2610" s="37">
        <v>42946</v>
      </c>
      <c r="V2610" s="10">
        <v>3</v>
      </c>
      <c r="W2610" s="10">
        <v>4</v>
      </c>
      <c r="X2610" s="10">
        <v>5</v>
      </c>
      <c r="Y2610" s="11">
        <v>0.25</v>
      </c>
      <c r="Z2610" s="11">
        <v>0.33333333333333331</v>
      </c>
      <c r="AA2610" s="11">
        <v>0.41666666666666669</v>
      </c>
    </row>
    <row r="2611" spans="21:27" x14ac:dyDescent="0.25">
      <c r="U2611" s="37">
        <v>42953</v>
      </c>
      <c r="V2611" s="10">
        <v>3</v>
      </c>
      <c r="W2611" s="10">
        <v>6</v>
      </c>
      <c r="X2611" s="10">
        <v>9</v>
      </c>
      <c r="Y2611" s="11">
        <v>0.16666666666666666</v>
      </c>
      <c r="Z2611" s="11">
        <v>0.33333333333333331</v>
      </c>
      <c r="AA2611" s="11">
        <v>0.5</v>
      </c>
    </row>
    <row r="2612" spans="21:27" x14ac:dyDescent="0.25">
      <c r="U2612" s="37">
        <v>42960</v>
      </c>
      <c r="V2612" s="10">
        <v>3</v>
      </c>
      <c r="W2612" s="10">
        <v>2</v>
      </c>
      <c r="X2612" s="10">
        <v>5</v>
      </c>
      <c r="Y2612" s="11">
        <v>0.3</v>
      </c>
      <c r="Z2612" s="11">
        <v>0.2</v>
      </c>
      <c r="AA2612" s="11">
        <v>0.5</v>
      </c>
    </row>
    <row r="2613" spans="21:27" x14ac:dyDescent="0.25">
      <c r="U2613" s="37">
        <v>42962</v>
      </c>
      <c r="V2613" s="10">
        <v>4</v>
      </c>
      <c r="W2613" s="10">
        <v>3</v>
      </c>
      <c r="X2613" s="10">
        <v>10</v>
      </c>
      <c r="Y2613" s="11">
        <v>0.23529411764705882</v>
      </c>
      <c r="Z2613" s="11">
        <v>0.17647058823529413</v>
      </c>
      <c r="AA2613" s="11">
        <v>0.58823529411764708</v>
      </c>
    </row>
    <row r="2614" spans="21:27" x14ac:dyDescent="0.25">
      <c r="U2614" s="37">
        <v>42967</v>
      </c>
      <c r="V2614" s="10">
        <v>10</v>
      </c>
      <c r="W2614" s="10">
        <v>4</v>
      </c>
      <c r="X2614" s="10">
        <v>3</v>
      </c>
      <c r="Y2614" s="11">
        <v>0.58823529411764708</v>
      </c>
      <c r="Z2614" s="11">
        <v>0.23529411764705882</v>
      </c>
      <c r="AA2614" s="11">
        <v>0.17647058823529413</v>
      </c>
    </row>
    <row r="2615" spans="21:27" x14ac:dyDescent="0.25">
      <c r="U2615" s="37">
        <v>42974</v>
      </c>
      <c r="V2615" s="10">
        <v>8</v>
      </c>
      <c r="W2615" s="10">
        <v>14</v>
      </c>
      <c r="X2615" s="10">
        <v>6</v>
      </c>
      <c r="Y2615" s="11">
        <v>0.2857142857142857</v>
      </c>
      <c r="Z2615" s="11">
        <v>0.5</v>
      </c>
      <c r="AA2615" s="11">
        <v>0.21428571428571427</v>
      </c>
    </row>
    <row r="2616" spans="21:27" x14ac:dyDescent="0.25">
      <c r="U2616" s="37">
        <v>42981</v>
      </c>
      <c r="V2616" s="10">
        <v>3</v>
      </c>
      <c r="W2616" s="10">
        <v>3</v>
      </c>
      <c r="X2616" s="10">
        <v>1</v>
      </c>
      <c r="Y2616" s="11">
        <v>0.42857142857142855</v>
      </c>
      <c r="Z2616" s="11">
        <v>0.42857142857142855</v>
      </c>
      <c r="AA2616" s="11">
        <v>0.14285714285714285</v>
      </c>
    </row>
    <row r="2617" spans="21:27" x14ac:dyDescent="0.25">
      <c r="U2617" s="37">
        <v>42988</v>
      </c>
      <c r="V2617" s="10">
        <v>4</v>
      </c>
      <c r="W2617" s="10">
        <v>2</v>
      </c>
      <c r="X2617" s="10">
        <v>2</v>
      </c>
      <c r="Y2617" s="11">
        <v>0.5</v>
      </c>
      <c r="Z2617" s="11">
        <v>0.25</v>
      </c>
      <c r="AA2617" s="11">
        <v>0.25</v>
      </c>
    </row>
    <row r="2618" spans="21:27" x14ac:dyDescent="0.25">
      <c r="U2618" s="37">
        <v>42995</v>
      </c>
      <c r="V2618" s="10">
        <v>3</v>
      </c>
      <c r="W2618" s="10">
        <v>8</v>
      </c>
      <c r="X2618" s="10">
        <v>5</v>
      </c>
      <c r="Y2618" s="11">
        <v>0.1875</v>
      </c>
      <c r="Z2618" s="11">
        <v>0.5</v>
      </c>
      <c r="AA2618" s="11">
        <v>0.3125</v>
      </c>
    </row>
    <row r="2619" spans="21:27" x14ac:dyDescent="0.25">
      <c r="U2619" s="37">
        <v>43002</v>
      </c>
      <c r="V2619" s="10">
        <v>3</v>
      </c>
      <c r="W2619" s="10">
        <v>0</v>
      </c>
      <c r="X2619" s="10">
        <v>0</v>
      </c>
      <c r="Y2619" s="11">
        <v>1</v>
      </c>
      <c r="Z2619" s="11">
        <v>0</v>
      </c>
      <c r="AA2619" s="11">
        <v>0</v>
      </c>
    </row>
    <row r="2620" spans="21:27" x14ac:dyDescent="0.25">
      <c r="U2620" s="37">
        <v>43009</v>
      </c>
      <c r="V2620" s="10">
        <v>8</v>
      </c>
      <c r="W2620" s="10">
        <v>1</v>
      </c>
      <c r="X2620" s="10">
        <v>0</v>
      </c>
      <c r="Y2620" s="11">
        <v>0.88888888888888884</v>
      </c>
      <c r="Z2620" s="11">
        <v>0.1111111111111111</v>
      </c>
      <c r="AA2620" s="11">
        <v>0</v>
      </c>
    </row>
    <row r="2621" spans="21:27" x14ac:dyDescent="0.25">
      <c r="U2621" s="37">
        <v>43016</v>
      </c>
      <c r="V2621" s="10">
        <v>8</v>
      </c>
      <c r="W2621" s="10">
        <v>6</v>
      </c>
      <c r="X2621" s="10">
        <v>2</v>
      </c>
      <c r="Y2621" s="11">
        <v>0.5</v>
      </c>
      <c r="Z2621" s="11">
        <v>0.375</v>
      </c>
      <c r="AA2621" s="11">
        <v>0.125</v>
      </c>
    </row>
    <row r="2622" spans="21:27" x14ac:dyDescent="0.25">
      <c r="U2622" s="37">
        <v>43023</v>
      </c>
      <c r="V2622" s="10">
        <v>8</v>
      </c>
      <c r="W2622" s="10">
        <v>5</v>
      </c>
      <c r="X2622" s="10">
        <v>0</v>
      </c>
      <c r="Y2622" s="11">
        <v>0.61538461538461542</v>
      </c>
      <c r="Z2622" s="11">
        <v>0.38461538461538464</v>
      </c>
      <c r="AA2622" s="11">
        <v>0</v>
      </c>
    </row>
    <row r="2623" spans="21:27" x14ac:dyDescent="0.25">
      <c r="U2623" s="37">
        <v>43030</v>
      </c>
      <c r="V2623" s="10">
        <v>1</v>
      </c>
      <c r="W2623" s="10">
        <v>6</v>
      </c>
      <c r="X2623" s="10">
        <v>10</v>
      </c>
      <c r="Y2623" s="11">
        <v>5.8823529411764705E-2</v>
      </c>
      <c r="Z2623" s="11">
        <v>0.35294117647058826</v>
      </c>
      <c r="AA2623" s="11">
        <v>0.58823529411764708</v>
      </c>
    </row>
    <row r="2624" spans="21:27" x14ac:dyDescent="0.25">
      <c r="U2624" s="37">
        <v>43037</v>
      </c>
      <c r="V2624" s="10">
        <v>6</v>
      </c>
      <c r="W2624" s="10">
        <v>6</v>
      </c>
      <c r="X2624" s="10">
        <v>3</v>
      </c>
      <c r="Y2624" s="11">
        <v>0.4</v>
      </c>
      <c r="Z2624" s="11">
        <v>0.4</v>
      </c>
      <c r="AA2624" s="11">
        <v>0.2</v>
      </c>
    </row>
    <row r="2625" spans="21:27" x14ac:dyDescent="0.25">
      <c r="U2625" s="37">
        <v>43040</v>
      </c>
      <c r="V2625" s="10">
        <v>0</v>
      </c>
      <c r="W2625" s="10">
        <v>5</v>
      </c>
      <c r="X2625" s="10">
        <v>4</v>
      </c>
      <c r="Y2625" s="11">
        <v>0</v>
      </c>
      <c r="Z2625" s="11">
        <v>0.55555555555555558</v>
      </c>
      <c r="AA2625" s="11">
        <v>0.44444444444444442</v>
      </c>
    </row>
    <row r="2626" spans="21:27" x14ac:dyDescent="0.25">
      <c r="U2626" s="37">
        <v>43044</v>
      </c>
      <c r="V2626" s="10">
        <v>2</v>
      </c>
      <c r="W2626" s="10">
        <v>3</v>
      </c>
      <c r="X2626" s="10">
        <v>4</v>
      </c>
      <c r="Y2626" s="11">
        <v>0.22222222222222221</v>
      </c>
      <c r="Z2626" s="11">
        <v>0.33333333333333331</v>
      </c>
      <c r="AA2626" s="11">
        <v>0.44444444444444442</v>
      </c>
    </row>
    <row r="2627" spans="21:27" x14ac:dyDescent="0.25">
      <c r="U2627" s="37">
        <v>43051</v>
      </c>
      <c r="V2627" s="10">
        <v>4</v>
      </c>
      <c r="W2627" s="10">
        <v>4</v>
      </c>
      <c r="X2627" s="10">
        <v>5</v>
      </c>
      <c r="Y2627" s="11">
        <v>0.30769230769230771</v>
      </c>
      <c r="Z2627" s="11">
        <v>0.30769230769230771</v>
      </c>
      <c r="AA2627" s="11">
        <v>0.38461538461538464</v>
      </c>
    </row>
    <row r="2628" spans="21:27" x14ac:dyDescent="0.25">
      <c r="U2628" s="37">
        <v>43058</v>
      </c>
      <c r="V2628" s="10">
        <v>2</v>
      </c>
      <c r="W2628" s="10">
        <v>1</v>
      </c>
      <c r="X2628" s="10">
        <v>7</v>
      </c>
      <c r="Y2628" s="11">
        <v>0.2</v>
      </c>
      <c r="Z2628" s="11">
        <v>0.1</v>
      </c>
      <c r="AA2628" s="11">
        <v>0.7</v>
      </c>
    </row>
    <row r="2629" spans="21:27" x14ac:dyDescent="0.25">
      <c r="U2629" s="37">
        <v>43065</v>
      </c>
      <c r="V2629" s="10">
        <v>10</v>
      </c>
      <c r="W2629" s="10">
        <v>1</v>
      </c>
      <c r="X2629" s="10">
        <v>5</v>
      </c>
      <c r="Y2629" s="11">
        <v>0.625</v>
      </c>
      <c r="Z2629" s="11">
        <v>6.25E-2</v>
      </c>
      <c r="AA2629" s="11">
        <v>0.3125</v>
      </c>
    </row>
    <row r="2630" spans="21:27" x14ac:dyDescent="0.25">
      <c r="U2630" s="37">
        <v>43072</v>
      </c>
      <c r="V2630" s="10">
        <v>3</v>
      </c>
      <c r="W2630" s="10">
        <v>4</v>
      </c>
      <c r="X2630" s="10">
        <v>3</v>
      </c>
      <c r="Y2630" s="11">
        <v>0.3</v>
      </c>
      <c r="Z2630" s="11">
        <v>0.4</v>
      </c>
      <c r="AA2630" s="11">
        <v>0.3</v>
      </c>
    </row>
    <row r="2631" spans="21:27" x14ac:dyDescent="0.25">
      <c r="U2631" s="37">
        <v>43079</v>
      </c>
      <c r="V2631" s="10">
        <v>4</v>
      </c>
      <c r="W2631" s="10">
        <v>2</v>
      </c>
      <c r="X2631" s="10">
        <v>2</v>
      </c>
      <c r="Y2631" s="11">
        <v>0.5</v>
      </c>
      <c r="Z2631" s="11">
        <v>0.25</v>
      </c>
      <c r="AA2631" s="11">
        <v>0.25</v>
      </c>
    </row>
    <row r="2632" spans="21:27" x14ac:dyDescent="0.25">
      <c r="U2632" s="37">
        <v>43086</v>
      </c>
      <c r="V2632" s="10">
        <v>4</v>
      </c>
      <c r="W2632" s="10">
        <v>5</v>
      </c>
      <c r="X2632" s="10">
        <v>3</v>
      </c>
      <c r="Y2632" s="11">
        <v>0.33333333333333331</v>
      </c>
      <c r="Z2632" s="11">
        <v>0.41666666666666669</v>
      </c>
      <c r="AA2632" s="11">
        <v>0.25</v>
      </c>
    </row>
    <row r="2633" spans="21:27" x14ac:dyDescent="0.25">
      <c r="U2633" s="37">
        <v>43093</v>
      </c>
      <c r="V2633" s="10">
        <v>4</v>
      </c>
      <c r="W2633" s="10">
        <v>1</v>
      </c>
      <c r="X2633" s="10">
        <v>6</v>
      </c>
      <c r="Y2633" s="11">
        <v>0.36363636363636365</v>
      </c>
      <c r="Z2633" s="11">
        <v>9.0909090909090912E-2</v>
      </c>
      <c r="AA2633" s="11">
        <v>0.54545454545454541</v>
      </c>
    </row>
    <row r="2634" spans="21:27" x14ac:dyDescent="0.25">
      <c r="U2634" s="37">
        <v>43093</v>
      </c>
      <c r="V2634" s="10">
        <v>2</v>
      </c>
      <c r="W2634" s="10">
        <v>1</v>
      </c>
      <c r="X2634" s="10">
        <v>3</v>
      </c>
      <c r="Y2634" s="11">
        <v>0.33333333333333331</v>
      </c>
      <c r="Z2634" s="11">
        <v>0.16666666666666666</v>
      </c>
      <c r="AA2634" s="11">
        <v>0.5</v>
      </c>
    </row>
    <row r="2635" spans="21:27" x14ac:dyDescent="0.25">
      <c r="U2635" s="37">
        <v>43094</v>
      </c>
      <c r="V2635" s="10">
        <v>4</v>
      </c>
      <c r="W2635" s="10">
        <v>7</v>
      </c>
      <c r="X2635" s="10">
        <v>3</v>
      </c>
      <c r="Y2635" s="11">
        <v>0.2857142857142857</v>
      </c>
      <c r="Z2635" s="11">
        <v>0.5</v>
      </c>
      <c r="AA2635" s="11">
        <v>0.21428571428571427</v>
      </c>
    </row>
    <row r="2636" spans="21:27" x14ac:dyDescent="0.25">
      <c r="U2636" s="37">
        <v>43100</v>
      </c>
      <c r="V2636" s="10">
        <v>6</v>
      </c>
      <c r="W2636" s="10">
        <v>0</v>
      </c>
      <c r="X2636" s="10">
        <v>6</v>
      </c>
      <c r="Y2636" s="11">
        <v>0.5</v>
      </c>
      <c r="Z2636" s="11">
        <v>0</v>
      </c>
      <c r="AA2636" s="11">
        <v>0.5</v>
      </c>
    </row>
    <row r="2637" spans="21:27" x14ac:dyDescent="0.25">
      <c r="U2637" s="37">
        <v>43107</v>
      </c>
      <c r="V2637" s="10">
        <v>1</v>
      </c>
      <c r="W2637" s="10">
        <v>1</v>
      </c>
      <c r="X2637" s="10">
        <v>3</v>
      </c>
      <c r="Y2637" s="11">
        <v>0.2</v>
      </c>
      <c r="Z2637" s="11">
        <v>0.2</v>
      </c>
      <c r="AA2637" s="11">
        <v>0.6</v>
      </c>
    </row>
    <row r="2638" spans="21:27" x14ac:dyDescent="0.25">
      <c r="U2638" s="37">
        <v>43114</v>
      </c>
      <c r="V2638" s="10">
        <v>9</v>
      </c>
      <c r="W2638" s="10">
        <v>7</v>
      </c>
      <c r="X2638" s="10">
        <v>4</v>
      </c>
      <c r="Y2638" s="11">
        <v>0.45</v>
      </c>
      <c r="Z2638" s="11">
        <v>0.35</v>
      </c>
      <c r="AA2638" s="11">
        <v>0.2</v>
      </c>
    </row>
    <row r="2639" spans="21:27" x14ac:dyDescent="0.25">
      <c r="U2639" s="37">
        <v>43121</v>
      </c>
      <c r="V2639" s="10">
        <v>5</v>
      </c>
      <c r="W2639" s="10">
        <v>1</v>
      </c>
      <c r="X2639" s="10">
        <v>3</v>
      </c>
      <c r="Y2639" s="11">
        <v>0.55555555555555558</v>
      </c>
      <c r="Z2639" s="11">
        <v>0.1111111111111111</v>
      </c>
      <c r="AA2639" s="11">
        <v>0.33333333333333331</v>
      </c>
    </row>
    <row r="2640" spans="21:27" x14ac:dyDescent="0.25">
      <c r="U2640" s="37">
        <v>43128</v>
      </c>
      <c r="V2640" s="10">
        <v>6</v>
      </c>
      <c r="W2640" s="10">
        <v>3</v>
      </c>
      <c r="X2640" s="10">
        <v>8</v>
      </c>
      <c r="Y2640" s="11">
        <v>0.35294117647058826</v>
      </c>
      <c r="Z2640" s="11">
        <v>0.17647058823529413</v>
      </c>
      <c r="AA2640" s="11">
        <v>0.47058823529411764</v>
      </c>
    </row>
    <row r="2641" spans="21:27" x14ac:dyDescent="0.25">
      <c r="U2641" s="37">
        <v>43135</v>
      </c>
      <c r="V2641" s="10">
        <v>2</v>
      </c>
      <c r="W2641" s="10">
        <v>2</v>
      </c>
      <c r="X2641" s="10">
        <v>1</v>
      </c>
      <c r="Y2641" s="11">
        <v>0.4</v>
      </c>
      <c r="Z2641" s="11">
        <v>0.4</v>
      </c>
      <c r="AA2641" s="11">
        <v>0.2</v>
      </c>
    </row>
    <row r="2642" spans="21:27" x14ac:dyDescent="0.25">
      <c r="U2642" s="37">
        <v>43142</v>
      </c>
      <c r="V2642" s="10">
        <v>5</v>
      </c>
      <c r="W2642" s="10">
        <v>5</v>
      </c>
      <c r="X2642" s="10">
        <v>1</v>
      </c>
      <c r="Y2642" s="11">
        <v>0.45454545454545453</v>
      </c>
      <c r="Z2642" s="11">
        <v>0.45454545454545453</v>
      </c>
      <c r="AA2642" s="11">
        <v>9.0909090909090912E-2</v>
      </c>
    </row>
    <row r="2643" spans="21:27" x14ac:dyDescent="0.25">
      <c r="U2643" s="37">
        <v>43149</v>
      </c>
      <c r="V2643" s="10">
        <v>6</v>
      </c>
      <c r="W2643" s="10">
        <v>2</v>
      </c>
      <c r="X2643" s="10">
        <v>4</v>
      </c>
      <c r="Y2643" s="11">
        <v>0.5</v>
      </c>
      <c r="Z2643" s="11">
        <v>0.16666666666666666</v>
      </c>
      <c r="AA2643" s="11">
        <v>0.33333333333333331</v>
      </c>
    </row>
    <row r="2644" spans="21:27" x14ac:dyDescent="0.25">
      <c r="U2644" s="37">
        <v>43156</v>
      </c>
      <c r="V2644" s="10">
        <v>10</v>
      </c>
      <c r="W2644" s="10">
        <v>1</v>
      </c>
      <c r="X2644" s="10">
        <v>4</v>
      </c>
      <c r="Y2644" s="11">
        <v>0.66666666666666663</v>
      </c>
      <c r="Z2644" s="11">
        <v>6.6666666666666666E-2</v>
      </c>
      <c r="AA2644" s="11">
        <v>0.26666666666666666</v>
      </c>
    </row>
    <row r="2645" spans="21:27" x14ac:dyDescent="0.25">
      <c r="U2645" s="37">
        <v>43163</v>
      </c>
      <c r="V2645" s="10">
        <v>5</v>
      </c>
      <c r="W2645" s="10">
        <v>3</v>
      </c>
      <c r="X2645" s="10">
        <v>6</v>
      </c>
      <c r="Y2645" s="11">
        <v>0.35714285714285715</v>
      </c>
      <c r="Z2645" s="11">
        <v>0.21428571428571427</v>
      </c>
      <c r="AA2645" s="11">
        <v>0.42857142857142855</v>
      </c>
    </row>
    <row r="2646" spans="21:27" x14ac:dyDescent="0.25">
      <c r="U2646" s="37">
        <v>43170</v>
      </c>
      <c r="V2646" s="10">
        <v>5</v>
      </c>
      <c r="W2646" s="10">
        <v>7</v>
      </c>
      <c r="X2646" s="10">
        <v>5</v>
      </c>
      <c r="Y2646" s="11">
        <v>0.29411764705882354</v>
      </c>
      <c r="Z2646" s="11">
        <v>0.41176470588235292</v>
      </c>
      <c r="AA2646" s="11">
        <v>0.29411764705882354</v>
      </c>
    </row>
    <row r="2647" spans="21:27" x14ac:dyDescent="0.25">
      <c r="U2647" s="37">
        <v>43177</v>
      </c>
      <c r="V2647" s="10">
        <v>2</v>
      </c>
      <c r="W2647" s="10">
        <v>0</v>
      </c>
      <c r="X2647" s="10">
        <v>6</v>
      </c>
      <c r="Y2647" s="11">
        <v>0.25</v>
      </c>
      <c r="Z2647" s="11">
        <v>0</v>
      </c>
      <c r="AA2647" s="11">
        <v>0.75</v>
      </c>
    </row>
    <row r="2648" spans="21:27" x14ac:dyDescent="0.25">
      <c r="U2648" s="37">
        <v>43184</v>
      </c>
      <c r="V2648" s="10">
        <v>3</v>
      </c>
      <c r="W2648" s="10">
        <v>5</v>
      </c>
      <c r="X2648" s="10">
        <v>16</v>
      </c>
      <c r="Y2648" s="11">
        <v>0.125</v>
      </c>
      <c r="Z2648" s="11">
        <v>0.20833333333333334</v>
      </c>
      <c r="AA2648" s="11">
        <v>0.66666666666666663</v>
      </c>
    </row>
    <row r="2649" spans="21:27" x14ac:dyDescent="0.25">
      <c r="U2649" s="37">
        <v>43191</v>
      </c>
      <c r="V2649" s="10">
        <v>15</v>
      </c>
      <c r="W2649" s="10">
        <v>3</v>
      </c>
      <c r="X2649" s="10">
        <v>6</v>
      </c>
      <c r="Y2649" s="11">
        <v>0.625</v>
      </c>
      <c r="Z2649" s="11">
        <v>0.125</v>
      </c>
      <c r="AA2649" s="11">
        <v>0.25</v>
      </c>
    </row>
    <row r="2650" spans="21:27" x14ac:dyDescent="0.25">
      <c r="U2650" s="37">
        <v>43198</v>
      </c>
      <c r="V2650" s="10">
        <v>8</v>
      </c>
      <c r="W2650" s="10">
        <v>2</v>
      </c>
      <c r="X2650" s="10">
        <v>7</v>
      </c>
      <c r="Y2650" s="11">
        <v>0.47058823529411764</v>
      </c>
      <c r="Z2650" s="11">
        <v>0.11764705882352941</v>
      </c>
      <c r="AA2650" s="11">
        <v>0.41176470588235292</v>
      </c>
    </row>
    <row r="2651" spans="21:27" x14ac:dyDescent="0.25">
      <c r="U2651" s="37">
        <v>43205</v>
      </c>
      <c r="V2651" s="10">
        <v>3</v>
      </c>
      <c r="W2651" s="10">
        <v>0</v>
      </c>
      <c r="X2651" s="10">
        <v>0</v>
      </c>
      <c r="Y2651" s="11">
        <v>1</v>
      </c>
      <c r="Z2651" s="11">
        <v>0</v>
      </c>
      <c r="AA2651" s="11">
        <v>0</v>
      </c>
    </row>
    <row r="2652" spans="21:27" x14ac:dyDescent="0.25">
      <c r="U2652" s="37">
        <v>43212</v>
      </c>
      <c r="V2652" s="10">
        <v>5</v>
      </c>
      <c r="W2652" s="10">
        <v>3</v>
      </c>
      <c r="X2652" s="10">
        <v>7</v>
      </c>
      <c r="Y2652" s="11">
        <v>0.33333333333333331</v>
      </c>
      <c r="Z2652" s="11">
        <v>0.2</v>
      </c>
      <c r="AA2652" s="11">
        <v>0.46666666666666667</v>
      </c>
    </row>
    <row r="2653" spans="21:27" x14ac:dyDescent="0.25">
      <c r="U2653" s="37">
        <v>43219</v>
      </c>
      <c r="V2653" s="10">
        <v>15</v>
      </c>
      <c r="W2653" s="10">
        <v>3</v>
      </c>
      <c r="X2653" s="10">
        <v>5</v>
      </c>
      <c r="Y2653" s="11">
        <v>0.65217391304347827</v>
      </c>
      <c r="Z2653" s="11">
        <v>0.13043478260869565</v>
      </c>
      <c r="AA2653" s="11">
        <v>0.21739130434782608</v>
      </c>
    </row>
    <row r="2654" spans="21:27" x14ac:dyDescent="0.25">
      <c r="U2654" s="37">
        <v>43226</v>
      </c>
      <c r="V2654" s="10">
        <v>10</v>
      </c>
      <c r="W2654" s="10">
        <v>8</v>
      </c>
      <c r="X2654" s="10">
        <v>4</v>
      </c>
      <c r="Y2654" s="11">
        <v>0.45454545454545453</v>
      </c>
      <c r="Z2654" s="11">
        <v>0.36363636363636365</v>
      </c>
      <c r="AA2654" s="11">
        <v>0.18181818181818182</v>
      </c>
    </row>
    <row r="2655" spans="21:27" x14ac:dyDescent="0.25">
      <c r="U2655" s="37">
        <v>43230</v>
      </c>
      <c r="V2655" s="10">
        <v>9</v>
      </c>
      <c r="W2655" s="10">
        <v>5</v>
      </c>
      <c r="X2655" s="10">
        <v>9</v>
      </c>
      <c r="Y2655" s="11">
        <v>0.39130434782608697</v>
      </c>
      <c r="Z2655" s="11">
        <v>0.21739130434782608</v>
      </c>
      <c r="AA2655" s="11">
        <v>0.39130434782608697</v>
      </c>
    </row>
    <row r="2656" spans="21:27" x14ac:dyDescent="0.25">
      <c r="U2656" s="37">
        <v>43233</v>
      </c>
      <c r="V2656" s="10">
        <v>9</v>
      </c>
      <c r="W2656" s="10">
        <v>10</v>
      </c>
      <c r="X2656" s="10">
        <v>7</v>
      </c>
      <c r="Y2656" s="11">
        <v>0.34615384615384615</v>
      </c>
      <c r="Z2656" s="11">
        <v>0.38461538461538464</v>
      </c>
      <c r="AA2656" s="11">
        <v>0.26923076923076922</v>
      </c>
    </row>
    <row r="2657" spans="21:27" x14ac:dyDescent="0.25">
      <c r="U2657" s="37">
        <v>43240</v>
      </c>
      <c r="V2657" s="10">
        <v>2</v>
      </c>
      <c r="W2657" s="10">
        <v>1</v>
      </c>
      <c r="X2657" s="10">
        <v>13</v>
      </c>
      <c r="Y2657" s="11">
        <v>0.125</v>
      </c>
      <c r="Z2657" s="11">
        <v>6.25E-2</v>
      </c>
      <c r="AA2657" s="11">
        <v>0.8125</v>
      </c>
    </row>
    <row r="2658" spans="21:27" x14ac:dyDescent="0.25">
      <c r="U2658" s="37">
        <v>43247</v>
      </c>
      <c r="V2658" s="10">
        <v>10</v>
      </c>
      <c r="W2658" s="10">
        <v>6</v>
      </c>
      <c r="X2658" s="10">
        <v>8</v>
      </c>
      <c r="Y2658" s="11">
        <v>0.41666666666666669</v>
      </c>
      <c r="Z2658" s="11">
        <v>0.25</v>
      </c>
      <c r="AA2658" s="11">
        <v>0.33333333333333331</v>
      </c>
    </row>
    <row r="2659" spans="21:27" x14ac:dyDescent="0.25">
      <c r="U2659" s="37">
        <v>43254</v>
      </c>
      <c r="V2659" s="10">
        <v>1</v>
      </c>
      <c r="W2659" s="10">
        <v>0</v>
      </c>
      <c r="X2659" s="10">
        <v>5</v>
      </c>
      <c r="Y2659" s="11">
        <v>0.16666666666666666</v>
      </c>
      <c r="Z2659" s="11">
        <v>0</v>
      </c>
      <c r="AA2659" s="11">
        <v>0.83333333333333337</v>
      </c>
    </row>
    <row r="2660" spans="21:27" x14ac:dyDescent="0.25">
      <c r="U2660" s="37">
        <v>43261</v>
      </c>
      <c r="V2660" s="10">
        <v>3</v>
      </c>
      <c r="W2660" s="10">
        <v>1</v>
      </c>
      <c r="X2660" s="10">
        <v>4</v>
      </c>
      <c r="Y2660" s="11">
        <v>0.375</v>
      </c>
      <c r="Z2660" s="11">
        <v>0.125</v>
      </c>
      <c r="AA2660" s="11">
        <v>0.5</v>
      </c>
    </row>
    <row r="2661" spans="21:27" x14ac:dyDescent="0.25">
      <c r="U2661" s="37">
        <v>43268</v>
      </c>
      <c r="V2661" s="10">
        <v>4</v>
      </c>
      <c r="W2661" s="10">
        <v>2</v>
      </c>
      <c r="X2661" s="10">
        <v>6</v>
      </c>
      <c r="Y2661" s="11">
        <v>0.33333333333333331</v>
      </c>
      <c r="Z2661" s="11">
        <v>0.16666666666666666</v>
      </c>
      <c r="AA2661" s="11">
        <v>0.5</v>
      </c>
    </row>
    <row r="2662" spans="21:27" x14ac:dyDescent="0.25">
      <c r="U2662" s="37">
        <v>43275</v>
      </c>
      <c r="V2662" s="10">
        <v>1</v>
      </c>
      <c r="W2662" s="10">
        <v>8</v>
      </c>
      <c r="X2662" s="10">
        <v>5</v>
      </c>
      <c r="Y2662" s="11">
        <v>7.1428571428571425E-2</v>
      </c>
      <c r="Z2662" s="11">
        <v>0.5714285714285714</v>
      </c>
      <c r="AA2662" s="11">
        <v>0.35714285714285715</v>
      </c>
    </row>
    <row r="2663" spans="21:27" x14ac:dyDescent="0.25">
      <c r="U2663" s="37">
        <v>43282</v>
      </c>
      <c r="V2663" s="10">
        <v>5</v>
      </c>
      <c r="W2663" s="10">
        <v>3</v>
      </c>
      <c r="X2663" s="10">
        <v>5</v>
      </c>
      <c r="Y2663" s="11">
        <v>0.38461538461538464</v>
      </c>
      <c r="Z2663" s="11">
        <v>0.23076923076923078</v>
      </c>
      <c r="AA2663" s="11">
        <v>0.38461538461538464</v>
      </c>
    </row>
    <row r="2664" spans="21:27" x14ac:dyDescent="0.25">
      <c r="U2664" s="37">
        <v>43289</v>
      </c>
      <c r="V2664" s="10">
        <v>12</v>
      </c>
      <c r="W2664" s="10">
        <v>11</v>
      </c>
      <c r="X2664" s="10">
        <v>11</v>
      </c>
      <c r="Y2664" s="11">
        <v>0.35294117647058826</v>
      </c>
      <c r="Z2664" s="11">
        <v>0.3235294117647059</v>
      </c>
      <c r="AA2664" s="11">
        <v>0.3235294117647059</v>
      </c>
    </row>
    <row r="2665" spans="21:27" x14ac:dyDescent="0.25">
      <c r="U2665" s="37">
        <v>43296</v>
      </c>
      <c r="V2665" s="10">
        <v>5</v>
      </c>
      <c r="W2665" s="10">
        <v>3</v>
      </c>
      <c r="X2665" s="10">
        <v>1</v>
      </c>
      <c r="Y2665" s="11">
        <v>0.55555555555555558</v>
      </c>
      <c r="Z2665" s="11">
        <v>0.33333333333333331</v>
      </c>
      <c r="AA2665" s="11">
        <v>0.1111111111111111</v>
      </c>
    </row>
    <row r="2666" spans="21:27" x14ac:dyDescent="0.25">
      <c r="U2666" s="37">
        <v>43303</v>
      </c>
      <c r="V2666" s="10">
        <v>5</v>
      </c>
      <c r="W2666" s="10">
        <v>3</v>
      </c>
      <c r="X2666" s="10">
        <v>1</v>
      </c>
      <c r="Y2666" s="11">
        <v>0.55555555555555558</v>
      </c>
      <c r="Z2666" s="11">
        <v>0.33333333333333331</v>
      </c>
      <c r="AA2666" s="11">
        <v>0.1111111111111111</v>
      </c>
    </row>
    <row r="2667" spans="21:27" x14ac:dyDescent="0.25">
      <c r="U2667" s="37">
        <v>43310</v>
      </c>
      <c r="V2667" s="10">
        <v>7</v>
      </c>
      <c r="W2667" s="10">
        <v>0</v>
      </c>
      <c r="X2667" s="10">
        <v>5</v>
      </c>
      <c r="Y2667" s="11">
        <v>0.58333333333333337</v>
      </c>
      <c r="Z2667" s="11">
        <v>0</v>
      </c>
      <c r="AA2667" s="11">
        <v>0.41666666666666669</v>
      </c>
    </row>
    <row r="2668" spans="21:27" x14ac:dyDescent="0.25">
      <c r="U2668" s="37">
        <v>43317</v>
      </c>
      <c r="V2668" s="10">
        <v>7</v>
      </c>
      <c r="W2668" s="10">
        <v>12</v>
      </c>
      <c r="X2668" s="10">
        <v>3</v>
      </c>
      <c r="Y2668" s="11">
        <v>0.31818181818181818</v>
      </c>
      <c r="Z2668" s="11">
        <v>0.54545454545454541</v>
      </c>
      <c r="AA2668" s="11">
        <v>0.13636363636363635</v>
      </c>
    </row>
    <row r="2669" spans="21:27" x14ac:dyDescent="0.25">
      <c r="U2669" s="37">
        <v>43324</v>
      </c>
      <c r="V2669" s="10">
        <v>0</v>
      </c>
      <c r="W2669" s="10">
        <v>2</v>
      </c>
      <c r="X2669" s="10">
        <v>0</v>
      </c>
      <c r="Y2669" s="11">
        <v>0</v>
      </c>
      <c r="Z2669" s="11">
        <v>1</v>
      </c>
      <c r="AA2669" s="11">
        <v>0</v>
      </c>
    </row>
    <row r="2670" spans="21:27" x14ac:dyDescent="0.25">
      <c r="U2670" s="37">
        <v>43327</v>
      </c>
      <c r="V2670" s="10">
        <v>2</v>
      </c>
      <c r="W2670" s="10">
        <v>5</v>
      </c>
      <c r="X2670" s="10">
        <v>8</v>
      </c>
      <c r="Y2670" s="11">
        <v>0.13333333333333333</v>
      </c>
      <c r="Z2670" s="11">
        <v>0.33333333333333331</v>
      </c>
      <c r="AA2670" s="11">
        <v>0.53333333333333333</v>
      </c>
    </row>
    <row r="2671" spans="21:27" x14ac:dyDescent="0.25">
      <c r="U2671" s="37">
        <v>43331</v>
      </c>
      <c r="V2671" s="10">
        <v>5</v>
      </c>
      <c r="W2671" s="10">
        <v>0</v>
      </c>
      <c r="X2671" s="10">
        <v>5</v>
      </c>
      <c r="Y2671" s="11">
        <v>0.5</v>
      </c>
      <c r="Z2671" s="11">
        <v>0</v>
      </c>
      <c r="AA2671" s="11">
        <v>0.5</v>
      </c>
    </row>
    <row r="2672" spans="21:27" x14ac:dyDescent="0.25">
      <c r="U2672" s="37">
        <v>43338</v>
      </c>
      <c r="V2672" s="10">
        <v>5</v>
      </c>
      <c r="W2672" s="10">
        <v>4</v>
      </c>
      <c r="X2672" s="10">
        <v>6</v>
      </c>
      <c r="Y2672" s="11">
        <v>0.33333333333333331</v>
      </c>
      <c r="Z2672" s="11">
        <v>0.26666666666666666</v>
      </c>
      <c r="AA2672" s="11">
        <v>0.4</v>
      </c>
    </row>
    <row r="2673" spans="21:27" x14ac:dyDescent="0.25">
      <c r="U2673" s="37">
        <v>43345</v>
      </c>
      <c r="V2673" s="10">
        <v>2</v>
      </c>
      <c r="W2673" s="10">
        <v>1</v>
      </c>
      <c r="X2673" s="10">
        <v>9</v>
      </c>
      <c r="Y2673" s="11">
        <v>0.16666666666666666</v>
      </c>
      <c r="Z2673" s="11">
        <v>8.3333333333333329E-2</v>
      </c>
      <c r="AA2673" s="11">
        <v>0.75</v>
      </c>
    </row>
    <row r="2674" spans="21:27" x14ac:dyDescent="0.25">
      <c r="U2674" s="37">
        <v>43352</v>
      </c>
      <c r="V2674" s="10">
        <v>3</v>
      </c>
      <c r="W2674" s="10">
        <v>3</v>
      </c>
      <c r="X2674" s="10">
        <v>12</v>
      </c>
      <c r="Y2674" s="11">
        <v>0.16666666666666666</v>
      </c>
      <c r="Z2674" s="11">
        <v>0.16666666666666666</v>
      </c>
      <c r="AA2674" s="11">
        <v>0.66666666666666663</v>
      </c>
    </row>
    <row r="2675" spans="21:27" x14ac:dyDescent="0.25">
      <c r="U2675" s="37">
        <v>43359</v>
      </c>
      <c r="V2675" s="10">
        <v>5</v>
      </c>
      <c r="W2675" s="10">
        <v>3</v>
      </c>
      <c r="X2675" s="10">
        <v>4</v>
      </c>
      <c r="Y2675" s="11">
        <v>0.41666666666666669</v>
      </c>
      <c r="Z2675" s="11">
        <v>0.25</v>
      </c>
      <c r="AA2675" s="11">
        <v>0.33333333333333331</v>
      </c>
    </row>
    <row r="2676" spans="21:27" x14ac:dyDescent="0.25">
      <c r="U2676" s="37">
        <v>43366</v>
      </c>
      <c r="V2676" s="10">
        <v>1</v>
      </c>
      <c r="W2676" s="10">
        <v>1</v>
      </c>
      <c r="X2676" s="10">
        <v>1</v>
      </c>
      <c r="Y2676" s="11">
        <v>0.33333333333333331</v>
      </c>
      <c r="Z2676" s="11">
        <v>0.33333333333333331</v>
      </c>
      <c r="AA2676" s="11">
        <v>0.33333333333333331</v>
      </c>
    </row>
    <row r="2677" spans="21:27" x14ac:dyDescent="0.25">
      <c r="U2677" s="37">
        <v>43373</v>
      </c>
      <c r="V2677" s="10">
        <v>1</v>
      </c>
      <c r="W2677" s="10">
        <v>1</v>
      </c>
      <c r="X2677" s="10">
        <v>4</v>
      </c>
      <c r="Y2677" s="11">
        <v>0.16666666666666666</v>
      </c>
      <c r="Z2677" s="11">
        <v>0.16666666666666666</v>
      </c>
      <c r="AA2677" s="11">
        <v>0.66666666666666663</v>
      </c>
    </row>
    <row r="2678" spans="21:27" x14ac:dyDescent="0.25">
      <c r="U2678" s="37">
        <v>43380</v>
      </c>
      <c r="V2678" s="10">
        <v>3</v>
      </c>
      <c r="W2678" s="10">
        <v>2</v>
      </c>
      <c r="X2678" s="10">
        <v>6</v>
      </c>
      <c r="Y2678" s="11">
        <v>0.27272727272727271</v>
      </c>
      <c r="Z2678" s="11">
        <v>0.18181818181818182</v>
      </c>
      <c r="AA2678" s="11">
        <v>0.54545454545454541</v>
      </c>
    </row>
    <row r="2679" spans="21:27" x14ac:dyDescent="0.25">
      <c r="U2679" s="37">
        <v>43387</v>
      </c>
      <c r="V2679" s="10">
        <v>14</v>
      </c>
      <c r="W2679" s="10">
        <v>14</v>
      </c>
      <c r="X2679" s="10">
        <v>10</v>
      </c>
      <c r="Y2679" s="11">
        <v>0.36842105263157893</v>
      </c>
      <c r="Z2679" s="11">
        <v>0.36842105263157893</v>
      </c>
      <c r="AA2679" s="11">
        <v>0.26315789473684209</v>
      </c>
    </row>
    <row r="2680" spans="21:27" x14ac:dyDescent="0.25">
      <c r="U2680" s="37">
        <v>43394</v>
      </c>
      <c r="V2680" s="10">
        <v>2</v>
      </c>
      <c r="W2680" s="10">
        <v>3</v>
      </c>
      <c r="X2680" s="10">
        <v>7</v>
      </c>
      <c r="Y2680" s="11">
        <v>0.16666666666666666</v>
      </c>
      <c r="Z2680" s="11">
        <v>0.25</v>
      </c>
      <c r="AA2680" s="11">
        <v>0.58333333333333337</v>
      </c>
    </row>
    <row r="2681" spans="21:27" x14ac:dyDescent="0.25">
      <c r="U2681" s="37">
        <v>43401</v>
      </c>
      <c r="V2681" s="10">
        <v>12</v>
      </c>
      <c r="W2681" s="10">
        <v>7</v>
      </c>
      <c r="X2681" s="10">
        <v>2</v>
      </c>
      <c r="Y2681" s="11">
        <v>0.5714285714285714</v>
      </c>
      <c r="Z2681" s="11">
        <v>0.33333333333333331</v>
      </c>
      <c r="AA2681" s="11">
        <v>9.5238095238095233E-2</v>
      </c>
    </row>
    <row r="2682" spans="21:27" x14ac:dyDescent="0.25">
      <c r="U2682" s="37">
        <v>43405</v>
      </c>
      <c r="V2682" s="10">
        <v>0</v>
      </c>
      <c r="W2682" s="10">
        <v>5</v>
      </c>
      <c r="X2682" s="10">
        <v>9</v>
      </c>
      <c r="Y2682" s="11">
        <v>0</v>
      </c>
      <c r="Z2682" s="11">
        <v>0.35714285714285715</v>
      </c>
      <c r="AA2682" s="11">
        <v>0.6428571428571429</v>
      </c>
    </row>
    <row r="2683" spans="21:27" x14ac:dyDescent="0.25">
      <c r="U2683" s="37">
        <v>43408</v>
      </c>
      <c r="V2683" s="10">
        <v>1</v>
      </c>
      <c r="W2683" s="10">
        <v>5</v>
      </c>
      <c r="X2683" s="10">
        <v>6</v>
      </c>
      <c r="Y2683" s="11">
        <v>8.3333333333333329E-2</v>
      </c>
      <c r="Z2683" s="11">
        <v>0.41666666666666669</v>
      </c>
      <c r="AA2683" s="11">
        <v>0.5</v>
      </c>
    </row>
    <row r="2684" spans="21:27" x14ac:dyDescent="0.25">
      <c r="U2684" s="37">
        <v>43415</v>
      </c>
      <c r="V2684" s="10">
        <v>5</v>
      </c>
      <c r="W2684" s="10">
        <v>9</v>
      </c>
      <c r="X2684" s="10">
        <v>8</v>
      </c>
      <c r="Y2684" s="11">
        <v>0.22727272727272727</v>
      </c>
      <c r="Z2684" s="11">
        <v>0.40909090909090912</v>
      </c>
      <c r="AA2684" s="11">
        <v>0.36363636363636365</v>
      </c>
    </row>
    <row r="2685" spans="21:27" x14ac:dyDescent="0.25">
      <c r="U2685" s="37">
        <v>43422</v>
      </c>
      <c r="V2685" s="10">
        <v>6</v>
      </c>
      <c r="W2685" s="10">
        <v>5</v>
      </c>
      <c r="X2685" s="10">
        <v>12</v>
      </c>
      <c r="Y2685" s="11">
        <v>0.2608695652173913</v>
      </c>
      <c r="Z2685" s="11">
        <v>0.21739130434782608</v>
      </c>
      <c r="AA2685" s="11">
        <v>0.52173913043478259</v>
      </c>
    </row>
    <row r="2686" spans="21:27" x14ac:dyDescent="0.25">
      <c r="U2686" s="37">
        <v>43429</v>
      </c>
      <c r="V2686" s="10">
        <v>4</v>
      </c>
      <c r="W2686" s="10">
        <v>2</v>
      </c>
      <c r="X2686" s="10">
        <v>4</v>
      </c>
      <c r="Y2686" s="11">
        <v>0.4</v>
      </c>
      <c r="Z2686" s="11">
        <v>0.2</v>
      </c>
      <c r="AA2686" s="11">
        <v>0.4</v>
      </c>
    </row>
    <row r="2687" spans="21:27" x14ac:dyDescent="0.25">
      <c r="U2687" s="37">
        <v>43436</v>
      </c>
      <c r="V2687" s="10">
        <v>10</v>
      </c>
      <c r="W2687" s="10">
        <v>7</v>
      </c>
      <c r="X2687" s="10">
        <v>2</v>
      </c>
      <c r="Y2687" s="11">
        <v>0.52631578947368418</v>
      </c>
      <c r="Z2687" s="11">
        <v>0.36842105263157893</v>
      </c>
      <c r="AA2687" s="11">
        <v>0.10526315789473684</v>
      </c>
    </row>
    <row r="2688" spans="21:27" x14ac:dyDescent="0.25">
      <c r="U2688" s="37">
        <v>43443</v>
      </c>
      <c r="V2688" s="10">
        <v>2</v>
      </c>
      <c r="W2688" s="10">
        <v>1</v>
      </c>
      <c r="X2688" s="10">
        <v>2</v>
      </c>
      <c r="Y2688" s="11">
        <v>0.4</v>
      </c>
      <c r="Z2688" s="11">
        <v>0.2</v>
      </c>
      <c r="AA2688" s="11">
        <v>0.4</v>
      </c>
    </row>
    <row r="2689" spans="21:27" x14ac:dyDescent="0.25">
      <c r="U2689" s="37">
        <v>43450</v>
      </c>
      <c r="V2689" s="10">
        <v>2</v>
      </c>
      <c r="W2689" s="10">
        <v>1</v>
      </c>
      <c r="X2689" s="10">
        <v>3</v>
      </c>
      <c r="Y2689" s="11">
        <v>0.33333333333333331</v>
      </c>
      <c r="Z2689" s="11">
        <v>0.16666666666666666</v>
      </c>
      <c r="AA2689" s="11">
        <v>0.5</v>
      </c>
    </row>
    <row r="2690" spans="21:27" x14ac:dyDescent="0.25">
      <c r="U2690" s="37">
        <v>43457</v>
      </c>
      <c r="V2690" s="10">
        <v>2</v>
      </c>
      <c r="W2690" s="10">
        <v>2</v>
      </c>
      <c r="X2690" s="10">
        <v>2</v>
      </c>
      <c r="Y2690" s="11">
        <v>0.33333333333333331</v>
      </c>
      <c r="Z2690" s="11">
        <v>0.33333333333333331</v>
      </c>
      <c r="AA2690" s="11">
        <v>0.33333333333333331</v>
      </c>
    </row>
    <row r="2691" spans="21:27" x14ac:dyDescent="0.25">
      <c r="U2691" s="37">
        <v>43458</v>
      </c>
      <c r="V2691" s="10">
        <v>8</v>
      </c>
      <c r="W2691" s="10">
        <v>1</v>
      </c>
      <c r="X2691" s="10">
        <v>6</v>
      </c>
      <c r="Y2691" s="11">
        <v>0.53333333333333333</v>
      </c>
      <c r="Z2691" s="11">
        <v>6.6666666666666666E-2</v>
      </c>
      <c r="AA2691" s="11">
        <v>0.4</v>
      </c>
    </row>
    <row r="2692" spans="21:27" x14ac:dyDescent="0.25">
      <c r="U2692" s="37">
        <v>43459</v>
      </c>
      <c r="V2692" s="10">
        <v>4</v>
      </c>
      <c r="W2692" s="10">
        <v>5</v>
      </c>
      <c r="X2692" s="10">
        <v>5</v>
      </c>
      <c r="Y2692" s="11">
        <v>0.2857142857142857</v>
      </c>
      <c r="Z2692" s="11">
        <v>0.35714285714285715</v>
      </c>
      <c r="AA2692" s="11">
        <v>0.35714285714285715</v>
      </c>
    </row>
    <row r="2693" spans="21:27" x14ac:dyDescent="0.25">
      <c r="U2693" s="37">
        <v>43464</v>
      </c>
      <c r="V2693" s="10">
        <v>2</v>
      </c>
      <c r="W2693" s="10">
        <v>0</v>
      </c>
      <c r="X2693" s="10">
        <v>3</v>
      </c>
      <c r="Y2693" s="11">
        <v>0.4</v>
      </c>
      <c r="Z2693" s="11">
        <v>0</v>
      </c>
      <c r="AA2693" s="11">
        <v>0.6</v>
      </c>
    </row>
    <row r="2694" spans="21:27" x14ac:dyDescent="0.25">
      <c r="U2694" s="37">
        <v>43471</v>
      </c>
      <c r="V2694" s="10">
        <v>2</v>
      </c>
      <c r="W2694" s="10">
        <v>3</v>
      </c>
      <c r="X2694" s="10">
        <v>6</v>
      </c>
      <c r="Y2694" s="11">
        <v>0.18181818181818182</v>
      </c>
      <c r="Z2694" s="11">
        <v>0.27272727272727271</v>
      </c>
      <c r="AA2694" s="11">
        <v>0.54545454545454541</v>
      </c>
    </row>
    <row r="2695" spans="21:27" x14ac:dyDescent="0.25">
      <c r="U2695" s="37">
        <v>43478</v>
      </c>
      <c r="V2695" s="10">
        <v>9</v>
      </c>
      <c r="W2695" s="10">
        <v>4</v>
      </c>
      <c r="X2695" s="10">
        <v>13</v>
      </c>
      <c r="Y2695" s="11">
        <v>0.34615384615384615</v>
      </c>
      <c r="Z2695" s="11">
        <v>0.15384615384615385</v>
      </c>
      <c r="AA2695" s="11">
        <v>0.5</v>
      </c>
    </row>
    <row r="2696" spans="21:27" x14ac:dyDescent="0.25">
      <c r="U2696" s="37">
        <v>43485</v>
      </c>
      <c r="V2696" s="10">
        <v>1</v>
      </c>
      <c r="W2696" s="10">
        <v>2</v>
      </c>
      <c r="X2696" s="10">
        <v>9</v>
      </c>
      <c r="Y2696" s="11">
        <v>8.3333333333333329E-2</v>
      </c>
      <c r="Z2696" s="11">
        <v>0.16666666666666666</v>
      </c>
      <c r="AA2696" s="11">
        <v>0.75</v>
      </c>
    </row>
    <row r="2697" spans="21:27" x14ac:dyDescent="0.25">
      <c r="U2697" s="37">
        <v>43492</v>
      </c>
      <c r="V2697" s="10">
        <v>2</v>
      </c>
      <c r="W2697" s="10">
        <v>2</v>
      </c>
      <c r="X2697" s="10">
        <v>8</v>
      </c>
      <c r="Y2697" s="11">
        <v>0.16666666666666666</v>
      </c>
      <c r="Z2697" s="11">
        <v>0.16666666666666666</v>
      </c>
      <c r="AA2697" s="11">
        <v>0.66666666666666663</v>
      </c>
    </row>
    <row r="2698" spans="21:27" x14ac:dyDescent="0.25">
      <c r="U2698" s="37">
        <v>43499</v>
      </c>
      <c r="V2698" s="10">
        <v>1</v>
      </c>
      <c r="W2698" s="10">
        <v>2</v>
      </c>
      <c r="X2698" s="10">
        <v>3</v>
      </c>
      <c r="Y2698" s="11">
        <v>0.16666666666666666</v>
      </c>
      <c r="Z2698" s="11">
        <v>0.33333333333333331</v>
      </c>
      <c r="AA2698" s="11">
        <v>0.5</v>
      </c>
    </row>
    <row r="2699" spans="21:27" x14ac:dyDescent="0.25">
      <c r="U2699" s="37">
        <v>43506</v>
      </c>
      <c r="V2699" s="10">
        <v>3</v>
      </c>
      <c r="W2699" s="10">
        <v>6</v>
      </c>
      <c r="X2699" s="10">
        <v>2</v>
      </c>
      <c r="Y2699" s="11">
        <v>0.27272727272727271</v>
      </c>
      <c r="Z2699" s="11">
        <v>0.54545454545454541</v>
      </c>
      <c r="AA2699" s="11">
        <v>0.18181818181818182</v>
      </c>
    </row>
    <row r="2700" spans="21:27" x14ac:dyDescent="0.25">
      <c r="U2700" s="37">
        <v>43513</v>
      </c>
      <c r="V2700" s="10">
        <v>10</v>
      </c>
      <c r="W2700" s="10">
        <v>2</v>
      </c>
      <c r="X2700" s="10">
        <v>7</v>
      </c>
      <c r="Y2700" s="11">
        <v>0.52631578947368418</v>
      </c>
      <c r="Z2700" s="11">
        <v>0.10526315789473684</v>
      </c>
      <c r="AA2700" s="11">
        <v>0.36842105263157893</v>
      </c>
    </row>
    <row r="2701" spans="21:27" x14ac:dyDescent="0.25">
      <c r="U2701" s="37">
        <v>43520</v>
      </c>
      <c r="V2701" s="10">
        <v>7</v>
      </c>
      <c r="W2701" s="10">
        <v>2</v>
      </c>
      <c r="X2701" s="10">
        <v>1</v>
      </c>
      <c r="Y2701" s="11">
        <v>0.7</v>
      </c>
      <c r="Z2701" s="11">
        <v>0.2</v>
      </c>
      <c r="AA2701" s="11">
        <v>0.1</v>
      </c>
    </row>
    <row r="2702" spans="21:27" x14ac:dyDescent="0.25">
      <c r="U2702" s="37">
        <v>43527</v>
      </c>
      <c r="V2702" s="10">
        <v>2</v>
      </c>
      <c r="W2702" s="10">
        <v>2</v>
      </c>
      <c r="X2702" s="10">
        <v>9</v>
      </c>
      <c r="Y2702" s="11">
        <v>0.15384615384615385</v>
      </c>
      <c r="Z2702" s="11">
        <v>0.15384615384615385</v>
      </c>
      <c r="AA2702" s="11">
        <v>0.69230769230769229</v>
      </c>
    </row>
    <row r="2703" spans="21:27" x14ac:dyDescent="0.25">
      <c r="U2703" s="37">
        <v>43534</v>
      </c>
      <c r="V2703" s="10">
        <v>2</v>
      </c>
      <c r="W2703" s="10">
        <v>1</v>
      </c>
      <c r="X2703" s="10">
        <v>3</v>
      </c>
      <c r="Y2703" s="11">
        <v>0.33333333333333331</v>
      </c>
      <c r="Z2703" s="11">
        <v>0.16666666666666666</v>
      </c>
      <c r="AA2703" s="11">
        <v>0.5</v>
      </c>
    </row>
    <row r="2704" spans="21:27" x14ac:dyDescent="0.25">
      <c r="U2704" s="37">
        <v>43541</v>
      </c>
      <c r="V2704" s="10">
        <v>4</v>
      </c>
      <c r="W2704" s="10">
        <v>4</v>
      </c>
      <c r="X2704" s="10">
        <v>4</v>
      </c>
      <c r="Y2704" s="11">
        <v>0.33333333333333331</v>
      </c>
      <c r="Z2704" s="11">
        <v>0.33333333333333331</v>
      </c>
      <c r="AA2704" s="11">
        <v>0.33333333333333331</v>
      </c>
    </row>
    <row r="2705" spans="21:27" x14ac:dyDescent="0.25">
      <c r="U2705" s="37">
        <v>43548</v>
      </c>
      <c r="V2705" s="10">
        <v>7</v>
      </c>
      <c r="W2705" s="10">
        <v>3</v>
      </c>
      <c r="X2705" s="10">
        <v>4</v>
      </c>
      <c r="Y2705" s="11">
        <v>0.5</v>
      </c>
      <c r="Z2705" s="11">
        <v>0.21428571428571427</v>
      </c>
      <c r="AA2705" s="11">
        <v>0.2857142857142857</v>
      </c>
    </row>
    <row r="2706" spans="21:27" x14ac:dyDescent="0.25">
      <c r="U2706" s="37">
        <v>43555</v>
      </c>
      <c r="V2706" s="10">
        <v>9</v>
      </c>
      <c r="W2706" s="10">
        <v>3</v>
      </c>
      <c r="X2706" s="10">
        <v>1</v>
      </c>
      <c r="Y2706" s="11">
        <v>0.69230769230769229</v>
      </c>
      <c r="Z2706" s="11">
        <v>0.23076923076923078</v>
      </c>
      <c r="AA2706" s="11">
        <v>7.6923076923076927E-2</v>
      </c>
    </row>
    <row r="2707" spans="21:27" x14ac:dyDescent="0.25">
      <c r="U2707" s="37">
        <v>43562</v>
      </c>
      <c r="V2707" s="10">
        <v>10</v>
      </c>
      <c r="W2707" s="10">
        <v>0</v>
      </c>
      <c r="X2707" s="10">
        <v>2</v>
      </c>
      <c r="Y2707" s="11">
        <v>0.83333333333333337</v>
      </c>
      <c r="Z2707" s="11">
        <v>0</v>
      </c>
      <c r="AA2707" s="11">
        <v>0.16666666666666666</v>
      </c>
    </row>
    <row r="2708" spans="21:27" x14ac:dyDescent="0.25">
      <c r="U2708" s="37">
        <v>43569</v>
      </c>
      <c r="V2708" s="10">
        <v>6</v>
      </c>
      <c r="W2708" s="10">
        <v>1</v>
      </c>
      <c r="X2708" s="10">
        <v>5</v>
      </c>
      <c r="Y2708" s="11">
        <v>0.5</v>
      </c>
      <c r="Z2708" s="11">
        <v>8.3333333333333329E-2</v>
      </c>
      <c r="AA2708" s="11">
        <v>0.41666666666666669</v>
      </c>
    </row>
    <row r="2709" spans="21:27" x14ac:dyDescent="0.25">
      <c r="U2709" s="37">
        <v>43576</v>
      </c>
      <c r="V2709" s="10">
        <v>0</v>
      </c>
      <c r="W2709" s="10">
        <v>2</v>
      </c>
      <c r="X2709" s="10">
        <v>15</v>
      </c>
      <c r="Y2709" s="11">
        <v>0</v>
      </c>
      <c r="Z2709" s="11">
        <v>0.11764705882352941</v>
      </c>
      <c r="AA2709" s="11">
        <v>0.88235294117647056</v>
      </c>
    </row>
    <row r="2710" spans="21:27" x14ac:dyDescent="0.25">
      <c r="U2710" s="37">
        <v>43583</v>
      </c>
      <c r="V2710" s="10">
        <v>9</v>
      </c>
      <c r="W2710" s="10">
        <v>4</v>
      </c>
      <c r="X2710" s="10">
        <v>3</v>
      </c>
      <c r="Y2710" s="11">
        <v>0.5625</v>
      </c>
      <c r="Z2710" s="11">
        <v>0.25</v>
      </c>
      <c r="AA2710" s="11">
        <v>0.1875</v>
      </c>
    </row>
    <row r="2711" spans="21:27" x14ac:dyDescent="0.25">
      <c r="U2711" s="37">
        <v>43590</v>
      </c>
      <c r="V2711" s="10">
        <v>2</v>
      </c>
      <c r="W2711" s="10">
        <v>7</v>
      </c>
      <c r="X2711" s="10">
        <v>3</v>
      </c>
      <c r="Y2711" s="11">
        <v>0.16666666666666666</v>
      </c>
      <c r="Z2711" s="11">
        <v>0.58333333333333337</v>
      </c>
      <c r="AA2711" s="11">
        <v>0.25</v>
      </c>
    </row>
    <row r="2712" spans="21:27" x14ac:dyDescent="0.25">
      <c r="U2712" s="37">
        <v>43597</v>
      </c>
      <c r="V2712" s="10">
        <v>3</v>
      </c>
      <c r="W2712" s="10">
        <v>3</v>
      </c>
      <c r="X2712" s="10">
        <v>4</v>
      </c>
      <c r="Y2712" s="11">
        <v>0.3</v>
      </c>
      <c r="Z2712" s="11">
        <v>0.3</v>
      </c>
      <c r="AA2712" s="11">
        <v>0.4</v>
      </c>
    </row>
    <row r="2713" spans="21:27" x14ac:dyDescent="0.25">
      <c r="U2713" s="37">
        <v>43604</v>
      </c>
      <c r="V2713" s="10">
        <v>1</v>
      </c>
      <c r="W2713" s="10">
        <v>1</v>
      </c>
      <c r="X2713" s="10">
        <v>3</v>
      </c>
      <c r="Y2713" s="11">
        <v>0.2</v>
      </c>
      <c r="Z2713" s="11">
        <v>0.2</v>
      </c>
      <c r="AA2713" s="11">
        <v>0.6</v>
      </c>
    </row>
    <row r="2714" spans="21:27" x14ac:dyDescent="0.25">
      <c r="U2714" s="37">
        <v>43611</v>
      </c>
      <c r="V2714" s="10">
        <v>6</v>
      </c>
      <c r="W2714" s="10">
        <v>4</v>
      </c>
      <c r="X2714" s="10">
        <v>1</v>
      </c>
      <c r="Y2714" s="11">
        <v>0.54545454545454541</v>
      </c>
      <c r="Z2714" s="11">
        <v>0.36363636363636365</v>
      </c>
      <c r="AA2714" s="11">
        <v>9.0909090909090912E-2</v>
      </c>
    </row>
    <row r="2715" spans="21:27" x14ac:dyDescent="0.25">
      <c r="U2715" s="37">
        <v>43615</v>
      </c>
      <c r="V2715" s="10">
        <v>15</v>
      </c>
      <c r="W2715" s="10">
        <v>4</v>
      </c>
      <c r="X2715" s="10">
        <v>22</v>
      </c>
      <c r="Y2715" s="11">
        <v>0.36585365853658536</v>
      </c>
      <c r="Z2715" s="11">
        <v>9.7560975609756101E-2</v>
      </c>
      <c r="AA2715" s="11">
        <v>0.53658536585365857</v>
      </c>
    </row>
    <row r="2716" spans="21:27" x14ac:dyDescent="0.25">
      <c r="U2716" s="37">
        <v>43618</v>
      </c>
      <c r="V2716" s="10">
        <v>3</v>
      </c>
      <c r="W2716" s="10">
        <v>1</v>
      </c>
      <c r="X2716" s="10">
        <v>3</v>
      </c>
      <c r="Y2716" s="11">
        <v>0.42857142857142855</v>
      </c>
      <c r="Z2716" s="11">
        <v>0.14285714285714285</v>
      </c>
      <c r="AA2716" s="11">
        <v>0.42857142857142855</v>
      </c>
    </row>
    <row r="2717" spans="21:27" x14ac:dyDescent="0.25">
      <c r="U2717" s="37">
        <v>43625</v>
      </c>
      <c r="V2717" s="10">
        <v>13</v>
      </c>
      <c r="W2717" s="10">
        <v>4</v>
      </c>
      <c r="X2717" s="10">
        <v>21</v>
      </c>
      <c r="Y2717" s="11">
        <v>0.34210526315789475</v>
      </c>
      <c r="Z2717" s="11">
        <v>0.10526315789473684</v>
      </c>
      <c r="AA2717" s="11">
        <v>0.55263157894736847</v>
      </c>
    </row>
    <row r="2718" spans="21:27" x14ac:dyDescent="0.25">
      <c r="U2718" s="37">
        <v>43632</v>
      </c>
      <c r="V2718" s="10">
        <v>7</v>
      </c>
      <c r="W2718" s="10">
        <v>4</v>
      </c>
      <c r="X2718" s="10">
        <v>8</v>
      </c>
      <c r="Y2718" s="11">
        <v>0.36842105263157893</v>
      </c>
      <c r="Z2718" s="11">
        <v>0.21052631578947367</v>
      </c>
      <c r="AA2718" s="11">
        <v>0.42105263157894735</v>
      </c>
    </row>
    <row r="2719" spans="21:27" x14ac:dyDescent="0.25">
      <c r="U2719" s="37">
        <v>43639</v>
      </c>
      <c r="V2719" s="10">
        <v>3</v>
      </c>
      <c r="W2719" s="10">
        <v>2</v>
      </c>
      <c r="X2719" s="10">
        <v>5</v>
      </c>
      <c r="Y2719" s="11">
        <v>0.3</v>
      </c>
      <c r="Z2719" s="11">
        <v>0.2</v>
      </c>
      <c r="AA2719" s="11">
        <v>0.5</v>
      </c>
    </row>
    <row r="2720" spans="21:27" x14ac:dyDescent="0.25">
      <c r="U2720" s="37">
        <v>43646</v>
      </c>
      <c r="V2720" s="10">
        <v>3</v>
      </c>
      <c r="W2720" s="10">
        <v>2</v>
      </c>
      <c r="X2720" s="10">
        <v>3</v>
      </c>
      <c r="Y2720" s="11">
        <v>0.375</v>
      </c>
      <c r="Z2720" s="11">
        <v>0.25</v>
      </c>
      <c r="AA2720" s="11">
        <v>0.375</v>
      </c>
    </row>
    <row r="2721" spans="21:27" x14ac:dyDescent="0.25">
      <c r="U2721" s="37">
        <v>43653</v>
      </c>
      <c r="V2721" s="10">
        <v>8</v>
      </c>
      <c r="W2721" s="10">
        <v>4</v>
      </c>
      <c r="X2721" s="10">
        <v>7</v>
      </c>
      <c r="Y2721" s="11">
        <v>0.42105263157894735</v>
      </c>
      <c r="Z2721" s="11">
        <v>0.21052631578947367</v>
      </c>
      <c r="AA2721" s="11">
        <v>0.36842105263157893</v>
      </c>
    </row>
    <row r="2722" spans="21:27" x14ac:dyDescent="0.25">
      <c r="U2722" s="37">
        <v>43660</v>
      </c>
      <c r="V2722" s="10">
        <v>8</v>
      </c>
      <c r="W2722" s="10">
        <v>5</v>
      </c>
      <c r="X2722" s="10">
        <v>10</v>
      </c>
      <c r="Y2722" s="11">
        <v>0.34782608695652173</v>
      </c>
      <c r="Z2722" s="11">
        <v>0.21739130434782608</v>
      </c>
      <c r="AA2722" s="11">
        <v>0.43478260869565216</v>
      </c>
    </row>
    <row r="2723" spans="21:27" x14ac:dyDescent="0.25">
      <c r="U2723" s="37">
        <v>43667</v>
      </c>
      <c r="V2723" s="10">
        <v>5</v>
      </c>
      <c r="W2723" s="10">
        <v>2</v>
      </c>
      <c r="X2723" s="10">
        <v>4</v>
      </c>
      <c r="Y2723" s="11">
        <v>0.45454545454545453</v>
      </c>
      <c r="Z2723" s="11">
        <v>0.18181818181818182</v>
      </c>
      <c r="AA2723" s="11">
        <v>0.36363636363636365</v>
      </c>
    </row>
    <row r="2724" spans="21:27" x14ac:dyDescent="0.25">
      <c r="U2724" s="37">
        <v>43674</v>
      </c>
      <c r="V2724" s="10">
        <v>6</v>
      </c>
      <c r="W2724" s="10">
        <v>4</v>
      </c>
      <c r="X2724" s="10">
        <v>3</v>
      </c>
      <c r="Y2724" s="11">
        <v>0.46153846153846156</v>
      </c>
      <c r="Z2724" s="11">
        <v>0.30769230769230771</v>
      </c>
      <c r="AA2724" s="11">
        <v>0.23076923076923078</v>
      </c>
    </row>
    <row r="2725" spans="21:27" x14ac:dyDescent="0.25">
      <c r="U2725" s="37">
        <v>43681</v>
      </c>
      <c r="V2725" s="10">
        <v>4</v>
      </c>
      <c r="W2725" s="10">
        <v>1</v>
      </c>
      <c r="X2725" s="10">
        <v>4</v>
      </c>
      <c r="Y2725" s="11">
        <v>0.44444444444444442</v>
      </c>
      <c r="Z2725" s="11">
        <v>0.1111111111111111</v>
      </c>
      <c r="AA2725" s="11">
        <v>0.44444444444444442</v>
      </c>
    </row>
    <row r="2726" spans="21:27" x14ac:dyDescent="0.25">
      <c r="U2726" s="37">
        <v>43688</v>
      </c>
      <c r="V2726" s="10">
        <v>3</v>
      </c>
      <c r="W2726" s="10">
        <v>1</v>
      </c>
      <c r="X2726" s="10">
        <v>3</v>
      </c>
      <c r="Y2726" s="11">
        <v>0.42857142857142855</v>
      </c>
      <c r="Z2726" s="11">
        <v>0.14285714285714285</v>
      </c>
      <c r="AA2726" s="11">
        <v>0.42857142857142855</v>
      </c>
    </row>
    <row r="2727" spans="21:27" x14ac:dyDescent="0.25">
      <c r="U2727" s="37">
        <v>43692</v>
      </c>
      <c r="V2727" s="10">
        <v>5</v>
      </c>
      <c r="W2727" s="10">
        <v>3</v>
      </c>
      <c r="X2727" s="10">
        <v>11</v>
      </c>
      <c r="Y2727" s="11">
        <v>0.26315789473684209</v>
      </c>
      <c r="Z2727" s="11">
        <v>0.15789473684210525</v>
      </c>
      <c r="AA2727" s="11">
        <v>0.57894736842105265</v>
      </c>
    </row>
    <row r="2728" spans="21:27" x14ac:dyDescent="0.25">
      <c r="U2728" s="37">
        <v>43695</v>
      </c>
      <c r="V2728" s="10">
        <v>12</v>
      </c>
      <c r="W2728" s="10">
        <v>0</v>
      </c>
      <c r="X2728" s="10">
        <v>10</v>
      </c>
      <c r="Y2728" s="11">
        <v>0.54545454545454541</v>
      </c>
      <c r="Z2728" s="11">
        <v>0</v>
      </c>
      <c r="AA2728" s="11">
        <v>0.45454545454545453</v>
      </c>
    </row>
    <row r="2729" spans="21:27" x14ac:dyDescent="0.25">
      <c r="U2729" s="37">
        <v>43702</v>
      </c>
      <c r="V2729" s="10">
        <v>6</v>
      </c>
      <c r="W2729" s="10">
        <v>5</v>
      </c>
      <c r="X2729" s="10">
        <v>3</v>
      </c>
      <c r="Y2729" s="11">
        <v>0.42857142857142855</v>
      </c>
      <c r="Z2729" s="11">
        <v>0.35714285714285715</v>
      </c>
      <c r="AA2729" s="11">
        <v>0.21428571428571427</v>
      </c>
    </row>
    <row r="2730" spans="21:27" x14ac:dyDescent="0.25">
      <c r="U2730" s="37">
        <v>43709</v>
      </c>
      <c r="V2730" s="10">
        <v>7</v>
      </c>
      <c r="W2730" s="10">
        <v>2</v>
      </c>
      <c r="X2730" s="10">
        <v>7</v>
      </c>
      <c r="Y2730" s="11">
        <v>0.4375</v>
      </c>
      <c r="Z2730" s="11">
        <v>0.125</v>
      </c>
      <c r="AA2730" s="11">
        <v>0.4375</v>
      </c>
    </row>
    <row r="2731" spans="21:27" x14ac:dyDescent="0.25">
      <c r="U2731" s="37">
        <v>43716</v>
      </c>
      <c r="V2731" s="10">
        <v>2</v>
      </c>
      <c r="W2731" s="10">
        <v>1</v>
      </c>
      <c r="X2731" s="10">
        <v>1</v>
      </c>
      <c r="Y2731" s="11">
        <v>0.5</v>
      </c>
      <c r="Z2731" s="11">
        <v>0.25</v>
      </c>
      <c r="AA2731" s="11">
        <v>0.25</v>
      </c>
    </row>
    <row r="2732" spans="21:27" x14ac:dyDescent="0.25">
      <c r="U2732" s="37">
        <v>43723</v>
      </c>
      <c r="V2732" s="10">
        <v>2</v>
      </c>
      <c r="W2732" s="10">
        <v>3</v>
      </c>
      <c r="X2732" s="10">
        <v>3</v>
      </c>
      <c r="Y2732" s="11">
        <v>0.25</v>
      </c>
      <c r="Z2732" s="11">
        <v>0.375</v>
      </c>
      <c r="AA2732" s="11">
        <v>0.375</v>
      </c>
    </row>
    <row r="2733" spans="21:27" x14ac:dyDescent="0.25">
      <c r="U2733" s="37">
        <v>43730</v>
      </c>
      <c r="V2733" s="10">
        <v>7</v>
      </c>
      <c r="W2733" s="10">
        <v>5</v>
      </c>
      <c r="X2733" s="10">
        <v>4</v>
      </c>
      <c r="Y2733" s="11">
        <v>0.4375</v>
      </c>
      <c r="Z2733" s="11">
        <v>0.3125</v>
      </c>
      <c r="AA2733" s="11">
        <v>0.25</v>
      </c>
    </row>
    <row r="2734" spans="21:27" x14ac:dyDescent="0.25">
      <c r="U2734" s="37">
        <v>43737</v>
      </c>
      <c r="V2734" s="10">
        <v>1</v>
      </c>
      <c r="W2734" s="10">
        <v>0</v>
      </c>
      <c r="X2734" s="10">
        <v>1</v>
      </c>
      <c r="Y2734" s="11">
        <v>0.5</v>
      </c>
      <c r="Z2734" s="11">
        <v>0</v>
      </c>
      <c r="AA2734" s="11">
        <v>0.5</v>
      </c>
    </row>
    <row r="2735" spans="21:27" x14ac:dyDescent="0.25">
      <c r="U2735" s="37">
        <v>43744</v>
      </c>
      <c r="V2735" s="10">
        <v>1</v>
      </c>
      <c r="W2735" s="10">
        <v>2</v>
      </c>
      <c r="X2735" s="10">
        <v>4</v>
      </c>
      <c r="Y2735" s="11">
        <v>0.14285714285714285</v>
      </c>
      <c r="Z2735" s="11">
        <v>0.2857142857142857</v>
      </c>
      <c r="AA2735" s="11">
        <v>0.5714285714285714</v>
      </c>
    </row>
    <row r="2736" spans="21:27" x14ac:dyDescent="0.25">
      <c r="U2736" s="37">
        <v>43751</v>
      </c>
      <c r="V2736" s="10">
        <v>6</v>
      </c>
      <c r="W2736" s="10">
        <v>13</v>
      </c>
      <c r="X2736" s="10">
        <v>7</v>
      </c>
      <c r="Y2736" s="11">
        <v>0.23076923076923078</v>
      </c>
      <c r="Z2736" s="11">
        <v>0.5</v>
      </c>
      <c r="AA2736" s="11">
        <v>0.26923076923076922</v>
      </c>
    </row>
    <row r="2737" spans="21:27" x14ac:dyDescent="0.25">
      <c r="U2737" s="37">
        <v>43758</v>
      </c>
      <c r="V2737" s="10">
        <v>9</v>
      </c>
      <c r="W2737" s="10">
        <v>7</v>
      </c>
      <c r="X2737" s="10">
        <v>2</v>
      </c>
      <c r="Y2737" s="11">
        <v>0.5</v>
      </c>
      <c r="Z2737" s="11">
        <v>0.3888888888888889</v>
      </c>
      <c r="AA2737" s="11">
        <v>0.1111111111111111</v>
      </c>
    </row>
    <row r="2738" spans="21:27" x14ac:dyDescent="0.25">
      <c r="U2738" s="37">
        <v>43765</v>
      </c>
      <c r="V2738" s="10">
        <v>6</v>
      </c>
      <c r="W2738" s="10">
        <v>1</v>
      </c>
      <c r="X2738" s="10">
        <v>2</v>
      </c>
      <c r="Y2738" s="11">
        <v>0.66666666666666663</v>
      </c>
      <c r="Z2738" s="11">
        <v>0.1111111111111111</v>
      </c>
      <c r="AA2738" s="11">
        <v>0.22222222222222221</v>
      </c>
    </row>
    <row r="2739" spans="21:27" x14ac:dyDescent="0.25">
      <c r="U2739" s="37">
        <v>43770</v>
      </c>
      <c r="V2739" s="10">
        <v>1</v>
      </c>
      <c r="W2739" s="10">
        <v>1</v>
      </c>
      <c r="X2739" s="10">
        <v>9</v>
      </c>
      <c r="Y2739" s="11">
        <v>9.0909090909090912E-2</v>
      </c>
      <c r="Z2739" s="11">
        <v>9.0909090909090912E-2</v>
      </c>
      <c r="AA2739" s="11">
        <v>0.81818181818181823</v>
      </c>
    </row>
    <row r="2740" spans="21:27" x14ac:dyDescent="0.25">
      <c r="U2740" s="37">
        <v>43772</v>
      </c>
      <c r="V2740" s="10">
        <v>5</v>
      </c>
      <c r="W2740" s="10">
        <v>8</v>
      </c>
      <c r="X2740" s="10">
        <v>9</v>
      </c>
      <c r="Y2740" s="11">
        <v>0.22727272727272727</v>
      </c>
      <c r="Z2740" s="11">
        <v>0.36363636363636365</v>
      </c>
      <c r="AA2740" s="11">
        <v>0.40909090909090912</v>
      </c>
    </row>
    <row r="2741" spans="21:27" x14ac:dyDescent="0.25">
      <c r="U2741" s="37">
        <v>43779</v>
      </c>
      <c r="V2741" s="10">
        <v>5</v>
      </c>
      <c r="W2741" s="10">
        <v>3</v>
      </c>
      <c r="X2741" s="10">
        <v>15</v>
      </c>
      <c r="Y2741" s="11">
        <v>0.21739130434782608</v>
      </c>
      <c r="Z2741" s="11">
        <v>0.13043478260869565</v>
      </c>
      <c r="AA2741" s="11">
        <v>0.65217391304347827</v>
      </c>
    </row>
    <row r="2742" spans="21:27" x14ac:dyDescent="0.25">
      <c r="U2742" s="37">
        <v>43786</v>
      </c>
      <c r="V2742" s="10">
        <v>5</v>
      </c>
      <c r="W2742" s="10">
        <v>1</v>
      </c>
      <c r="X2742" s="10">
        <v>3</v>
      </c>
      <c r="Y2742" s="11">
        <v>0.55555555555555558</v>
      </c>
      <c r="Z2742" s="11">
        <v>0.1111111111111111</v>
      </c>
      <c r="AA2742" s="11">
        <v>0.33333333333333331</v>
      </c>
    </row>
    <row r="2743" spans="21:27" x14ac:dyDescent="0.25">
      <c r="U2743" s="37">
        <v>43793</v>
      </c>
      <c r="V2743" s="10">
        <v>4</v>
      </c>
      <c r="W2743" s="10">
        <v>3</v>
      </c>
      <c r="X2743" s="10">
        <v>5</v>
      </c>
      <c r="Y2743" s="11">
        <v>0.33333333333333331</v>
      </c>
      <c r="Z2743" s="11">
        <v>0.25</v>
      </c>
      <c r="AA2743" s="11">
        <v>0.41666666666666669</v>
      </c>
    </row>
    <row r="2744" spans="21:27" x14ac:dyDescent="0.25">
      <c r="U2744" s="37">
        <v>43800</v>
      </c>
      <c r="V2744" s="10">
        <v>2</v>
      </c>
      <c r="W2744" s="10">
        <v>2</v>
      </c>
      <c r="X2744" s="10">
        <v>12</v>
      </c>
      <c r="Y2744" s="11">
        <v>0.125</v>
      </c>
      <c r="Z2744" s="11">
        <v>0.125</v>
      </c>
      <c r="AA2744" s="11">
        <v>0.75</v>
      </c>
    </row>
    <row r="2745" spans="21:27" x14ac:dyDescent="0.25">
      <c r="U2745" s="37">
        <v>43807</v>
      </c>
      <c r="V2745" s="10">
        <v>3</v>
      </c>
      <c r="W2745" s="10">
        <v>3</v>
      </c>
      <c r="X2745" s="10">
        <v>3</v>
      </c>
      <c r="Y2745" s="11">
        <v>0.33333333333333331</v>
      </c>
      <c r="Z2745" s="11">
        <v>0.33333333333333331</v>
      </c>
      <c r="AA2745" s="11">
        <v>0.33333333333333331</v>
      </c>
    </row>
    <row r="2746" spans="21:27" x14ac:dyDescent="0.25">
      <c r="U2746" s="37">
        <v>43814</v>
      </c>
      <c r="V2746" s="10">
        <v>4</v>
      </c>
      <c r="W2746" s="10">
        <v>4</v>
      </c>
      <c r="X2746" s="10">
        <v>3</v>
      </c>
      <c r="Y2746" s="11">
        <v>0.36363636363636365</v>
      </c>
      <c r="Z2746" s="11">
        <v>0.36363636363636365</v>
      </c>
      <c r="AA2746" s="11">
        <v>0.27272727272727271</v>
      </c>
    </row>
    <row r="2747" spans="21:27" x14ac:dyDescent="0.25">
      <c r="U2747" s="37">
        <v>43821</v>
      </c>
      <c r="V2747" s="10">
        <v>3</v>
      </c>
      <c r="W2747" s="10">
        <v>5</v>
      </c>
      <c r="X2747" s="10">
        <v>2</v>
      </c>
      <c r="Y2747" s="11">
        <v>0.3</v>
      </c>
      <c r="Z2747" s="11">
        <v>0.5</v>
      </c>
      <c r="AA2747" s="11">
        <v>0.2</v>
      </c>
    </row>
    <row r="2748" spans="21:27" x14ac:dyDescent="0.25">
      <c r="U2748" s="37">
        <v>43824</v>
      </c>
      <c r="V2748" s="10">
        <v>1</v>
      </c>
      <c r="W2748" s="10">
        <v>3</v>
      </c>
      <c r="X2748" s="10">
        <v>11</v>
      </c>
      <c r="Y2748" s="11">
        <v>6.6666666666666666E-2</v>
      </c>
      <c r="Z2748" s="11">
        <v>0.2</v>
      </c>
      <c r="AA2748" s="11">
        <v>0.73333333333333328</v>
      </c>
    </row>
    <row r="2749" spans="21:27" x14ac:dyDescent="0.25">
      <c r="U2749" s="37">
        <v>43828</v>
      </c>
      <c r="V2749" s="10">
        <v>4</v>
      </c>
      <c r="W2749" s="10">
        <v>2</v>
      </c>
      <c r="X2749" s="10">
        <v>8</v>
      </c>
      <c r="Y2749" s="11">
        <v>0.2857142857142857</v>
      </c>
      <c r="Z2749" s="11">
        <v>0.14285714285714285</v>
      </c>
      <c r="AA2749" s="11">
        <v>0.5714285714285714</v>
      </c>
    </row>
    <row r="2750" spans="21:27" x14ac:dyDescent="0.25">
      <c r="U2750" s="37">
        <v>43836</v>
      </c>
      <c r="V2750" s="10">
        <v>1</v>
      </c>
      <c r="W2750" s="10">
        <v>4</v>
      </c>
      <c r="X2750" s="10">
        <v>1</v>
      </c>
      <c r="Y2750" s="11">
        <v>0.16666666666666666</v>
      </c>
      <c r="Z2750" s="11">
        <v>0.66666666666666663</v>
      </c>
      <c r="AA2750" s="11">
        <v>0.16666666666666666</v>
      </c>
    </row>
    <row r="2751" spans="21:27" x14ac:dyDescent="0.25">
      <c r="U2751" s="37">
        <v>43842</v>
      </c>
      <c r="V2751" s="10">
        <v>2</v>
      </c>
      <c r="W2751" s="10">
        <v>3</v>
      </c>
      <c r="X2751" s="10">
        <v>4</v>
      </c>
      <c r="Y2751" s="11">
        <v>0.22222222222222221</v>
      </c>
      <c r="Z2751" s="11">
        <v>0.33333333333333331</v>
      </c>
      <c r="AA2751" s="11">
        <v>0.44444444444444442</v>
      </c>
    </row>
    <row r="2752" spans="21:27" x14ac:dyDescent="0.25">
      <c r="U2752" s="37">
        <v>43842</v>
      </c>
      <c r="V2752" s="10">
        <v>11</v>
      </c>
      <c r="W2752" s="10">
        <v>3</v>
      </c>
      <c r="X2752" s="10">
        <v>15</v>
      </c>
      <c r="Y2752" s="11">
        <v>0.37931034482758619</v>
      </c>
      <c r="Z2752" s="11">
        <v>0.10344827586206896</v>
      </c>
      <c r="AA2752" s="11">
        <v>0.51724137931034486</v>
      </c>
    </row>
    <row r="2753" spans="21:27" x14ac:dyDescent="0.25">
      <c r="U2753" s="37">
        <v>43856</v>
      </c>
      <c r="V2753" s="10">
        <v>10</v>
      </c>
      <c r="W2753" s="10">
        <v>4</v>
      </c>
      <c r="X2753" s="10">
        <v>2</v>
      </c>
      <c r="Y2753" s="11">
        <v>0.625</v>
      </c>
      <c r="Z2753" s="11">
        <v>0.25</v>
      </c>
      <c r="AA2753" s="11">
        <v>0.125</v>
      </c>
    </row>
    <row r="2754" spans="21:27" x14ac:dyDescent="0.25">
      <c r="U2754" s="37">
        <v>43863</v>
      </c>
      <c r="V2754" s="10">
        <v>7</v>
      </c>
      <c r="W2754" s="10">
        <v>9</v>
      </c>
      <c r="X2754" s="10">
        <v>7</v>
      </c>
      <c r="Y2754" s="11">
        <v>0.30434782608695654</v>
      </c>
      <c r="Z2754" s="11">
        <v>0.39130434782608697</v>
      </c>
      <c r="AA2754" s="11">
        <v>0.30434782608695654</v>
      </c>
    </row>
    <row r="2755" spans="21:27" x14ac:dyDescent="0.25">
      <c r="U2755" s="37">
        <v>43870</v>
      </c>
      <c r="V2755" s="10">
        <v>2</v>
      </c>
      <c r="W2755" s="10">
        <v>1</v>
      </c>
      <c r="X2755" s="10">
        <v>6</v>
      </c>
      <c r="Y2755" s="11">
        <v>0.22222222222222221</v>
      </c>
      <c r="Z2755" s="11">
        <v>0.1111111111111111</v>
      </c>
      <c r="AA2755" s="11">
        <v>0.66666666666666663</v>
      </c>
    </row>
    <row r="2756" spans="21:27" x14ac:dyDescent="0.25">
      <c r="U2756" s="37">
        <v>43877</v>
      </c>
      <c r="V2756" s="10">
        <v>6</v>
      </c>
      <c r="W2756" s="10">
        <v>6</v>
      </c>
      <c r="X2756" s="10">
        <v>4</v>
      </c>
      <c r="Y2756" s="11">
        <v>0.375</v>
      </c>
      <c r="Z2756" s="11">
        <v>0.375</v>
      </c>
      <c r="AA2756" s="11">
        <v>0.25</v>
      </c>
    </row>
    <row r="2757" spans="21:27" x14ac:dyDescent="0.25">
      <c r="U2757" s="37">
        <v>43884</v>
      </c>
      <c r="V2757" s="10">
        <v>5</v>
      </c>
      <c r="W2757" s="10">
        <v>0</v>
      </c>
      <c r="X2757" s="10">
        <v>1</v>
      </c>
      <c r="Y2757" s="11">
        <v>0.83333333333333337</v>
      </c>
      <c r="Z2757" s="11">
        <v>0</v>
      </c>
      <c r="AA2757" s="11">
        <v>0.16666666666666666</v>
      </c>
    </row>
    <row r="2758" spans="21:27" x14ac:dyDescent="0.25">
      <c r="U2758" s="37">
        <v>43891</v>
      </c>
      <c r="V2758" s="10">
        <v>11</v>
      </c>
      <c r="W2758" s="10">
        <v>2</v>
      </c>
      <c r="X2758" s="10">
        <v>6</v>
      </c>
      <c r="Y2758" s="11">
        <v>0.57894736842105265</v>
      </c>
      <c r="Z2758" s="11">
        <v>0.10526315789473684</v>
      </c>
      <c r="AA2758" s="11">
        <v>0.31578947368421051</v>
      </c>
    </row>
    <row r="2759" spans="21:27" x14ac:dyDescent="0.25">
      <c r="U2759" s="37">
        <v>43898</v>
      </c>
      <c r="V2759" s="10">
        <v>2</v>
      </c>
      <c r="W2759" s="10">
        <v>3</v>
      </c>
      <c r="X2759" s="10">
        <v>8</v>
      </c>
      <c r="Y2759" s="11">
        <v>0.15384615384615385</v>
      </c>
      <c r="Z2759" s="11">
        <v>0.23076923076923078</v>
      </c>
      <c r="AA2759" s="11">
        <v>0.61538461538461542</v>
      </c>
    </row>
    <row r="2760" spans="21:27" x14ac:dyDescent="0.25">
      <c r="U2760" s="37">
        <v>43905</v>
      </c>
      <c r="V2760" s="10">
        <v>7</v>
      </c>
      <c r="W2760" s="10">
        <v>5</v>
      </c>
      <c r="X2760" s="10">
        <v>20</v>
      </c>
      <c r="Y2760" s="11">
        <v>0.21875</v>
      </c>
      <c r="Z2760" s="11">
        <v>0.15625</v>
      </c>
      <c r="AA2760" s="11">
        <v>0.625</v>
      </c>
    </row>
    <row r="2761" spans="21:27" x14ac:dyDescent="0.25">
      <c r="U2761" s="37">
        <v>43912</v>
      </c>
      <c r="V2761" s="10">
        <v>3</v>
      </c>
      <c r="W2761" s="10">
        <v>4</v>
      </c>
      <c r="X2761" s="10">
        <v>2</v>
      </c>
      <c r="Y2761" s="11">
        <v>0.33333333333333331</v>
      </c>
      <c r="Z2761" s="11">
        <v>0.44444444444444442</v>
      </c>
      <c r="AA2761" s="11">
        <v>0.22222222222222221</v>
      </c>
    </row>
    <row r="2762" spans="21:27" x14ac:dyDescent="0.25">
      <c r="U2762" s="37">
        <v>43919</v>
      </c>
      <c r="V2762" s="10">
        <v>1</v>
      </c>
      <c r="W2762" s="10">
        <v>5</v>
      </c>
      <c r="X2762" s="10">
        <v>1</v>
      </c>
      <c r="Y2762" s="11">
        <v>0.14285714285714285</v>
      </c>
      <c r="Z2762" s="11">
        <v>0.7142857142857143</v>
      </c>
      <c r="AA2762" s="11">
        <v>0.14285714285714285</v>
      </c>
    </row>
    <row r="2763" spans="21:27" x14ac:dyDescent="0.25">
      <c r="U2763" s="37">
        <v>43926</v>
      </c>
      <c r="V2763" s="10">
        <v>5</v>
      </c>
      <c r="W2763" s="10">
        <v>4</v>
      </c>
      <c r="X2763" s="10">
        <v>8</v>
      </c>
      <c r="Y2763" s="11">
        <v>0.29411764705882354</v>
      </c>
      <c r="Z2763" s="11">
        <v>0.23529411764705882</v>
      </c>
      <c r="AA2763" s="11">
        <v>0.47058823529411764</v>
      </c>
    </row>
    <row r="2764" spans="21:27" x14ac:dyDescent="0.25">
      <c r="U2764" s="37">
        <v>43933</v>
      </c>
      <c r="V2764" s="10">
        <v>6</v>
      </c>
      <c r="W2764" s="10">
        <v>3</v>
      </c>
      <c r="X2764" s="10">
        <v>7</v>
      </c>
      <c r="Y2764" s="11">
        <v>0.375</v>
      </c>
      <c r="Z2764" s="11">
        <v>0.1875</v>
      </c>
      <c r="AA2764" s="11">
        <v>0.4375</v>
      </c>
    </row>
    <row r="2765" spans="21:27" x14ac:dyDescent="0.25">
      <c r="U2765" s="37">
        <v>43940</v>
      </c>
      <c r="V2765" s="10">
        <v>1</v>
      </c>
      <c r="W2765" s="10">
        <v>1</v>
      </c>
      <c r="X2765" s="10">
        <v>3</v>
      </c>
      <c r="Y2765" s="11">
        <v>0.2</v>
      </c>
      <c r="Z2765" s="11">
        <v>0.2</v>
      </c>
      <c r="AA2765" s="11">
        <v>0.6</v>
      </c>
    </row>
    <row r="2766" spans="21:27" x14ac:dyDescent="0.25">
      <c r="U2766" s="37">
        <v>43947</v>
      </c>
      <c r="V2766" s="10">
        <v>4</v>
      </c>
      <c r="W2766" s="10">
        <v>2</v>
      </c>
      <c r="X2766" s="10">
        <v>1</v>
      </c>
      <c r="Y2766" s="11">
        <v>0.5714285714285714</v>
      </c>
      <c r="Z2766" s="11">
        <v>0.2857142857142857</v>
      </c>
      <c r="AA2766" s="11">
        <v>0.14285714285714285</v>
      </c>
    </row>
    <row r="2767" spans="21:27" x14ac:dyDescent="0.25">
      <c r="U2767" s="37">
        <v>43954</v>
      </c>
      <c r="V2767" s="10">
        <v>4</v>
      </c>
      <c r="W2767" s="10">
        <v>7</v>
      </c>
      <c r="X2767" s="10">
        <v>5</v>
      </c>
      <c r="Y2767" s="11">
        <v>0.25</v>
      </c>
      <c r="Z2767" s="11">
        <v>0.4375</v>
      </c>
      <c r="AA2767" s="11">
        <v>0.3125</v>
      </c>
    </row>
    <row r="2768" spans="21:27" x14ac:dyDescent="0.25">
      <c r="U2768" s="37">
        <v>43961</v>
      </c>
      <c r="V2768" s="10">
        <v>9</v>
      </c>
      <c r="W2768" s="10">
        <v>3</v>
      </c>
      <c r="X2768" s="10">
        <v>13</v>
      </c>
      <c r="Y2768" s="11">
        <v>0.36</v>
      </c>
      <c r="Z2768" s="11">
        <v>0.12</v>
      </c>
      <c r="AA2768" s="11">
        <v>0.52</v>
      </c>
    </row>
    <row r="2769" spans="21:27" x14ac:dyDescent="0.25">
      <c r="U2769" s="37">
        <v>43968</v>
      </c>
      <c r="V2769" s="10">
        <v>1</v>
      </c>
      <c r="W2769" s="10">
        <v>3</v>
      </c>
      <c r="X2769" s="10">
        <v>6</v>
      </c>
      <c r="Y2769" s="11">
        <v>0.1</v>
      </c>
      <c r="Z2769" s="11">
        <v>0.3</v>
      </c>
      <c r="AA2769" s="11">
        <v>0.6</v>
      </c>
    </row>
    <row r="2770" spans="21:27" x14ac:dyDescent="0.25">
      <c r="U2770" s="37">
        <v>43972</v>
      </c>
      <c r="V2770" s="10">
        <v>4</v>
      </c>
      <c r="W2770" s="10">
        <v>1</v>
      </c>
      <c r="X2770" s="10">
        <v>9</v>
      </c>
      <c r="Y2770" s="11">
        <v>0.2857142857142857</v>
      </c>
      <c r="Z2770" s="11">
        <v>7.1428571428571425E-2</v>
      </c>
      <c r="AA2770" s="11">
        <v>0.6428571428571429</v>
      </c>
    </row>
    <row r="2771" spans="21:27" x14ac:dyDescent="0.25">
      <c r="U2771" s="37">
        <v>43975</v>
      </c>
      <c r="V2771" s="10">
        <v>5</v>
      </c>
      <c r="W2771" s="10">
        <v>3</v>
      </c>
      <c r="X2771" s="10">
        <v>4</v>
      </c>
      <c r="Y2771" s="11">
        <v>0.41666666666666669</v>
      </c>
      <c r="Z2771" s="11">
        <v>0.25</v>
      </c>
      <c r="AA2771" s="11">
        <v>0.33333333333333331</v>
      </c>
    </row>
    <row r="2772" spans="21:27" x14ac:dyDescent="0.25">
      <c r="U2772" s="37">
        <v>43982</v>
      </c>
      <c r="V2772" s="10">
        <v>17</v>
      </c>
      <c r="W2772" s="10">
        <v>4</v>
      </c>
      <c r="X2772" s="10">
        <v>6</v>
      </c>
      <c r="Y2772" s="11">
        <v>0.62962962962962965</v>
      </c>
      <c r="Z2772" s="11">
        <v>0.14814814814814814</v>
      </c>
      <c r="AA2772" s="11">
        <v>0.22222222222222221</v>
      </c>
    </row>
    <row r="2773" spans="21:27" x14ac:dyDescent="0.25">
      <c r="U2773" s="37">
        <v>43989</v>
      </c>
      <c r="V2773" s="10">
        <v>1</v>
      </c>
      <c r="W2773" s="10">
        <v>1</v>
      </c>
      <c r="X2773" s="10">
        <v>4</v>
      </c>
      <c r="Y2773" s="11">
        <v>0.16666666666666666</v>
      </c>
      <c r="Z2773" s="11">
        <v>0.16666666666666666</v>
      </c>
      <c r="AA2773" s="11">
        <v>0.66666666666666663</v>
      </c>
    </row>
    <row r="2774" spans="21:27" x14ac:dyDescent="0.25">
      <c r="U2774" s="37">
        <v>43996</v>
      </c>
      <c r="V2774" s="10">
        <v>0</v>
      </c>
      <c r="W2774" s="10">
        <v>2</v>
      </c>
      <c r="X2774" s="10">
        <v>2</v>
      </c>
      <c r="Y2774" s="11">
        <v>0</v>
      </c>
      <c r="Z2774" s="11">
        <v>0.5</v>
      </c>
      <c r="AA2774" s="11">
        <v>0.5</v>
      </c>
    </row>
    <row r="2775" spans="21:27" x14ac:dyDescent="0.25">
      <c r="U2775" s="37">
        <v>44003</v>
      </c>
      <c r="V2775" s="10">
        <v>7</v>
      </c>
      <c r="W2775" s="10">
        <v>1</v>
      </c>
      <c r="X2775" s="10">
        <v>5</v>
      </c>
      <c r="Y2775" s="11">
        <v>0.53846153846153844</v>
      </c>
      <c r="Z2775" s="11">
        <v>7.6923076923076927E-2</v>
      </c>
      <c r="AA2775" s="11">
        <v>0.38461538461538464</v>
      </c>
    </row>
    <row r="2776" spans="21:27" x14ac:dyDescent="0.25">
      <c r="U2776" s="37">
        <v>44010</v>
      </c>
      <c r="V2776" s="10">
        <v>4</v>
      </c>
      <c r="W2776" s="10">
        <v>5</v>
      </c>
      <c r="X2776" s="10">
        <v>2</v>
      </c>
      <c r="Y2776" s="11">
        <v>0.36363636363636365</v>
      </c>
      <c r="Z2776" s="11">
        <v>0.45454545454545453</v>
      </c>
      <c r="AA2776" s="11">
        <v>0.18181818181818182</v>
      </c>
    </row>
    <row r="2777" spans="21:27" x14ac:dyDescent="0.25">
      <c r="U2777" s="37">
        <v>44017</v>
      </c>
      <c r="V2777" s="10">
        <v>6</v>
      </c>
      <c r="W2777" s="10">
        <v>3</v>
      </c>
      <c r="X2777" s="10">
        <v>5</v>
      </c>
      <c r="Y2777" s="11">
        <v>0.42857142857142855</v>
      </c>
      <c r="Z2777" s="11">
        <v>0.21428571428571427</v>
      </c>
      <c r="AA2777" s="11">
        <v>0.35714285714285715</v>
      </c>
    </row>
    <row r="2778" spans="21:27" x14ac:dyDescent="0.25">
      <c r="U2778" s="37">
        <v>44024</v>
      </c>
      <c r="V2778" s="10">
        <v>3</v>
      </c>
      <c r="W2778" s="10">
        <v>0</v>
      </c>
      <c r="X2778" s="10">
        <v>3</v>
      </c>
      <c r="Y2778" s="11">
        <v>0.5</v>
      </c>
      <c r="Z2778" s="11">
        <v>0</v>
      </c>
      <c r="AA2778" s="11">
        <v>0.5</v>
      </c>
    </row>
    <row r="2779" spans="21:27" x14ac:dyDescent="0.25">
      <c r="U2779" s="37">
        <v>44031</v>
      </c>
      <c r="V2779" s="10">
        <v>7</v>
      </c>
      <c r="W2779" s="10">
        <v>2</v>
      </c>
      <c r="X2779" s="10">
        <v>4</v>
      </c>
      <c r="Y2779" s="11">
        <v>0.53846153846153844</v>
      </c>
      <c r="Z2779" s="11">
        <v>0.15384615384615385</v>
      </c>
      <c r="AA2779" s="11">
        <v>0.30769230769230771</v>
      </c>
    </row>
    <row r="2780" spans="21:27" x14ac:dyDescent="0.25">
      <c r="U2780" s="37">
        <v>44038</v>
      </c>
      <c r="V2780" s="10">
        <v>4</v>
      </c>
      <c r="W2780" s="10">
        <v>2</v>
      </c>
      <c r="X2780" s="10">
        <v>5</v>
      </c>
      <c r="Y2780" s="11">
        <v>0.36363636363636365</v>
      </c>
      <c r="Z2780" s="11">
        <v>0.18181818181818182</v>
      </c>
      <c r="AA2780" s="11">
        <v>0.45454545454545453</v>
      </c>
    </row>
    <row r="2781" spans="21:27" x14ac:dyDescent="0.25">
      <c r="U2781" s="37">
        <v>44045</v>
      </c>
      <c r="V2781" s="10">
        <v>6</v>
      </c>
      <c r="W2781" s="10">
        <v>3</v>
      </c>
      <c r="X2781" s="10">
        <v>4</v>
      </c>
      <c r="Y2781" s="11">
        <v>0.46153846153846156</v>
      </c>
      <c r="Z2781" s="11">
        <v>0.23076923076923078</v>
      </c>
      <c r="AA2781" s="11">
        <v>0.30769230769230771</v>
      </c>
    </row>
    <row r="2782" spans="21:27" x14ac:dyDescent="0.25">
      <c r="U2782" s="37">
        <v>44052</v>
      </c>
      <c r="V2782" s="10">
        <v>1</v>
      </c>
      <c r="W2782" s="10">
        <v>4</v>
      </c>
      <c r="X2782" s="10">
        <v>1</v>
      </c>
      <c r="Y2782" s="11">
        <v>0.16666666666666666</v>
      </c>
      <c r="Z2782" s="11">
        <v>0.66666666666666663</v>
      </c>
      <c r="AA2782" s="11">
        <v>0.16666666666666666</v>
      </c>
    </row>
    <row r="2783" spans="21:27" x14ac:dyDescent="0.25">
      <c r="U2783" s="37">
        <v>44058</v>
      </c>
      <c r="V2783" s="10">
        <v>8</v>
      </c>
      <c r="W2783" s="10">
        <v>2</v>
      </c>
      <c r="X2783" s="10">
        <v>13</v>
      </c>
      <c r="Y2783" s="11">
        <v>0.34782608695652173</v>
      </c>
      <c r="Z2783" s="11">
        <v>8.6956521739130432E-2</v>
      </c>
      <c r="AA2783" s="11">
        <v>0.56521739130434778</v>
      </c>
    </row>
    <row r="2784" spans="21:27" x14ac:dyDescent="0.25">
      <c r="U2784" s="37">
        <v>44059</v>
      </c>
      <c r="V2784" s="10">
        <v>3</v>
      </c>
      <c r="W2784" s="10">
        <v>7</v>
      </c>
      <c r="X2784" s="10">
        <v>3</v>
      </c>
      <c r="Y2784" s="11">
        <v>0.23076923076923078</v>
      </c>
      <c r="Z2784" s="11">
        <v>0.53846153846153844</v>
      </c>
      <c r="AA2784" s="11">
        <v>0.23076923076923078</v>
      </c>
    </row>
    <row r="2785" spans="21:27" x14ac:dyDescent="0.25">
      <c r="U2785" s="37">
        <v>44066</v>
      </c>
      <c r="V2785" s="10">
        <v>13</v>
      </c>
      <c r="W2785" s="10">
        <v>8</v>
      </c>
      <c r="X2785" s="10">
        <v>11</v>
      </c>
      <c r="Y2785" s="11">
        <v>0.40625</v>
      </c>
      <c r="Z2785" s="11">
        <v>0.25</v>
      </c>
      <c r="AA2785" s="11">
        <v>0.34375</v>
      </c>
    </row>
    <row r="2786" spans="21:27" x14ac:dyDescent="0.25">
      <c r="U2786" s="37">
        <v>44073</v>
      </c>
      <c r="V2786" s="10">
        <v>8</v>
      </c>
      <c r="W2786" s="10">
        <v>7</v>
      </c>
      <c r="X2786" s="10">
        <v>14</v>
      </c>
      <c r="Y2786" s="11">
        <v>0.27586206896551724</v>
      </c>
      <c r="Z2786" s="11">
        <v>0.2413793103448276</v>
      </c>
      <c r="AA2786" s="11">
        <v>0.48275862068965519</v>
      </c>
    </row>
    <row r="2787" spans="21:27" x14ac:dyDescent="0.25">
      <c r="U2787" s="37">
        <v>44080</v>
      </c>
      <c r="V2787" s="10">
        <v>3</v>
      </c>
      <c r="W2787" s="10">
        <v>1</v>
      </c>
      <c r="X2787" s="10">
        <v>1</v>
      </c>
      <c r="Y2787" s="11">
        <v>0.6</v>
      </c>
      <c r="Z2787" s="11">
        <v>0.2</v>
      </c>
      <c r="AA2787" s="11">
        <v>0.2</v>
      </c>
    </row>
    <row r="2788" spans="21:27" x14ac:dyDescent="0.25">
      <c r="U2788" s="37">
        <v>44087</v>
      </c>
      <c r="V2788" s="10">
        <v>5</v>
      </c>
      <c r="W2788" s="10">
        <v>3</v>
      </c>
      <c r="X2788" s="10">
        <v>1</v>
      </c>
      <c r="Y2788" s="11">
        <v>0.55555555555555558</v>
      </c>
      <c r="Z2788" s="11">
        <v>0.33333333333333331</v>
      </c>
      <c r="AA2788" s="11">
        <v>0.1111111111111111</v>
      </c>
    </row>
    <row r="2789" spans="21:27" x14ac:dyDescent="0.25">
      <c r="U2789" s="37">
        <v>44094</v>
      </c>
      <c r="V2789" s="10">
        <v>2</v>
      </c>
      <c r="W2789" s="10">
        <v>2</v>
      </c>
      <c r="X2789" s="10">
        <v>3</v>
      </c>
      <c r="Y2789" s="11">
        <v>0.2857142857142857</v>
      </c>
      <c r="Z2789" s="11">
        <v>0.2857142857142857</v>
      </c>
      <c r="AA2789" s="11">
        <v>0.42857142857142855</v>
      </c>
    </row>
    <row r="2790" spans="21:27" x14ac:dyDescent="0.25">
      <c r="U2790" s="37">
        <v>44101</v>
      </c>
      <c r="V2790" s="10">
        <v>4</v>
      </c>
      <c r="W2790" s="10">
        <v>0</v>
      </c>
      <c r="X2790" s="10">
        <v>7</v>
      </c>
      <c r="Y2790" s="11">
        <v>0.36363636363636365</v>
      </c>
      <c r="Z2790" s="11">
        <v>0</v>
      </c>
      <c r="AA2790" s="11">
        <v>0.63636363636363635</v>
      </c>
    </row>
    <row r="2791" spans="21:27" x14ac:dyDescent="0.25">
      <c r="U2791" s="37">
        <v>44108</v>
      </c>
      <c r="V2791" s="10">
        <v>0</v>
      </c>
      <c r="W2791" s="10">
        <v>2</v>
      </c>
      <c r="X2791" s="10">
        <v>5</v>
      </c>
      <c r="Y2791" s="11">
        <v>0</v>
      </c>
      <c r="Z2791" s="11">
        <v>0.2857142857142857</v>
      </c>
      <c r="AA2791" s="11">
        <v>0.7142857142857143</v>
      </c>
    </row>
    <row r="2792" spans="21:27" x14ac:dyDescent="0.25">
      <c r="U2792" s="37">
        <v>44115</v>
      </c>
      <c r="V2792" s="10">
        <v>4</v>
      </c>
      <c r="W2792" s="10">
        <v>1</v>
      </c>
      <c r="X2792" s="10">
        <v>7</v>
      </c>
      <c r="Y2792" s="11">
        <v>0.33333333333333331</v>
      </c>
      <c r="Z2792" s="11">
        <v>8.3333333333333329E-2</v>
      </c>
      <c r="AA2792" s="11">
        <v>0.58333333333333337</v>
      </c>
    </row>
    <row r="2793" spans="21:27" x14ac:dyDescent="0.25">
      <c r="U2793" s="37">
        <v>44122</v>
      </c>
      <c r="V2793" s="10">
        <v>3</v>
      </c>
      <c r="W2793" s="10">
        <v>3</v>
      </c>
      <c r="X2793" s="10">
        <v>6</v>
      </c>
      <c r="Y2793" s="11">
        <v>0.25</v>
      </c>
      <c r="Z2793" s="11">
        <v>0.25</v>
      </c>
      <c r="AA2793" s="11">
        <v>0.5</v>
      </c>
    </row>
    <row r="2794" spans="21:27" x14ac:dyDescent="0.25">
      <c r="U2794" s="37">
        <v>44129</v>
      </c>
      <c r="V2794" s="10">
        <v>1</v>
      </c>
      <c r="W2794" s="10">
        <v>5</v>
      </c>
      <c r="X2794" s="10">
        <v>1</v>
      </c>
      <c r="Y2794" s="11">
        <v>0.14285714285714285</v>
      </c>
      <c r="Z2794" s="11">
        <v>0.7142857142857143</v>
      </c>
      <c r="AA2794" s="11">
        <v>0.14285714285714285</v>
      </c>
    </row>
    <row r="2795" spans="21:27" x14ac:dyDescent="0.25">
      <c r="U2795" s="37">
        <v>44136</v>
      </c>
      <c r="V2795" s="10">
        <v>1</v>
      </c>
      <c r="W2795" s="10">
        <v>5</v>
      </c>
      <c r="X2795" s="10">
        <v>11</v>
      </c>
      <c r="Y2795" s="11">
        <v>5.8823529411764705E-2</v>
      </c>
      <c r="Z2795" s="11">
        <v>0.29411764705882354</v>
      </c>
      <c r="AA2795" s="11">
        <v>0.6470588235294118</v>
      </c>
    </row>
    <row r="2796" spans="21:27" x14ac:dyDescent="0.25">
      <c r="U2796" s="37">
        <v>44143</v>
      </c>
      <c r="V2796" s="10">
        <v>1</v>
      </c>
      <c r="W2796" s="10">
        <v>1</v>
      </c>
      <c r="X2796" s="10">
        <v>4</v>
      </c>
      <c r="Y2796" s="11">
        <v>0.16666666666666666</v>
      </c>
      <c r="Z2796" s="11">
        <v>0.16666666666666666</v>
      </c>
      <c r="AA2796" s="11">
        <v>0.66666666666666663</v>
      </c>
    </row>
    <row r="2797" spans="21:27" x14ac:dyDescent="0.25">
      <c r="U2797" s="37">
        <v>44150</v>
      </c>
      <c r="V2797" s="10">
        <v>0</v>
      </c>
      <c r="W2797" s="10">
        <v>0</v>
      </c>
      <c r="X2797" s="10">
        <v>3</v>
      </c>
      <c r="Y2797" s="11">
        <v>0</v>
      </c>
      <c r="Z2797" s="11">
        <v>0</v>
      </c>
      <c r="AA2797" s="11">
        <v>1</v>
      </c>
    </row>
    <row r="2798" spans="21:27" x14ac:dyDescent="0.25">
      <c r="U2798" s="37">
        <v>44157</v>
      </c>
      <c r="V2798" s="10">
        <v>1</v>
      </c>
      <c r="W2798" s="10">
        <v>2</v>
      </c>
      <c r="X2798" s="10">
        <v>5</v>
      </c>
      <c r="Y2798" s="11">
        <v>0.125</v>
      </c>
      <c r="Z2798" s="11">
        <v>0.25</v>
      </c>
      <c r="AA2798" s="11">
        <v>0.625</v>
      </c>
    </row>
    <row r="2799" spans="21:27" x14ac:dyDescent="0.25">
      <c r="U2799" s="37">
        <v>44164</v>
      </c>
      <c r="V2799" s="10">
        <v>2</v>
      </c>
      <c r="W2799" s="10">
        <v>2</v>
      </c>
      <c r="X2799" s="10">
        <v>3</v>
      </c>
      <c r="Y2799" s="11">
        <v>0.2857142857142857</v>
      </c>
      <c r="Z2799" s="11">
        <v>0.2857142857142857</v>
      </c>
      <c r="AA2799" s="11">
        <v>0.42857142857142855</v>
      </c>
    </row>
    <row r="2800" spans="21:27" x14ac:dyDescent="0.25">
      <c r="U2800" s="37">
        <v>44171</v>
      </c>
      <c r="V2800" s="10">
        <v>1</v>
      </c>
      <c r="W2800" s="10">
        <v>0</v>
      </c>
      <c r="X2800" s="10">
        <v>6</v>
      </c>
      <c r="Y2800" s="11">
        <v>0.14285714285714285</v>
      </c>
      <c r="Z2800" s="11">
        <v>0</v>
      </c>
      <c r="AA2800" s="11">
        <v>0.8571428571428571</v>
      </c>
    </row>
    <row r="2801" spans="21:27" x14ac:dyDescent="0.25">
      <c r="U2801" s="37">
        <v>44178</v>
      </c>
      <c r="V2801" s="10">
        <v>2</v>
      </c>
      <c r="W2801" s="10">
        <v>4</v>
      </c>
      <c r="X2801" s="10">
        <v>2</v>
      </c>
      <c r="Y2801" s="11">
        <v>0.25</v>
      </c>
      <c r="Z2801" s="11">
        <v>0.5</v>
      </c>
      <c r="AA2801" s="11">
        <v>0.25</v>
      </c>
    </row>
    <row r="2802" spans="21:27" x14ac:dyDescent="0.25">
      <c r="U2802" s="37">
        <v>44185</v>
      </c>
      <c r="V2802" s="10">
        <v>4</v>
      </c>
      <c r="W2802" s="10">
        <v>2</v>
      </c>
      <c r="X2802" s="10">
        <v>6</v>
      </c>
      <c r="Y2802" s="11">
        <v>0.33333333333333331</v>
      </c>
      <c r="Z2802" s="11">
        <v>0.16666666666666666</v>
      </c>
      <c r="AA2802" s="11">
        <v>0.5</v>
      </c>
    </row>
    <row r="2803" spans="21:27" x14ac:dyDescent="0.25">
      <c r="U2803" s="37">
        <v>44189</v>
      </c>
      <c r="V2803" s="10">
        <v>11</v>
      </c>
      <c r="W2803" s="10">
        <v>2</v>
      </c>
      <c r="X2803" s="10">
        <v>15</v>
      </c>
      <c r="Y2803" s="11">
        <v>0.39285714285714285</v>
      </c>
      <c r="Z2803" s="11">
        <v>7.1428571428571425E-2</v>
      </c>
      <c r="AA2803" s="11">
        <v>0.5357142857142857</v>
      </c>
    </row>
    <row r="2804" spans="21:27" x14ac:dyDescent="0.25">
      <c r="U2804" s="37">
        <v>44190</v>
      </c>
      <c r="V2804" s="10">
        <v>9</v>
      </c>
      <c r="W2804" s="10">
        <v>7</v>
      </c>
      <c r="X2804" s="10">
        <v>11</v>
      </c>
      <c r="Y2804" s="11">
        <v>0.33333333333333331</v>
      </c>
      <c r="Z2804" s="11">
        <v>0.25925925925925924</v>
      </c>
      <c r="AA2804" s="11">
        <v>0.40740740740740738</v>
      </c>
    </row>
    <row r="2805" spans="21:27" x14ac:dyDescent="0.25">
      <c r="U2805" s="37">
        <v>44192</v>
      </c>
      <c r="V2805" s="10">
        <v>1</v>
      </c>
      <c r="W2805" s="10">
        <v>2</v>
      </c>
      <c r="X2805" s="10">
        <v>1</v>
      </c>
      <c r="Y2805" s="11">
        <v>0.25</v>
      </c>
      <c r="Z2805" s="11">
        <v>0.5</v>
      </c>
      <c r="AA2805" s="11">
        <v>0.25</v>
      </c>
    </row>
    <row r="2806" spans="21:27" x14ac:dyDescent="0.25">
      <c r="U2806" s="37">
        <v>44199</v>
      </c>
      <c r="V2806" s="10">
        <v>0</v>
      </c>
      <c r="W2806" s="10">
        <v>2</v>
      </c>
      <c r="X2806" s="10">
        <v>1</v>
      </c>
      <c r="Y2806" s="11">
        <v>0</v>
      </c>
      <c r="Z2806" s="11">
        <v>0.66666666666666663</v>
      </c>
      <c r="AA2806" s="11">
        <v>0.33333333333333331</v>
      </c>
    </row>
    <row r="2807" spans="21:27" x14ac:dyDescent="0.25">
      <c r="U2807" s="37">
        <v>44206</v>
      </c>
      <c r="V2807" s="10">
        <v>7</v>
      </c>
      <c r="W2807" s="10">
        <v>9</v>
      </c>
      <c r="X2807" s="10">
        <v>9</v>
      </c>
      <c r="Y2807" s="11">
        <v>0.28000000000000003</v>
      </c>
      <c r="Z2807" s="11">
        <v>0.36</v>
      </c>
      <c r="AA2807" s="11">
        <v>0.36</v>
      </c>
    </row>
    <row r="2808" spans="21:27" x14ac:dyDescent="0.25">
      <c r="U2808" s="37">
        <v>44213</v>
      </c>
      <c r="V2808" s="10">
        <v>5</v>
      </c>
      <c r="W2808" s="10">
        <v>3</v>
      </c>
      <c r="X2808" s="10">
        <v>13</v>
      </c>
      <c r="Y2808" s="11">
        <v>0.23809523809523808</v>
      </c>
      <c r="Z2808" s="11">
        <v>0.14285714285714285</v>
      </c>
      <c r="AA2808" s="11">
        <v>0.61904761904761907</v>
      </c>
    </row>
    <row r="2809" spans="21:27" x14ac:dyDescent="0.25">
      <c r="U2809" s="37">
        <v>44220</v>
      </c>
      <c r="V2809" s="10">
        <v>1</v>
      </c>
      <c r="W2809" s="10">
        <v>7</v>
      </c>
      <c r="X2809" s="10">
        <v>15</v>
      </c>
      <c r="Y2809" s="11">
        <v>4.3478260869565216E-2</v>
      </c>
      <c r="Z2809" s="11">
        <v>0.30434782608695654</v>
      </c>
      <c r="AA2809" s="11">
        <v>0.65217391304347827</v>
      </c>
    </row>
    <row r="2810" spans="21:27" x14ac:dyDescent="0.25">
      <c r="U2810" s="37">
        <v>44227</v>
      </c>
      <c r="V2810" s="10">
        <v>6</v>
      </c>
      <c r="W2810" s="10">
        <v>3</v>
      </c>
      <c r="X2810" s="10">
        <v>8</v>
      </c>
      <c r="Y2810" s="11">
        <v>0.35294117647058826</v>
      </c>
      <c r="Z2810" s="11">
        <v>0.17647058823529413</v>
      </c>
      <c r="AA2810" s="11">
        <v>0.47058823529411764</v>
      </c>
    </row>
    <row r="2811" spans="21:27" x14ac:dyDescent="0.25">
      <c r="U2811" s="37">
        <v>44234</v>
      </c>
      <c r="V2811" s="10">
        <v>13</v>
      </c>
      <c r="W2811" s="10">
        <v>9</v>
      </c>
      <c r="X2811" s="10">
        <v>7</v>
      </c>
      <c r="Y2811" s="11">
        <v>0.44827586206896552</v>
      </c>
      <c r="Z2811" s="11">
        <v>0.31034482758620691</v>
      </c>
      <c r="AA2811" s="11">
        <v>0.2413793103448276</v>
      </c>
    </row>
    <row r="2812" spans="21:27" x14ac:dyDescent="0.25">
      <c r="U2812" s="37">
        <v>44241</v>
      </c>
      <c r="V2812" s="10">
        <v>3</v>
      </c>
      <c r="W2812" s="10">
        <v>8</v>
      </c>
      <c r="X2812" s="10">
        <v>4</v>
      </c>
      <c r="Y2812" s="11">
        <v>0.2</v>
      </c>
      <c r="Z2812" s="11">
        <v>0.53333333333333333</v>
      </c>
      <c r="AA2812" s="11">
        <v>0.26666666666666666</v>
      </c>
    </row>
    <row r="2813" spans="21:27" x14ac:dyDescent="0.25">
      <c r="U2813" s="37">
        <v>44248</v>
      </c>
      <c r="V2813" s="10">
        <v>6</v>
      </c>
      <c r="W2813" s="10">
        <v>1</v>
      </c>
      <c r="X2813" s="10">
        <v>10</v>
      </c>
      <c r="Y2813" s="11">
        <v>0.35294117647058826</v>
      </c>
      <c r="Z2813" s="11">
        <v>5.8823529411764705E-2</v>
      </c>
      <c r="AA2813" s="11">
        <v>0.58823529411764708</v>
      </c>
    </row>
    <row r="2814" spans="21:27" x14ac:dyDescent="0.25">
      <c r="U2814" s="37">
        <v>44255</v>
      </c>
      <c r="V2814" s="10">
        <v>8</v>
      </c>
      <c r="W2814" s="10">
        <v>3</v>
      </c>
      <c r="X2814" s="10">
        <v>8</v>
      </c>
      <c r="Y2814" s="11">
        <v>0.42105263157894735</v>
      </c>
      <c r="Z2814" s="11">
        <v>0.15789473684210525</v>
      </c>
      <c r="AA2814" s="11">
        <v>0.42105263157894735</v>
      </c>
    </row>
    <row r="2815" spans="21:27" x14ac:dyDescent="0.25">
      <c r="U2815" s="37">
        <v>44262</v>
      </c>
      <c r="V2815" s="10">
        <v>12</v>
      </c>
      <c r="W2815" s="10">
        <v>5</v>
      </c>
      <c r="X2815" s="10">
        <v>12</v>
      </c>
      <c r="Y2815" s="11">
        <v>0.41379310344827586</v>
      </c>
      <c r="Z2815" s="11">
        <v>0.17241379310344829</v>
      </c>
      <c r="AA2815" s="11">
        <v>0.41379310344827586</v>
      </c>
    </row>
    <row r="2816" spans="21:27" x14ac:dyDescent="0.25">
      <c r="U2816" s="37">
        <v>44269</v>
      </c>
      <c r="V2816" s="10">
        <v>9</v>
      </c>
      <c r="W2816" s="10">
        <v>2</v>
      </c>
      <c r="X2816" s="10">
        <v>1</v>
      </c>
      <c r="Y2816" s="11">
        <v>0.75</v>
      </c>
      <c r="Z2816" s="11">
        <v>0.16666666666666666</v>
      </c>
      <c r="AA2816" s="11">
        <v>8.3333333333333329E-2</v>
      </c>
    </row>
    <row r="2817" spans="21:27" x14ac:dyDescent="0.25">
      <c r="U2817" s="37">
        <v>44276</v>
      </c>
      <c r="V2817" s="10">
        <v>4</v>
      </c>
      <c r="W2817" s="10">
        <v>10</v>
      </c>
      <c r="X2817" s="10">
        <v>11</v>
      </c>
      <c r="Y2817" s="11">
        <v>0.16</v>
      </c>
      <c r="Z2817" s="11">
        <v>0.4</v>
      </c>
      <c r="AA2817" s="11">
        <v>0.44</v>
      </c>
    </row>
    <row r="2818" spans="21:27" x14ac:dyDescent="0.25">
      <c r="U2818" s="37">
        <v>44283</v>
      </c>
      <c r="V2818" s="10">
        <v>3</v>
      </c>
      <c r="W2818" s="10">
        <v>3</v>
      </c>
      <c r="X2818" s="10">
        <v>6</v>
      </c>
      <c r="Y2818" s="11">
        <v>0.25</v>
      </c>
      <c r="Z2818" s="11">
        <v>0.25</v>
      </c>
      <c r="AA2818" s="11">
        <v>0.5</v>
      </c>
    </row>
    <row r="2819" spans="21:27" x14ac:dyDescent="0.25">
      <c r="U2819" s="37">
        <v>44290</v>
      </c>
      <c r="V2819" s="10">
        <v>2</v>
      </c>
      <c r="W2819" s="10">
        <v>4</v>
      </c>
      <c r="X2819" s="10">
        <v>3</v>
      </c>
      <c r="Y2819" s="11">
        <v>0.22222222222222221</v>
      </c>
      <c r="Z2819" s="11">
        <v>0.44444444444444442</v>
      </c>
      <c r="AA2819" s="11">
        <v>0.33333333333333331</v>
      </c>
    </row>
    <row r="2820" spans="21:27" x14ac:dyDescent="0.25">
      <c r="U2820" s="37">
        <v>44297</v>
      </c>
      <c r="V2820" s="10">
        <v>7</v>
      </c>
      <c r="W2820" s="10">
        <v>6</v>
      </c>
      <c r="X2820" s="10">
        <v>6</v>
      </c>
      <c r="Y2820" s="11">
        <v>0.36842105263157893</v>
      </c>
      <c r="Z2820" s="11">
        <v>0.31578947368421051</v>
      </c>
      <c r="AA2820" s="11">
        <v>0.31578947368421051</v>
      </c>
    </row>
    <row r="2821" spans="21:27" x14ac:dyDescent="0.25">
      <c r="U2821" s="37">
        <v>44304</v>
      </c>
      <c r="V2821" s="10">
        <v>0</v>
      </c>
      <c r="W2821" s="10">
        <v>0</v>
      </c>
      <c r="X2821" s="10">
        <v>0</v>
      </c>
      <c r="Y2821" s="11" t="e">
        <v>#DIV/0!</v>
      </c>
      <c r="Z2821" s="11" t="e">
        <v>#DIV/0!</v>
      </c>
      <c r="AA2821" s="11" t="e">
        <v>#DIV/0!</v>
      </c>
    </row>
    <row r="2822" spans="21:27" x14ac:dyDescent="0.25">
      <c r="U2822" s="37">
        <v>44311</v>
      </c>
      <c r="V2822" s="10">
        <v>3</v>
      </c>
      <c r="W2822" s="10">
        <v>3</v>
      </c>
      <c r="X2822" s="10">
        <v>7</v>
      </c>
      <c r="Y2822" s="11">
        <v>0.23076923076923078</v>
      </c>
      <c r="Z2822" s="11">
        <v>0.23076923076923078</v>
      </c>
      <c r="AA2822" s="11">
        <v>0.53846153846153844</v>
      </c>
    </row>
    <row r="2823" spans="21:27" x14ac:dyDescent="0.25">
      <c r="U2823" s="37">
        <v>44318</v>
      </c>
      <c r="V2823" s="10">
        <v>5</v>
      </c>
      <c r="W2823" s="10">
        <v>7</v>
      </c>
      <c r="X2823" s="10">
        <v>3</v>
      </c>
      <c r="Y2823" s="11">
        <v>0.33333333333333331</v>
      </c>
      <c r="Z2823" s="11">
        <v>0.46666666666666667</v>
      </c>
      <c r="AA2823" s="11">
        <v>0.2</v>
      </c>
    </row>
    <row r="2824" spans="21:27" x14ac:dyDescent="0.25">
      <c r="U2824" s="37">
        <v>44325</v>
      </c>
      <c r="V2824" s="10">
        <v>2</v>
      </c>
      <c r="W2824" s="10">
        <v>1</v>
      </c>
      <c r="X2824" s="10">
        <v>2</v>
      </c>
      <c r="Y2824" s="11">
        <v>0.4</v>
      </c>
      <c r="Z2824" s="11">
        <v>0.2</v>
      </c>
      <c r="AA2824" s="11">
        <v>0.4</v>
      </c>
    </row>
    <row r="2825" spans="21:27" x14ac:dyDescent="0.25">
      <c r="U2825" s="37">
        <v>44329</v>
      </c>
      <c r="V2825" s="10">
        <v>5</v>
      </c>
      <c r="W2825" s="10">
        <v>3</v>
      </c>
      <c r="X2825" s="10">
        <v>6</v>
      </c>
      <c r="Y2825" s="11">
        <v>0.35714285714285715</v>
      </c>
      <c r="Z2825" s="11">
        <v>0.21428571428571427</v>
      </c>
      <c r="AA2825" s="11">
        <v>0.42857142857142855</v>
      </c>
    </row>
    <row r="2826" spans="21:27" x14ac:dyDescent="0.25">
      <c r="U2826" s="37">
        <v>44332</v>
      </c>
      <c r="V2826" s="10">
        <v>4</v>
      </c>
      <c r="W2826" s="10">
        <v>5</v>
      </c>
      <c r="X2826" s="10">
        <v>12</v>
      </c>
      <c r="Y2826" s="11">
        <v>0.19047619047619047</v>
      </c>
      <c r="Z2826" s="11">
        <v>0.23809523809523808</v>
      </c>
      <c r="AA2826" s="11">
        <v>0.5714285714285714</v>
      </c>
    </row>
    <row r="2827" spans="21:27" x14ac:dyDescent="0.25">
      <c r="U2827" s="37">
        <v>44339</v>
      </c>
      <c r="V2827" s="10">
        <v>9</v>
      </c>
      <c r="W2827" s="10">
        <v>7</v>
      </c>
      <c r="X2827" s="10">
        <v>5</v>
      </c>
      <c r="Y2827" s="11">
        <v>0.42857142857142855</v>
      </c>
      <c r="Z2827" s="11">
        <v>0.33333333333333331</v>
      </c>
      <c r="AA2827" s="11">
        <v>0.23809523809523808</v>
      </c>
    </row>
    <row r="2828" spans="21:27" x14ac:dyDescent="0.25">
      <c r="U2828" s="37">
        <v>44346</v>
      </c>
      <c r="V2828" s="10">
        <v>4</v>
      </c>
      <c r="W2828" s="10">
        <v>3</v>
      </c>
      <c r="X2828" s="10">
        <v>8</v>
      </c>
      <c r="Y2828" s="11">
        <v>0.26666666666666666</v>
      </c>
      <c r="Z2828" s="11">
        <v>0.2</v>
      </c>
      <c r="AA2828" s="11">
        <v>0.53333333333333333</v>
      </c>
    </row>
    <row r="2829" spans="21:27" x14ac:dyDescent="0.25">
      <c r="U2829" s="37">
        <v>44353</v>
      </c>
      <c r="V2829" s="10">
        <v>9</v>
      </c>
      <c r="W2829" s="10">
        <v>3</v>
      </c>
      <c r="X2829" s="10">
        <v>7</v>
      </c>
      <c r="Y2829" s="11">
        <v>0.47368421052631576</v>
      </c>
      <c r="Z2829" s="11">
        <v>0.15789473684210525</v>
      </c>
      <c r="AA2829" s="11">
        <v>0.36842105263157893</v>
      </c>
    </row>
    <row r="2830" spans="21:27" x14ac:dyDescent="0.25">
      <c r="U2830" s="37">
        <v>44360</v>
      </c>
      <c r="V2830" s="10">
        <v>8</v>
      </c>
      <c r="W2830" s="10">
        <v>3</v>
      </c>
      <c r="X2830" s="10">
        <v>18</v>
      </c>
      <c r="Y2830" s="11">
        <v>0.27586206896551724</v>
      </c>
      <c r="Z2830" s="11">
        <v>0.10344827586206896</v>
      </c>
      <c r="AA2830" s="11">
        <v>0.62068965517241381</v>
      </c>
    </row>
    <row r="2831" spans="21:27" x14ac:dyDescent="0.25">
      <c r="U2831" s="37">
        <v>44367</v>
      </c>
      <c r="V2831" s="10">
        <v>5</v>
      </c>
      <c r="W2831" s="10">
        <v>0</v>
      </c>
      <c r="X2831" s="10">
        <v>4</v>
      </c>
      <c r="Y2831" s="11">
        <v>0.55555555555555558</v>
      </c>
      <c r="Z2831" s="11">
        <v>0</v>
      </c>
      <c r="AA2831" s="11">
        <v>0.44444444444444442</v>
      </c>
    </row>
    <row r="2832" spans="21:27" x14ac:dyDescent="0.25">
      <c r="U2832" s="37">
        <v>44374</v>
      </c>
      <c r="V2832" s="10">
        <v>4</v>
      </c>
      <c r="W2832" s="10">
        <v>8</v>
      </c>
      <c r="X2832" s="10">
        <v>5</v>
      </c>
      <c r="Y2832" s="11">
        <v>0.23529411764705882</v>
      </c>
      <c r="Z2832" s="11">
        <v>0.47058823529411764</v>
      </c>
      <c r="AA2832" s="11">
        <v>0.29411764705882354</v>
      </c>
    </row>
    <row r="2833" spans="21:27" x14ac:dyDescent="0.25">
      <c r="U2833" s="37">
        <v>44381</v>
      </c>
      <c r="V2833" s="10">
        <v>4</v>
      </c>
      <c r="W2833" s="10">
        <v>5</v>
      </c>
      <c r="X2833" s="10">
        <v>14</v>
      </c>
      <c r="Y2833" s="11">
        <v>0.17391304347826086</v>
      </c>
      <c r="Z2833" s="11">
        <v>0.21739130434782608</v>
      </c>
      <c r="AA2833" s="11">
        <v>0.60869565217391308</v>
      </c>
    </row>
    <row r="2834" spans="21:27" x14ac:dyDescent="0.25">
      <c r="U2834" s="37">
        <v>44388</v>
      </c>
      <c r="V2834" s="10">
        <v>1</v>
      </c>
      <c r="W2834" s="10">
        <v>1</v>
      </c>
      <c r="X2834" s="10">
        <v>1</v>
      </c>
      <c r="Y2834" s="11">
        <v>0.33333333333333331</v>
      </c>
      <c r="Z2834" s="11">
        <v>0.33333333333333331</v>
      </c>
      <c r="AA2834" s="11">
        <v>0.33333333333333331</v>
      </c>
    </row>
    <row r="2835" spans="21:27" x14ac:dyDescent="0.25">
      <c r="U2835" s="37">
        <v>44395</v>
      </c>
      <c r="V2835" s="10">
        <v>4</v>
      </c>
      <c r="W2835" s="10">
        <v>2</v>
      </c>
      <c r="X2835" s="10">
        <v>6</v>
      </c>
      <c r="Y2835" s="11">
        <v>0.33333333333333331</v>
      </c>
      <c r="Z2835" s="11">
        <v>0.16666666666666666</v>
      </c>
      <c r="AA2835" s="11">
        <v>0.5</v>
      </c>
    </row>
    <row r="2836" spans="21:27" x14ac:dyDescent="0.25">
      <c r="U2836" s="37">
        <v>44402</v>
      </c>
      <c r="V2836" s="10">
        <v>7</v>
      </c>
      <c r="W2836" s="10">
        <v>2</v>
      </c>
      <c r="X2836" s="10">
        <v>1</v>
      </c>
      <c r="Y2836" s="11">
        <v>0.7</v>
      </c>
      <c r="Z2836" s="11">
        <v>0.2</v>
      </c>
      <c r="AA2836" s="11">
        <v>0.1</v>
      </c>
    </row>
    <row r="2837" spans="21:27" x14ac:dyDescent="0.25">
      <c r="U2837" s="37">
        <v>44409</v>
      </c>
      <c r="V2837" s="10">
        <v>7</v>
      </c>
      <c r="W2837" s="10">
        <v>8</v>
      </c>
      <c r="X2837" s="10">
        <v>5</v>
      </c>
      <c r="Y2837" s="11">
        <v>0.35</v>
      </c>
      <c r="Z2837" s="11">
        <v>0.4</v>
      </c>
      <c r="AA2837" s="11">
        <v>0.25</v>
      </c>
    </row>
    <row r="2838" spans="21:27" x14ac:dyDescent="0.25">
      <c r="U2838" s="37">
        <v>44416</v>
      </c>
      <c r="V2838" s="10">
        <v>7</v>
      </c>
      <c r="W2838" s="10">
        <v>3</v>
      </c>
      <c r="X2838" s="10">
        <v>2</v>
      </c>
      <c r="Y2838" s="11">
        <v>0.58333333333333337</v>
      </c>
      <c r="Z2838" s="11">
        <v>0.25</v>
      </c>
      <c r="AA2838" s="11">
        <v>0.16666666666666666</v>
      </c>
    </row>
    <row r="2839" spans="21:27" x14ac:dyDescent="0.25">
      <c r="U2839" s="37">
        <v>44423</v>
      </c>
      <c r="V2839" s="10">
        <v>4</v>
      </c>
      <c r="W2839" s="10">
        <v>4</v>
      </c>
      <c r="X2839" s="10">
        <v>4</v>
      </c>
      <c r="Y2839" s="11">
        <v>0.33333333333333331</v>
      </c>
      <c r="Z2839" s="11">
        <v>0.33333333333333331</v>
      </c>
      <c r="AA2839" s="11">
        <v>0.33333333333333331</v>
      </c>
    </row>
    <row r="2840" spans="21:27" x14ac:dyDescent="0.25">
      <c r="U2840" s="37">
        <v>44430</v>
      </c>
      <c r="V2840" s="10">
        <v>7</v>
      </c>
      <c r="W2840" s="10">
        <v>1</v>
      </c>
      <c r="X2840" s="10">
        <v>9</v>
      </c>
      <c r="Y2840" s="11">
        <v>0.41176470588235292</v>
      </c>
      <c r="Z2840" s="11">
        <v>5.8823529411764705E-2</v>
      </c>
      <c r="AA2840" s="11">
        <v>0.52941176470588236</v>
      </c>
    </row>
    <row r="2841" spans="21:27" x14ac:dyDescent="0.25">
      <c r="U2841" s="37">
        <v>44437</v>
      </c>
      <c r="V2841" s="10">
        <v>3</v>
      </c>
      <c r="W2841" s="10">
        <v>2</v>
      </c>
      <c r="X2841" s="10">
        <v>5</v>
      </c>
      <c r="Y2841" s="11">
        <v>0.3</v>
      </c>
      <c r="Z2841" s="11">
        <v>0.2</v>
      </c>
      <c r="AA2841" s="11">
        <v>0.5</v>
      </c>
    </row>
    <row r="2842" spans="21:27" x14ac:dyDescent="0.25">
      <c r="U2842" s="37">
        <v>44444</v>
      </c>
      <c r="V2842" s="10">
        <v>9</v>
      </c>
      <c r="W2842" s="10">
        <v>2</v>
      </c>
      <c r="X2842" s="10">
        <v>5</v>
      </c>
      <c r="Y2842" s="11">
        <v>0.5625</v>
      </c>
      <c r="Z2842" s="11">
        <v>0.125</v>
      </c>
      <c r="AA2842" s="11">
        <v>0.3125</v>
      </c>
    </row>
    <row r="2843" spans="21:27" x14ac:dyDescent="0.25">
      <c r="U2843" s="37">
        <v>44451</v>
      </c>
      <c r="V2843" s="10">
        <v>3</v>
      </c>
      <c r="W2843" s="10">
        <v>6</v>
      </c>
      <c r="X2843" s="10">
        <v>4</v>
      </c>
      <c r="Y2843" s="11">
        <v>0.23076923076923078</v>
      </c>
      <c r="Z2843" s="11">
        <v>0.46153846153846156</v>
      </c>
      <c r="AA2843" s="11">
        <v>0.30769230769230771</v>
      </c>
    </row>
    <row r="2844" spans="21:27" x14ac:dyDescent="0.25">
      <c r="U2844" s="37">
        <v>44458</v>
      </c>
      <c r="V2844" s="10">
        <v>5</v>
      </c>
      <c r="W2844" s="10">
        <v>0</v>
      </c>
      <c r="X2844" s="10">
        <v>4</v>
      </c>
      <c r="Y2844" s="11">
        <v>0.55555555555555558</v>
      </c>
      <c r="Z2844" s="11">
        <v>0</v>
      </c>
      <c r="AA2844" s="11">
        <v>0.44444444444444442</v>
      </c>
    </row>
    <row r="2845" spans="21:27" x14ac:dyDescent="0.25">
      <c r="U2845" s="37">
        <v>44465</v>
      </c>
      <c r="V2845" s="10">
        <v>3</v>
      </c>
      <c r="W2845" s="10">
        <v>2</v>
      </c>
      <c r="X2845" s="10">
        <v>5</v>
      </c>
      <c r="Y2845" s="11">
        <v>0.3</v>
      </c>
      <c r="Z2845" s="11">
        <v>0.2</v>
      </c>
      <c r="AA2845" s="11">
        <v>0.5</v>
      </c>
    </row>
    <row r="2846" spans="21:27" x14ac:dyDescent="0.25">
      <c r="U2846" s="37">
        <v>44472</v>
      </c>
      <c r="V2846" s="10">
        <v>2</v>
      </c>
      <c r="W2846" s="10">
        <v>0</v>
      </c>
      <c r="X2846" s="10">
        <v>4</v>
      </c>
      <c r="Y2846" s="11">
        <v>0.33333333333333331</v>
      </c>
      <c r="Z2846" s="11">
        <v>0</v>
      </c>
      <c r="AA2846" s="11">
        <v>0.66666666666666663</v>
      </c>
    </row>
    <row r="2847" spans="21:27" x14ac:dyDescent="0.25">
      <c r="U2847" s="37">
        <v>44479</v>
      </c>
      <c r="V2847" s="10">
        <v>2</v>
      </c>
      <c r="W2847" s="10">
        <v>1</v>
      </c>
      <c r="X2847" s="10">
        <v>2</v>
      </c>
      <c r="Y2847" s="11">
        <v>0.4</v>
      </c>
      <c r="Z2847" s="11">
        <v>0.2</v>
      </c>
      <c r="AA2847" s="11">
        <v>0.4</v>
      </c>
    </row>
    <row r="2848" spans="21:27" x14ac:dyDescent="0.25">
      <c r="U2848" s="37">
        <v>44486</v>
      </c>
      <c r="V2848" s="10">
        <v>6</v>
      </c>
      <c r="W2848" s="10">
        <v>5</v>
      </c>
      <c r="X2848" s="10">
        <v>4</v>
      </c>
      <c r="Y2848" s="11">
        <v>0.4</v>
      </c>
      <c r="Z2848" s="11">
        <v>0.33333333333333331</v>
      </c>
      <c r="AA2848" s="11">
        <v>0.26666666666666666</v>
      </c>
    </row>
    <row r="2849" spans="21:27" x14ac:dyDescent="0.25">
      <c r="U2849" s="37">
        <v>44493</v>
      </c>
      <c r="V2849" s="10">
        <v>6</v>
      </c>
      <c r="W2849" s="10">
        <v>6</v>
      </c>
      <c r="X2849" s="10">
        <v>3</v>
      </c>
      <c r="Y2849" s="11">
        <v>0.4</v>
      </c>
      <c r="Z2849" s="11">
        <v>0.4</v>
      </c>
      <c r="AA2849" s="11">
        <v>0.2</v>
      </c>
    </row>
    <row r="2850" spans="21:27" x14ac:dyDescent="0.25">
      <c r="U2850" s="37">
        <v>44500</v>
      </c>
      <c r="V2850" s="10">
        <v>12</v>
      </c>
      <c r="W2850" s="10">
        <v>7</v>
      </c>
      <c r="X2850" s="10">
        <v>5</v>
      </c>
      <c r="Y2850" s="11">
        <v>0.5</v>
      </c>
      <c r="Z2850" s="11">
        <v>0.29166666666666669</v>
      </c>
      <c r="AA2850" s="11">
        <v>0.20833333333333334</v>
      </c>
    </row>
    <row r="2851" spans="21:27" x14ac:dyDescent="0.25">
      <c r="U2851" s="37">
        <v>44501</v>
      </c>
      <c r="V2851" s="10">
        <v>4</v>
      </c>
      <c r="W2851" s="10">
        <v>7</v>
      </c>
      <c r="X2851" s="10">
        <v>4</v>
      </c>
      <c r="Y2851" s="11">
        <v>0.26666666666666666</v>
      </c>
      <c r="Z2851" s="11">
        <v>0.46666666666666667</v>
      </c>
      <c r="AA2851" s="11">
        <v>0.26666666666666666</v>
      </c>
    </row>
    <row r="2852" spans="21:27" x14ac:dyDescent="0.25">
      <c r="U2852" s="37">
        <v>44507</v>
      </c>
      <c r="V2852" s="10">
        <v>2</v>
      </c>
      <c r="W2852" s="10">
        <v>0</v>
      </c>
      <c r="X2852" s="10">
        <v>2</v>
      </c>
      <c r="Y2852" s="11">
        <v>0.5</v>
      </c>
      <c r="Z2852" s="11">
        <v>0</v>
      </c>
      <c r="AA2852" s="11">
        <v>0.5</v>
      </c>
    </row>
    <row r="2853" spans="21:27" x14ac:dyDescent="0.25">
      <c r="U2853" s="37">
        <v>44514</v>
      </c>
      <c r="V2853" s="10">
        <v>4</v>
      </c>
      <c r="W2853" s="10">
        <v>2</v>
      </c>
      <c r="X2853" s="10">
        <v>4</v>
      </c>
      <c r="Y2853" s="11">
        <v>0.4</v>
      </c>
      <c r="Z2853" s="11">
        <v>0.2</v>
      </c>
      <c r="AA2853" s="11">
        <v>0.4</v>
      </c>
    </row>
    <row r="2854" spans="21:27" x14ac:dyDescent="0.25">
      <c r="U2854" s="37">
        <v>44521</v>
      </c>
      <c r="V2854" s="10">
        <v>4</v>
      </c>
      <c r="W2854" s="10">
        <v>0</v>
      </c>
      <c r="X2854" s="10">
        <v>4</v>
      </c>
      <c r="Y2854" s="11">
        <v>0.5</v>
      </c>
      <c r="Z2854" s="11">
        <v>0</v>
      </c>
      <c r="AA2854" s="11">
        <v>0.5</v>
      </c>
    </row>
    <row r="2855" spans="21:27" x14ac:dyDescent="0.25">
      <c r="U2855" s="37">
        <v>44528</v>
      </c>
      <c r="V2855" s="10">
        <v>7</v>
      </c>
      <c r="W2855" s="10">
        <v>0</v>
      </c>
      <c r="X2855" s="10">
        <v>1</v>
      </c>
      <c r="Y2855" s="11">
        <v>0.875</v>
      </c>
      <c r="Z2855" s="11">
        <v>0</v>
      </c>
      <c r="AA2855" s="11">
        <v>0.125</v>
      </c>
    </row>
    <row r="2856" spans="21:27" x14ac:dyDescent="0.25">
      <c r="U2856" s="37">
        <v>44535</v>
      </c>
      <c r="V2856" s="10">
        <v>1</v>
      </c>
      <c r="W2856" s="10">
        <v>0</v>
      </c>
      <c r="X2856" s="10">
        <v>7</v>
      </c>
      <c r="Y2856" s="11">
        <v>0.125</v>
      </c>
      <c r="Z2856" s="11">
        <v>0</v>
      </c>
      <c r="AA2856" s="11">
        <v>0.875</v>
      </c>
    </row>
    <row r="2857" spans="21:27" x14ac:dyDescent="0.25">
      <c r="U2857" s="37">
        <v>44542</v>
      </c>
      <c r="V2857" s="10">
        <v>6</v>
      </c>
      <c r="W2857" s="10">
        <v>1</v>
      </c>
      <c r="X2857" s="10">
        <v>10</v>
      </c>
      <c r="Y2857" s="11">
        <v>0.35294117647058826</v>
      </c>
      <c r="Z2857" s="11">
        <v>5.8823529411764705E-2</v>
      </c>
      <c r="AA2857" s="11">
        <v>0.58823529411764708</v>
      </c>
    </row>
    <row r="2858" spans="21:27" x14ac:dyDescent="0.25">
      <c r="U2858" s="37">
        <v>44549</v>
      </c>
      <c r="V2858" s="10">
        <v>1</v>
      </c>
      <c r="W2858" s="10">
        <v>1</v>
      </c>
      <c r="X2858" s="10">
        <v>2</v>
      </c>
      <c r="Y2858" s="11">
        <v>0.25</v>
      </c>
      <c r="Z2858" s="11">
        <v>0.25</v>
      </c>
      <c r="AA2858" s="11">
        <v>0.5</v>
      </c>
    </row>
    <row r="2859" spans="21:27" x14ac:dyDescent="0.25">
      <c r="U2859" s="37">
        <v>44555</v>
      </c>
      <c r="V2859" s="10">
        <v>3</v>
      </c>
      <c r="W2859" s="10">
        <v>4</v>
      </c>
      <c r="X2859" s="10">
        <v>9</v>
      </c>
      <c r="Y2859" s="11">
        <v>0.1875</v>
      </c>
      <c r="Z2859" s="11">
        <v>0.25</v>
      </c>
      <c r="AA2859" s="11">
        <v>0.5625</v>
      </c>
    </row>
    <row r="2860" spans="21:27" x14ac:dyDescent="0.25">
      <c r="U2860" s="37">
        <v>44556</v>
      </c>
      <c r="V2860" s="10">
        <v>4</v>
      </c>
      <c r="W2860" s="10">
        <v>2</v>
      </c>
      <c r="X2860" s="10">
        <v>3</v>
      </c>
      <c r="Y2860" s="11">
        <v>0.44444444444444442</v>
      </c>
      <c r="Z2860" s="11">
        <v>0.22222222222222221</v>
      </c>
      <c r="AA2860" s="11">
        <v>0.33333333333333331</v>
      </c>
    </row>
    <row r="2861" spans="21:27" x14ac:dyDescent="0.25">
      <c r="U2861" s="37">
        <v>44563</v>
      </c>
      <c r="V2861" s="10">
        <v>2</v>
      </c>
      <c r="W2861" s="10">
        <v>4</v>
      </c>
      <c r="X2861" s="10">
        <v>2</v>
      </c>
      <c r="Y2861" s="11">
        <v>0.25</v>
      </c>
      <c r="Z2861" s="11">
        <v>0.5</v>
      </c>
      <c r="AA2861" s="11">
        <v>0.25</v>
      </c>
    </row>
    <row r="2862" spans="21:27" x14ac:dyDescent="0.25">
      <c r="U2862" s="37">
        <v>44570</v>
      </c>
      <c r="V2862" s="10">
        <v>5</v>
      </c>
      <c r="W2862" s="10">
        <v>3</v>
      </c>
      <c r="X2862" s="10">
        <v>5</v>
      </c>
      <c r="Y2862" s="11">
        <v>0.38461538461538464</v>
      </c>
      <c r="Z2862" s="11">
        <v>0.23076923076923078</v>
      </c>
      <c r="AA2862" s="11">
        <v>0.38461538461538464</v>
      </c>
    </row>
    <row r="2863" spans="21:27" x14ac:dyDescent="0.25">
      <c r="U2863" s="37">
        <v>44577</v>
      </c>
      <c r="V2863" s="10">
        <v>3</v>
      </c>
      <c r="W2863" s="10">
        <v>4</v>
      </c>
      <c r="X2863" s="10">
        <v>12</v>
      </c>
      <c r="Y2863" s="11">
        <v>0.15789473684210525</v>
      </c>
      <c r="Z2863" s="11">
        <v>0.21052631578947367</v>
      </c>
      <c r="AA2863" s="11">
        <v>0.63157894736842102</v>
      </c>
    </row>
    <row r="2864" spans="21:27" x14ac:dyDescent="0.25">
      <c r="U2864" s="37">
        <v>44584</v>
      </c>
      <c r="V2864" s="10">
        <v>8</v>
      </c>
      <c r="W2864" s="10">
        <v>5</v>
      </c>
      <c r="X2864" s="10">
        <v>7</v>
      </c>
      <c r="Y2864" s="11">
        <v>0.4</v>
      </c>
      <c r="Z2864" s="11">
        <v>0.25</v>
      </c>
      <c r="AA2864" s="11">
        <v>0.35</v>
      </c>
    </row>
    <row r="2865" spans="21:27" x14ac:dyDescent="0.25">
      <c r="U2865" s="37">
        <v>44591</v>
      </c>
      <c r="V2865" s="10">
        <v>8</v>
      </c>
      <c r="W2865" s="10">
        <v>2</v>
      </c>
      <c r="X2865" s="10">
        <v>5</v>
      </c>
      <c r="Y2865" s="11">
        <v>0.53333333333333333</v>
      </c>
      <c r="Z2865" s="11">
        <v>0.13333333333333333</v>
      </c>
      <c r="AA2865" s="11">
        <v>0.33333333333333331</v>
      </c>
    </row>
    <row r="2866" spans="21:27" x14ac:dyDescent="0.25">
      <c r="U2866" s="37">
        <v>44598</v>
      </c>
      <c r="V2866" s="10">
        <v>4</v>
      </c>
      <c r="W2866" s="10">
        <v>4</v>
      </c>
      <c r="X2866" s="10">
        <v>5</v>
      </c>
      <c r="Y2866" s="11">
        <v>0.30769230769230771</v>
      </c>
      <c r="Z2866" s="11">
        <v>0.30769230769230771</v>
      </c>
      <c r="AA2866" s="11">
        <v>0.38461538461538464</v>
      </c>
    </row>
    <row r="2867" spans="21:27" x14ac:dyDescent="0.25">
      <c r="U2867" s="37">
        <v>44605</v>
      </c>
      <c r="V2867" s="10">
        <v>10</v>
      </c>
      <c r="W2867" s="10">
        <v>9</v>
      </c>
      <c r="X2867" s="10">
        <v>15</v>
      </c>
      <c r="Y2867" s="11">
        <v>0.29411764705882354</v>
      </c>
      <c r="Z2867" s="11">
        <v>0.26470588235294118</v>
      </c>
      <c r="AA2867" s="11">
        <v>0.44117647058823528</v>
      </c>
    </row>
    <row r="2868" spans="21:27" x14ac:dyDescent="0.25">
      <c r="U2868" s="37">
        <v>44612</v>
      </c>
      <c r="V2868" s="10">
        <v>6</v>
      </c>
      <c r="W2868" s="10">
        <v>0</v>
      </c>
      <c r="X2868" s="10">
        <v>3</v>
      </c>
      <c r="Y2868" s="11">
        <v>0.66666666666666663</v>
      </c>
      <c r="Z2868" s="11">
        <v>0</v>
      </c>
      <c r="AA2868" s="11">
        <v>0.33333333333333331</v>
      </c>
    </row>
    <row r="2869" spans="21:27" x14ac:dyDescent="0.25">
      <c r="U2869" s="37">
        <v>44619</v>
      </c>
      <c r="V2869" s="10">
        <v>1</v>
      </c>
      <c r="W2869" s="10">
        <v>1</v>
      </c>
      <c r="X2869" s="10">
        <v>1</v>
      </c>
      <c r="Y2869" s="11">
        <v>0.33333333333333331</v>
      </c>
      <c r="Z2869" s="11">
        <v>0.33333333333333331</v>
      </c>
      <c r="AA2869" s="11">
        <v>0.33333333333333331</v>
      </c>
    </row>
    <row r="2870" spans="21:27" x14ac:dyDescent="0.25">
      <c r="U2870" s="37">
        <v>44626</v>
      </c>
      <c r="V2870" s="10">
        <v>6</v>
      </c>
      <c r="W2870" s="10">
        <v>3</v>
      </c>
      <c r="X2870" s="10">
        <v>3</v>
      </c>
      <c r="Y2870" s="11">
        <v>0.5</v>
      </c>
      <c r="Z2870" s="11">
        <v>0.25</v>
      </c>
      <c r="AA2870" s="11">
        <v>0.25</v>
      </c>
    </row>
    <row r="2871" spans="21:27" x14ac:dyDescent="0.25">
      <c r="U2871" s="37">
        <v>44633</v>
      </c>
      <c r="V2871" s="10">
        <v>5</v>
      </c>
      <c r="W2871" s="10">
        <v>2</v>
      </c>
      <c r="X2871" s="10">
        <v>3</v>
      </c>
      <c r="Y2871" s="11">
        <v>0.5</v>
      </c>
      <c r="Z2871" s="11">
        <v>0.2</v>
      </c>
      <c r="AA2871" s="11">
        <v>0.3</v>
      </c>
    </row>
    <row r="2872" spans="21:27" x14ac:dyDescent="0.25">
      <c r="U2872" s="37">
        <v>44640</v>
      </c>
      <c r="V2872" s="10">
        <v>7</v>
      </c>
      <c r="W2872" s="10">
        <v>11</v>
      </c>
      <c r="X2872" s="10">
        <v>17</v>
      </c>
      <c r="Y2872" s="11">
        <v>0.2</v>
      </c>
      <c r="Z2872" s="11">
        <v>0.31428571428571428</v>
      </c>
      <c r="AA2872" s="11">
        <v>0.48571428571428571</v>
      </c>
    </row>
    <row r="2873" spans="21:27" x14ac:dyDescent="0.25">
      <c r="U2873" s="37">
        <v>44647</v>
      </c>
      <c r="V2873" s="10">
        <v>2</v>
      </c>
      <c r="W2873" s="10">
        <v>2</v>
      </c>
      <c r="X2873" s="10">
        <v>1</v>
      </c>
      <c r="Y2873" s="11">
        <v>0.4</v>
      </c>
      <c r="Z2873" s="11">
        <v>0.4</v>
      </c>
      <c r="AA2873" s="11">
        <v>0.2</v>
      </c>
    </row>
    <row r="2874" spans="21:27" x14ac:dyDescent="0.25">
      <c r="U2874" s="37">
        <v>44654</v>
      </c>
      <c r="V2874" s="10">
        <v>9</v>
      </c>
      <c r="W2874" s="10">
        <v>2</v>
      </c>
      <c r="X2874" s="10">
        <v>6</v>
      </c>
      <c r="Y2874" s="11">
        <v>0.52941176470588236</v>
      </c>
      <c r="Z2874" s="11">
        <v>0.11764705882352941</v>
      </c>
      <c r="AA2874" s="11">
        <v>0.35294117647058826</v>
      </c>
    </row>
    <row r="2875" spans="21:27" x14ac:dyDescent="0.25">
      <c r="U2875" s="37">
        <v>44661</v>
      </c>
      <c r="V2875" s="10">
        <v>3</v>
      </c>
      <c r="W2875" s="10">
        <v>2</v>
      </c>
      <c r="X2875" s="10">
        <v>8</v>
      </c>
      <c r="Y2875" s="11">
        <v>0.23076923076923078</v>
      </c>
      <c r="Z2875" s="11">
        <v>0.15384615384615385</v>
      </c>
      <c r="AA2875" s="11">
        <v>0.61538461538461542</v>
      </c>
    </row>
    <row r="2876" spans="21:27" x14ac:dyDescent="0.25">
      <c r="U2876" s="37">
        <v>44668</v>
      </c>
      <c r="V2876" s="10">
        <v>6</v>
      </c>
      <c r="W2876" s="10">
        <v>6</v>
      </c>
      <c r="X2876" s="10">
        <v>7</v>
      </c>
      <c r="Y2876" s="11">
        <v>0.31578947368421051</v>
      </c>
      <c r="Z2876" s="11">
        <v>0.31578947368421051</v>
      </c>
      <c r="AA2876" s="11">
        <v>0.36842105263157893</v>
      </c>
    </row>
    <row r="2877" spans="21:27" x14ac:dyDescent="0.25">
      <c r="U2877" s="37">
        <v>44675</v>
      </c>
      <c r="V2877" s="10">
        <v>1</v>
      </c>
      <c r="W2877" s="10">
        <v>1</v>
      </c>
      <c r="X2877" s="10">
        <v>3</v>
      </c>
      <c r="Y2877" s="11">
        <v>0.2</v>
      </c>
      <c r="Z2877" s="11">
        <v>0.2</v>
      </c>
      <c r="AA2877" s="11">
        <v>0.6</v>
      </c>
    </row>
    <row r="2878" spans="21:27" x14ac:dyDescent="0.25">
      <c r="U2878" s="37">
        <v>44682</v>
      </c>
      <c r="V2878" s="10">
        <v>9</v>
      </c>
      <c r="W2878" s="10">
        <v>1</v>
      </c>
      <c r="X2878" s="10">
        <v>5</v>
      </c>
      <c r="Y2878" s="11">
        <v>0.6</v>
      </c>
      <c r="Z2878" s="11">
        <v>6.6666666666666666E-2</v>
      </c>
      <c r="AA2878" s="11">
        <v>0.33333333333333331</v>
      </c>
    </row>
    <row r="2879" spans="21:27" x14ac:dyDescent="0.25">
      <c r="U2879" s="37">
        <v>44689</v>
      </c>
      <c r="V2879" s="10">
        <v>1</v>
      </c>
      <c r="W2879" s="10">
        <v>2</v>
      </c>
      <c r="X2879" s="10">
        <v>5</v>
      </c>
      <c r="Y2879" s="11">
        <v>0.125</v>
      </c>
      <c r="Z2879" s="11">
        <v>0.25</v>
      </c>
      <c r="AA2879" s="11">
        <v>0.625</v>
      </c>
    </row>
    <row r="2880" spans="21:27" x14ac:dyDescent="0.25">
      <c r="U2880" s="37">
        <v>44696</v>
      </c>
      <c r="V2880" s="10">
        <v>11</v>
      </c>
      <c r="W2880" s="10">
        <v>6</v>
      </c>
      <c r="X2880" s="10">
        <v>8</v>
      </c>
      <c r="Y2880" s="11">
        <v>0.44</v>
      </c>
      <c r="Z2880" s="11">
        <v>0.24</v>
      </c>
      <c r="AA2880" s="11">
        <v>0.32</v>
      </c>
    </row>
    <row r="2881" spans="21:27" x14ac:dyDescent="0.25">
      <c r="U2881" s="37">
        <v>44703</v>
      </c>
      <c r="V2881" s="10">
        <v>10</v>
      </c>
      <c r="W2881" s="10">
        <v>3</v>
      </c>
      <c r="X2881" s="10">
        <v>6</v>
      </c>
      <c r="Y2881" s="11">
        <v>0.52631578947368418</v>
      </c>
      <c r="Z2881" s="11">
        <v>0.15789473684210525</v>
      </c>
      <c r="AA2881" s="11">
        <v>0.31578947368421051</v>
      </c>
    </row>
    <row r="2882" spans="21:27" x14ac:dyDescent="0.25">
      <c r="U2882" s="37">
        <v>44707</v>
      </c>
      <c r="V2882" s="10">
        <v>8</v>
      </c>
      <c r="W2882" s="10">
        <v>6</v>
      </c>
      <c r="X2882" s="10">
        <v>11</v>
      </c>
      <c r="Y2882" s="11">
        <v>0.32</v>
      </c>
      <c r="Z2882" s="11">
        <v>0.24</v>
      </c>
      <c r="AA2882" s="11">
        <v>0.44</v>
      </c>
    </row>
    <row r="2883" spans="21:27" x14ac:dyDescent="0.25">
      <c r="U2883" s="37">
        <v>44710</v>
      </c>
      <c r="V2883" s="10">
        <v>9</v>
      </c>
      <c r="W2883" s="10">
        <v>2</v>
      </c>
      <c r="X2883" s="10">
        <v>7</v>
      </c>
      <c r="Y2883" s="11">
        <v>0.5</v>
      </c>
      <c r="Z2883" s="11">
        <v>0.1111111111111111</v>
      </c>
      <c r="AA2883" s="11">
        <v>0.3888888888888889</v>
      </c>
    </row>
    <row r="2884" spans="21:27" x14ac:dyDescent="0.25">
      <c r="U2884" s="37">
        <v>44717</v>
      </c>
      <c r="V2884" s="10">
        <v>8</v>
      </c>
      <c r="W2884" s="10">
        <v>3</v>
      </c>
      <c r="X2884" s="10">
        <v>11</v>
      </c>
      <c r="Y2884" s="11">
        <v>0.36363636363636365</v>
      </c>
      <c r="Z2884" s="11">
        <v>0.13636363636363635</v>
      </c>
      <c r="AA2884" s="11">
        <v>0.5</v>
      </c>
    </row>
    <row r="2885" spans="21:27" x14ac:dyDescent="0.25">
      <c r="U2885" s="37">
        <v>44724</v>
      </c>
      <c r="V2885" s="10">
        <v>13</v>
      </c>
      <c r="W2885" s="10">
        <v>9</v>
      </c>
      <c r="X2885" s="10">
        <v>11</v>
      </c>
      <c r="Y2885" s="11">
        <v>0.39393939393939392</v>
      </c>
      <c r="Z2885" s="11">
        <v>0.27272727272727271</v>
      </c>
      <c r="AA2885" s="11">
        <v>0.33333333333333331</v>
      </c>
    </row>
    <row r="2886" spans="21:27" x14ac:dyDescent="0.25">
      <c r="U2886" s="37">
        <v>44731</v>
      </c>
      <c r="V2886" s="10">
        <v>8</v>
      </c>
      <c r="W2886" s="10">
        <v>2</v>
      </c>
      <c r="X2886" s="10">
        <v>14</v>
      </c>
      <c r="Y2886" s="11">
        <v>0.33333333333333331</v>
      </c>
      <c r="Z2886" s="11">
        <v>8.3333333333333329E-2</v>
      </c>
      <c r="AA2886" s="11">
        <v>0.58333333333333337</v>
      </c>
    </row>
    <row r="2887" spans="21:27" x14ac:dyDescent="0.25">
      <c r="U2887" s="37">
        <v>44738</v>
      </c>
      <c r="V2887" s="10">
        <v>6</v>
      </c>
      <c r="W2887" s="10">
        <v>5</v>
      </c>
      <c r="X2887" s="10">
        <v>11</v>
      </c>
      <c r="Y2887" s="11">
        <v>0.27272727272727271</v>
      </c>
      <c r="Z2887" s="11">
        <v>0.22727272727272727</v>
      </c>
      <c r="AA2887" s="11">
        <v>0.5</v>
      </c>
    </row>
    <row r="2888" spans="21:27" x14ac:dyDescent="0.25">
      <c r="U2888" s="37">
        <v>44745</v>
      </c>
      <c r="V2888" s="10">
        <v>6</v>
      </c>
      <c r="W2888" s="10">
        <v>9</v>
      </c>
      <c r="X2888" s="10">
        <v>3</v>
      </c>
      <c r="Y2888" s="11">
        <v>0.33333333333333331</v>
      </c>
      <c r="Z2888" s="11">
        <v>0.5</v>
      </c>
      <c r="AA2888" s="11">
        <v>0.16666666666666666</v>
      </c>
    </row>
    <row r="2889" spans="21:27" x14ac:dyDescent="0.25">
      <c r="U2889" s="37">
        <v>44752</v>
      </c>
      <c r="V2889" s="10">
        <v>4</v>
      </c>
      <c r="W2889" s="10">
        <v>0</v>
      </c>
      <c r="X2889" s="10">
        <v>3</v>
      </c>
      <c r="Y2889" s="11">
        <v>0.5714285714285714</v>
      </c>
      <c r="Z2889" s="11">
        <v>0</v>
      </c>
      <c r="AA2889" s="11">
        <v>0.42857142857142855</v>
      </c>
    </row>
    <row r="2890" spans="21:27" x14ac:dyDescent="0.25">
      <c r="U2890" s="37">
        <v>44759</v>
      </c>
      <c r="V2890" s="10">
        <v>2</v>
      </c>
      <c r="W2890" s="10">
        <v>4</v>
      </c>
      <c r="X2890" s="10">
        <v>3</v>
      </c>
      <c r="Y2890" s="11">
        <v>0.22222222222222221</v>
      </c>
      <c r="Z2890" s="11">
        <v>0.44444444444444442</v>
      </c>
      <c r="AA2890" s="11">
        <v>0.33333333333333331</v>
      </c>
    </row>
    <row r="2891" spans="21:27" x14ac:dyDescent="0.25">
      <c r="U2891" s="37">
        <v>44766</v>
      </c>
      <c r="V2891" s="10">
        <v>12</v>
      </c>
      <c r="W2891" s="10">
        <v>5</v>
      </c>
      <c r="X2891" s="10">
        <v>4</v>
      </c>
      <c r="Y2891" s="11">
        <v>0.5714285714285714</v>
      </c>
      <c r="Z2891" s="11">
        <v>0.23809523809523808</v>
      </c>
      <c r="AA2891" s="11">
        <v>0.19047619047619047</v>
      </c>
    </row>
    <row r="2892" spans="21:27" x14ac:dyDescent="0.25">
      <c r="U2892" s="37">
        <v>44773</v>
      </c>
      <c r="V2892" s="10">
        <v>3</v>
      </c>
      <c r="W2892" s="10">
        <v>0</v>
      </c>
      <c r="X2892" s="10">
        <v>0</v>
      </c>
      <c r="Y2892" s="11">
        <v>1</v>
      </c>
      <c r="Z2892" s="11">
        <v>0</v>
      </c>
      <c r="AA2892" s="11">
        <v>0</v>
      </c>
    </row>
    <row r="2893" spans="21:27" x14ac:dyDescent="0.25">
      <c r="U2893" s="37">
        <v>44780</v>
      </c>
      <c r="V2893" s="10">
        <v>1</v>
      </c>
      <c r="W2893" s="10">
        <v>3</v>
      </c>
      <c r="X2893" s="10">
        <v>8</v>
      </c>
      <c r="Y2893" s="11">
        <v>8.3333333333333329E-2</v>
      </c>
      <c r="Z2893" s="11">
        <v>0.25</v>
      </c>
      <c r="AA2893" s="11">
        <v>0.66666666666666663</v>
      </c>
    </row>
    <row r="2894" spans="21:27" x14ac:dyDescent="0.25">
      <c r="U2894" s="37">
        <v>44787</v>
      </c>
      <c r="V2894" s="10">
        <v>6</v>
      </c>
      <c r="W2894" s="10">
        <v>3</v>
      </c>
      <c r="X2894" s="10">
        <v>2</v>
      </c>
      <c r="Y2894" s="11">
        <v>0.54545454545454541</v>
      </c>
      <c r="Z2894" s="11">
        <v>0.27272727272727271</v>
      </c>
      <c r="AA2894" s="11">
        <v>0.18181818181818182</v>
      </c>
    </row>
    <row r="2895" spans="21:27" x14ac:dyDescent="0.25">
      <c r="U2895" s="37">
        <v>44788</v>
      </c>
      <c r="V2895" s="10">
        <v>2</v>
      </c>
      <c r="W2895" s="10">
        <v>6</v>
      </c>
      <c r="X2895" s="10">
        <v>12</v>
      </c>
      <c r="Y2895" s="11">
        <v>0.1</v>
      </c>
      <c r="Z2895" s="11">
        <v>0.3</v>
      </c>
      <c r="AA2895" s="11">
        <v>0.6</v>
      </c>
    </row>
    <row r="2896" spans="21:27" x14ac:dyDescent="0.25">
      <c r="U2896" s="37">
        <v>44794</v>
      </c>
      <c r="V2896" s="10">
        <v>12</v>
      </c>
      <c r="W2896" s="10">
        <v>7</v>
      </c>
      <c r="X2896" s="10">
        <v>21</v>
      </c>
      <c r="Y2896" s="11">
        <v>0.3</v>
      </c>
      <c r="Z2896" s="11">
        <v>0.17499999999999999</v>
      </c>
      <c r="AA2896" s="11">
        <v>0.52500000000000002</v>
      </c>
    </row>
    <row r="2897" spans="21:27" x14ac:dyDescent="0.25">
      <c r="U2897" s="37">
        <v>44801</v>
      </c>
      <c r="V2897" s="10">
        <v>3</v>
      </c>
      <c r="W2897" s="10">
        <v>1</v>
      </c>
      <c r="X2897" s="10">
        <v>5</v>
      </c>
      <c r="Y2897" s="11">
        <v>0.33333333333333331</v>
      </c>
      <c r="Z2897" s="11">
        <v>0.1111111111111111</v>
      </c>
      <c r="AA2897" s="11">
        <v>0.55555555555555558</v>
      </c>
    </row>
    <row r="2898" spans="21:27" x14ac:dyDescent="0.25">
      <c r="U2898" s="37">
        <v>44808</v>
      </c>
      <c r="V2898" s="10">
        <v>7</v>
      </c>
      <c r="W2898" s="10">
        <v>1</v>
      </c>
      <c r="X2898" s="10">
        <v>5</v>
      </c>
      <c r="Y2898" s="11">
        <v>0.53846153846153844</v>
      </c>
      <c r="Z2898" s="11">
        <v>7.6923076923076927E-2</v>
      </c>
      <c r="AA2898" s="11">
        <v>0.38461538461538464</v>
      </c>
    </row>
    <row r="2899" spans="21:27" x14ac:dyDescent="0.25">
      <c r="U2899" s="37">
        <v>44815</v>
      </c>
      <c r="V2899" s="10">
        <v>0</v>
      </c>
      <c r="W2899" s="10">
        <v>1</v>
      </c>
      <c r="X2899" s="10">
        <v>2</v>
      </c>
      <c r="Y2899" s="11">
        <v>0</v>
      </c>
      <c r="Z2899" s="11">
        <v>0.33333333333333331</v>
      </c>
      <c r="AA2899" s="11">
        <v>0.66666666666666663</v>
      </c>
    </row>
    <row r="2900" spans="21:27" x14ac:dyDescent="0.25">
      <c r="U2900" s="37">
        <v>44822</v>
      </c>
      <c r="V2900" s="10">
        <v>5</v>
      </c>
      <c r="W2900" s="10">
        <v>2</v>
      </c>
      <c r="X2900" s="10">
        <v>6</v>
      </c>
      <c r="Y2900" s="11">
        <v>0.38461538461538464</v>
      </c>
      <c r="Z2900" s="11">
        <v>0.15384615384615385</v>
      </c>
      <c r="AA2900" s="11">
        <v>0.46153846153846156</v>
      </c>
    </row>
    <row r="2901" spans="21:27" x14ac:dyDescent="0.25">
      <c r="U2901" s="37">
        <v>44829</v>
      </c>
      <c r="V2901" s="10">
        <v>3</v>
      </c>
      <c r="W2901" s="10">
        <v>0</v>
      </c>
      <c r="X2901" s="10">
        <v>4</v>
      </c>
      <c r="Y2901" s="11">
        <v>0.42857142857142855</v>
      </c>
      <c r="Z2901" s="11">
        <v>0</v>
      </c>
      <c r="AA2901" s="11">
        <v>0.5714285714285714</v>
      </c>
    </row>
    <row r="2902" spans="21:27" x14ac:dyDescent="0.25">
      <c r="U2902" s="37">
        <v>44836</v>
      </c>
      <c r="V2902" s="10">
        <v>3</v>
      </c>
      <c r="W2902" s="10">
        <v>2</v>
      </c>
      <c r="X2902" s="10">
        <v>5</v>
      </c>
      <c r="Y2902" s="11">
        <v>0.3</v>
      </c>
      <c r="Z2902" s="11">
        <v>0.2</v>
      </c>
      <c r="AA2902" s="11">
        <v>0.5</v>
      </c>
    </row>
    <row r="2903" spans="21:27" x14ac:dyDescent="0.25">
      <c r="U2903" s="37">
        <v>44843</v>
      </c>
      <c r="V2903" s="10">
        <v>3</v>
      </c>
      <c r="W2903" s="10">
        <v>5</v>
      </c>
      <c r="X2903" s="10">
        <v>1</v>
      </c>
      <c r="Y2903" s="11">
        <v>0.33333333333333331</v>
      </c>
      <c r="Z2903" s="11">
        <v>0.55555555555555558</v>
      </c>
      <c r="AA2903" s="11">
        <v>0.1111111111111111</v>
      </c>
    </row>
    <row r="2904" spans="21:27" x14ac:dyDescent="0.25">
      <c r="U2904" s="37">
        <v>44850</v>
      </c>
      <c r="V2904" s="10">
        <v>3</v>
      </c>
      <c r="W2904" s="10">
        <v>3</v>
      </c>
      <c r="X2904" s="10">
        <v>5</v>
      </c>
      <c r="Y2904" s="11">
        <v>0.27272727272727271</v>
      </c>
      <c r="Z2904" s="11">
        <v>0.27272727272727271</v>
      </c>
      <c r="AA2904" s="11">
        <v>0.45454545454545453</v>
      </c>
    </row>
    <row r="2905" spans="21:27" x14ac:dyDescent="0.25">
      <c r="U2905" s="37">
        <v>44857</v>
      </c>
      <c r="V2905" s="10">
        <v>13</v>
      </c>
      <c r="W2905" s="10">
        <v>8</v>
      </c>
      <c r="X2905" s="10">
        <v>8</v>
      </c>
      <c r="Y2905" s="11">
        <v>0.44827586206896552</v>
      </c>
      <c r="Z2905" s="11">
        <v>0.27586206896551724</v>
      </c>
      <c r="AA2905" s="11">
        <v>0.27586206896551724</v>
      </c>
    </row>
    <row r="2906" spans="21:27" x14ac:dyDescent="0.25">
      <c r="U2906" s="37">
        <v>44864</v>
      </c>
      <c r="V2906" s="10">
        <v>1</v>
      </c>
      <c r="W2906" s="10">
        <v>2</v>
      </c>
      <c r="X2906" s="10">
        <v>12</v>
      </c>
      <c r="Y2906" s="11">
        <v>6.6666666666666666E-2</v>
      </c>
      <c r="Z2906" s="11">
        <v>0.13333333333333333</v>
      </c>
      <c r="AA2906" s="11">
        <v>0.8</v>
      </c>
    </row>
    <row r="2907" spans="21:27" x14ac:dyDescent="0.25">
      <c r="U2907" s="37">
        <v>44866</v>
      </c>
      <c r="V2907" s="10">
        <v>0</v>
      </c>
      <c r="W2907" s="10">
        <v>4</v>
      </c>
      <c r="X2907" s="10">
        <v>6</v>
      </c>
      <c r="Y2907" s="11">
        <v>0</v>
      </c>
      <c r="Z2907" s="11">
        <v>0.4</v>
      </c>
      <c r="AA2907" s="11">
        <v>0.6</v>
      </c>
    </row>
    <row r="2908" spans="21:27" x14ac:dyDescent="0.25">
      <c r="U2908" s="37">
        <v>44871</v>
      </c>
      <c r="V2908" s="10">
        <v>8</v>
      </c>
      <c r="W2908" s="10">
        <v>3</v>
      </c>
      <c r="X2908" s="10">
        <v>10</v>
      </c>
      <c r="Y2908" s="11">
        <v>0.38095238095238093</v>
      </c>
      <c r="Z2908" s="11">
        <v>0.14285714285714285</v>
      </c>
      <c r="AA2908" s="11">
        <v>0.47619047619047616</v>
      </c>
    </row>
    <row r="2909" spans="21:27" x14ac:dyDescent="0.25">
      <c r="U2909" s="37">
        <v>44878</v>
      </c>
      <c r="V2909" s="10">
        <v>2</v>
      </c>
      <c r="W2909" s="10">
        <v>2</v>
      </c>
      <c r="X2909" s="10">
        <v>4</v>
      </c>
      <c r="Y2909" s="11">
        <v>0.25</v>
      </c>
      <c r="Z2909" s="11">
        <v>0.25</v>
      </c>
      <c r="AA2909" s="11">
        <v>0.5</v>
      </c>
    </row>
    <row r="2910" spans="21:27" x14ac:dyDescent="0.25">
      <c r="U2910" s="37">
        <v>44885</v>
      </c>
      <c r="V2910" s="10">
        <v>7</v>
      </c>
      <c r="W2910" s="10">
        <v>5</v>
      </c>
      <c r="X2910" s="10">
        <v>14</v>
      </c>
      <c r="Y2910" s="11">
        <v>0.26923076923076922</v>
      </c>
      <c r="Z2910" s="11">
        <v>0.19230769230769232</v>
      </c>
      <c r="AA2910" s="11">
        <v>0.53846153846153844</v>
      </c>
    </row>
  </sheetData>
  <mergeCells count="4">
    <mergeCell ref="Y8:AA8"/>
    <mergeCell ref="V8:X8"/>
    <mergeCell ref="B88:D88"/>
    <mergeCell ref="E88:G88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7B55B-2400-4147-9397-C3AA207881BB}">
  <dimension ref="A1:O121"/>
  <sheetViews>
    <sheetView tabSelected="1" zoomScale="130" zoomScaleNormal="130" workbookViewId="0">
      <selection activeCell="J15" sqref="J15"/>
    </sheetView>
  </sheetViews>
  <sheetFormatPr baseColWidth="10" defaultRowHeight="15" x14ac:dyDescent="0.25"/>
  <cols>
    <col min="1" max="1" width="17.42578125" style="8" bestFit="1" customWidth="1"/>
    <col min="2" max="13" width="12.140625" style="10" customWidth="1"/>
    <col min="14" max="15" width="8" style="8" customWidth="1"/>
    <col min="16" max="16384" width="11.42578125" style="8"/>
  </cols>
  <sheetData>
    <row r="1" spans="1:15" ht="18.75" x14ac:dyDescent="0.3">
      <c r="B1" s="91" t="str">
        <f>Sommaire!B55</f>
        <v>Onglet "Verbes"</v>
      </c>
    </row>
    <row r="2" spans="1:15" ht="18.75" x14ac:dyDescent="0.3">
      <c r="B2" s="91"/>
    </row>
    <row r="4" spans="1:15" ht="18.75" x14ac:dyDescent="0.3">
      <c r="A4" s="6"/>
      <c r="B4" s="40" t="s">
        <v>454</v>
      </c>
      <c r="C4" s="7"/>
      <c r="D4" s="7"/>
      <c r="E4" s="7"/>
      <c r="F4" s="7"/>
      <c r="G4" s="7"/>
      <c r="H4" s="40"/>
      <c r="I4" s="7"/>
      <c r="J4" s="7"/>
      <c r="K4" s="7"/>
      <c r="L4" s="7"/>
      <c r="M4" s="7"/>
      <c r="N4" s="7"/>
      <c r="O4" s="7"/>
    </row>
    <row r="5" spans="1:15" x14ac:dyDescent="0.25">
      <c r="A5" s="27" t="s">
        <v>445</v>
      </c>
    </row>
    <row r="6" spans="1:15" x14ac:dyDescent="0.25">
      <c r="A6" s="27" t="s">
        <v>429</v>
      </c>
    </row>
    <row r="7" spans="1:15" x14ac:dyDescent="0.25">
      <c r="A7" s="27"/>
    </row>
    <row r="8" spans="1:15" x14ac:dyDescent="0.25">
      <c r="B8" s="14" t="s">
        <v>210</v>
      </c>
      <c r="C8" s="14" t="s">
        <v>332</v>
      </c>
      <c r="D8" s="14" t="s">
        <v>339</v>
      </c>
      <c r="E8" s="14" t="s">
        <v>333</v>
      </c>
      <c r="F8" s="89" t="s">
        <v>209</v>
      </c>
      <c r="G8" s="14" t="s">
        <v>362</v>
      </c>
      <c r="H8" s="14" t="s">
        <v>363</v>
      </c>
    </row>
    <row r="9" spans="1:15" x14ac:dyDescent="0.25">
      <c r="A9" s="8" t="s">
        <v>338</v>
      </c>
      <c r="B9" s="11">
        <v>4.4966378017512458E-2</v>
      </c>
      <c r="C9" s="11">
        <v>3.7200917731891187E-2</v>
      </c>
      <c r="D9" s="11">
        <v>4.0790755951552279E-2</v>
      </c>
      <c r="E9" s="11">
        <v>4.4138253152732371E-2</v>
      </c>
      <c r="F9" s="11">
        <v>3.5492457852706299E-2</v>
      </c>
      <c r="G9" s="11">
        <v>2.8729612449498728E-2</v>
      </c>
      <c r="H9" s="11">
        <v>2.813852813852814E-2</v>
      </c>
    </row>
    <row r="10" spans="1:15" x14ac:dyDescent="0.25">
      <c r="A10" s="8" t="s">
        <v>335</v>
      </c>
      <c r="B10" s="11">
        <v>5.1708051998313714E-2</v>
      </c>
      <c r="C10" s="11">
        <v>5.5145853818420187E-2</v>
      </c>
      <c r="D10" s="11">
        <v>3.1045524154253098E-2</v>
      </c>
      <c r="E10" s="11">
        <v>5.6515646893974779E-2</v>
      </c>
      <c r="F10" s="11">
        <v>1.5084294587400177E-2</v>
      </c>
      <c r="G10" s="11">
        <v>4.7134520424958852E-2</v>
      </c>
      <c r="H10" s="11">
        <v>1.7316017316017316E-2</v>
      </c>
    </row>
    <row r="11" spans="1:15" x14ac:dyDescent="0.25">
      <c r="A11" s="8" t="s">
        <v>543</v>
      </c>
      <c r="B11" s="11">
        <v>1.9063975065136112E-2</v>
      </c>
      <c r="C11" s="11">
        <v>1.1471648639790199E-2</v>
      </c>
      <c r="D11" s="11">
        <v>2.1996380342475291E-2</v>
      </c>
      <c r="E11" s="11">
        <v>3.5964502568893039E-2</v>
      </c>
      <c r="F11" s="11">
        <v>4.3478260869565216E-2</v>
      </c>
      <c r="G11" s="11">
        <v>2.9402962741283855E-2</v>
      </c>
      <c r="H11" s="11">
        <v>5.3030303030303032E-2</v>
      </c>
    </row>
    <row r="12" spans="1:15" x14ac:dyDescent="0.25">
      <c r="A12" s="8" t="s">
        <v>336</v>
      </c>
      <c r="B12" s="11">
        <v>0.10128060706165297</v>
      </c>
      <c r="C12" s="11">
        <v>6.0553916748607016E-2</v>
      </c>
      <c r="D12" s="11">
        <v>8.1442294306000279E-2</v>
      </c>
      <c r="E12" s="11">
        <v>6.7258290518449323E-2</v>
      </c>
      <c r="F12" s="11">
        <v>6.0337178349600708E-2</v>
      </c>
      <c r="G12" s="11">
        <v>0.12666467155469099</v>
      </c>
      <c r="H12" s="11">
        <v>6.2770562770562768E-2</v>
      </c>
    </row>
    <row r="13" spans="1:15" x14ac:dyDescent="0.25">
      <c r="A13" s="8" t="s">
        <v>100</v>
      </c>
      <c r="B13" s="11">
        <v>9.3084168987608587E-2</v>
      </c>
      <c r="C13" s="11">
        <v>4.3920026220911179E-2</v>
      </c>
      <c r="D13" s="11">
        <v>6.8077404983989981E-2</v>
      </c>
      <c r="E13" s="11">
        <v>5.0210182157870153E-2</v>
      </c>
      <c r="F13" s="11">
        <v>4.8802129547471165E-2</v>
      </c>
      <c r="G13" s="11">
        <v>7.9679784527906625E-2</v>
      </c>
      <c r="H13" s="11">
        <v>4.8701298701298704E-2</v>
      </c>
    </row>
    <row r="14" spans="1:15" x14ac:dyDescent="0.25">
      <c r="B14" s="11"/>
      <c r="C14" s="11"/>
      <c r="D14" s="11"/>
      <c r="E14" s="11"/>
      <c r="F14" s="11"/>
      <c r="G14" s="11"/>
      <c r="H14" s="11"/>
    </row>
    <row r="15" spans="1:15" x14ac:dyDescent="0.25">
      <c r="A15" s="8" t="s">
        <v>88</v>
      </c>
      <c r="B15" s="11">
        <v>0.19665577033387008</v>
      </c>
      <c r="C15" s="11">
        <v>0.2405768600458866</v>
      </c>
      <c r="D15" s="11">
        <v>0.17611026033690658</v>
      </c>
      <c r="E15" s="11">
        <v>0.14175618869687062</v>
      </c>
      <c r="F15" s="11">
        <v>0.20763087843833186</v>
      </c>
      <c r="G15" s="11">
        <v>0.15599281759688763</v>
      </c>
      <c r="H15" s="11">
        <v>0.16558441558441558</v>
      </c>
    </row>
    <row r="16" spans="1:15" x14ac:dyDescent="0.25">
      <c r="A16" s="8" t="s">
        <v>104</v>
      </c>
      <c r="B16" s="11">
        <v>0.13803672501848691</v>
      </c>
      <c r="C16" s="11">
        <v>0.15027859718125205</v>
      </c>
      <c r="D16" s="11">
        <v>0.1953222887372964</v>
      </c>
      <c r="E16" s="11">
        <v>0.13872022419430172</v>
      </c>
      <c r="F16" s="11">
        <v>0.13664596273291926</v>
      </c>
      <c r="G16" s="11">
        <v>0.16766422265449649</v>
      </c>
      <c r="H16" s="11">
        <v>0.13311688311688311</v>
      </c>
    </row>
    <row r="17" spans="1:15" x14ac:dyDescent="0.25">
      <c r="A17" s="8" t="s">
        <v>89</v>
      </c>
      <c r="B17" s="11">
        <v>0.1615652017664499</v>
      </c>
      <c r="C17" s="11">
        <v>0.2460668633235005</v>
      </c>
      <c r="D17" s="11">
        <v>0.14506473618265348</v>
      </c>
      <c r="E17" s="11">
        <v>0.19243344231667445</v>
      </c>
      <c r="F17" s="11">
        <v>0.11623779946761313</v>
      </c>
      <c r="G17" s="11">
        <v>0.14955858147538531</v>
      </c>
      <c r="H17" s="11">
        <v>0.17424242424242425</v>
      </c>
    </row>
    <row r="18" spans="1:15" x14ac:dyDescent="0.25">
      <c r="A18" s="8" t="s">
        <v>101</v>
      </c>
      <c r="B18" s="11">
        <v>0.11916625776622874</v>
      </c>
      <c r="C18" s="11">
        <v>9.078990494919699E-2</v>
      </c>
      <c r="D18" s="11">
        <v>0.14353334261450648</v>
      </c>
      <c r="E18" s="11">
        <v>0.13568425969173284</v>
      </c>
      <c r="F18" s="11">
        <v>0.18278615794143743</v>
      </c>
      <c r="G18" s="11">
        <v>0.15741433487954512</v>
      </c>
      <c r="H18" s="11">
        <v>0.16233766233766234</v>
      </c>
    </row>
    <row r="19" spans="1:15" x14ac:dyDescent="0.25">
      <c r="A19" s="8" t="s">
        <v>337</v>
      </c>
      <c r="B19" s="11">
        <v>3.7188055039150777E-2</v>
      </c>
      <c r="C19" s="11">
        <v>3.0809570632579483E-2</v>
      </c>
      <c r="D19" s="11">
        <v>4.6637895029931785E-2</v>
      </c>
      <c r="E19" s="11">
        <v>7.8234469873890711E-2</v>
      </c>
      <c r="F19" s="11">
        <v>9.2280390417036381E-2</v>
      </c>
      <c r="G19" s="11">
        <v>2.491396079604968E-2</v>
      </c>
      <c r="H19" s="11">
        <v>0.10822510822510822</v>
      </c>
    </row>
    <row r="20" spans="1:15" x14ac:dyDescent="0.25">
      <c r="A20" s="8" t="s">
        <v>103</v>
      </c>
      <c r="B20" s="11">
        <v>3.7592348148199339E-2</v>
      </c>
      <c r="C20" s="11">
        <v>3.3185840707964605E-2</v>
      </c>
      <c r="D20" s="11">
        <v>4.9979117360434359E-2</v>
      </c>
      <c r="E20" s="11">
        <v>5.9084539934609992E-2</v>
      </c>
      <c r="F20" s="11">
        <v>6.1224489795918366E-2</v>
      </c>
      <c r="G20" s="11">
        <v>3.2844530899296724E-2</v>
      </c>
      <c r="H20" s="11">
        <v>4.6536796536796536E-2</v>
      </c>
    </row>
    <row r="21" spans="1:15" x14ac:dyDescent="0.25">
      <c r="H21" s="12"/>
      <c r="I21" s="12"/>
      <c r="J21" s="12"/>
      <c r="K21" s="12"/>
      <c r="L21" s="12"/>
      <c r="M21" s="12"/>
      <c r="N21" s="90"/>
      <c r="O21" s="90"/>
    </row>
    <row r="22" spans="1:15" x14ac:dyDescent="0.25">
      <c r="H22" s="12"/>
      <c r="I22" s="12"/>
      <c r="J22" s="12"/>
      <c r="K22" s="12"/>
      <c r="L22" s="12"/>
      <c r="M22" s="12"/>
      <c r="N22" s="90"/>
      <c r="O22" s="90"/>
    </row>
    <row r="23" spans="1:15" x14ac:dyDescent="0.25">
      <c r="H23" s="12"/>
      <c r="I23" s="12"/>
      <c r="J23" s="12"/>
      <c r="K23" s="12"/>
      <c r="L23" s="12"/>
      <c r="M23" s="12"/>
      <c r="N23" s="90"/>
      <c r="O23" s="90"/>
    </row>
    <row r="24" spans="1:15" x14ac:dyDescent="0.25">
      <c r="H24" s="12"/>
      <c r="I24" s="12"/>
      <c r="J24" s="12"/>
      <c r="K24" s="12"/>
      <c r="L24" s="12"/>
      <c r="M24" s="12"/>
      <c r="N24" s="90"/>
      <c r="O24" s="90"/>
    </row>
    <row r="28" spans="1:15" ht="18.75" x14ac:dyDescent="0.3">
      <c r="A28" s="6"/>
      <c r="B28" s="40" t="s">
        <v>540</v>
      </c>
      <c r="C28" s="7"/>
      <c r="D28" s="7"/>
      <c r="E28" s="7"/>
      <c r="F28" s="7"/>
      <c r="G28" s="7"/>
      <c r="H28" s="40"/>
      <c r="I28" s="7"/>
      <c r="J28" s="7"/>
      <c r="K28" s="7"/>
      <c r="L28" s="7"/>
      <c r="M28" s="7"/>
      <c r="N28" s="7"/>
      <c r="O28" s="7"/>
    </row>
    <row r="29" spans="1:15" x14ac:dyDescent="0.25">
      <c r="A29" s="8" t="s">
        <v>542</v>
      </c>
    </row>
    <row r="30" spans="1:15" x14ac:dyDescent="0.25">
      <c r="A30" s="27" t="s">
        <v>429</v>
      </c>
      <c r="B30" s="92" t="s">
        <v>541</v>
      </c>
    </row>
    <row r="31" spans="1:15" x14ac:dyDescent="0.25">
      <c r="A31" s="27"/>
      <c r="B31" s="92"/>
    </row>
    <row r="32" spans="1:15" x14ac:dyDescent="0.25">
      <c r="B32" s="93" t="s">
        <v>338</v>
      </c>
      <c r="C32" s="93" t="s">
        <v>468</v>
      </c>
      <c r="D32" s="93" t="s">
        <v>469</v>
      </c>
      <c r="E32" s="93" t="s">
        <v>470</v>
      </c>
      <c r="F32" s="93" t="s">
        <v>100</v>
      </c>
      <c r="G32" s="93" t="s">
        <v>88</v>
      </c>
      <c r="H32" s="93" t="s">
        <v>104</v>
      </c>
      <c r="I32" s="93" t="s">
        <v>89</v>
      </c>
      <c r="J32" s="93" t="s">
        <v>101</v>
      </c>
      <c r="K32" s="93" t="s">
        <v>102</v>
      </c>
    </row>
    <row r="33" spans="1:11" x14ac:dyDescent="0.25">
      <c r="A33" s="8" t="s">
        <v>471</v>
      </c>
      <c r="B33" s="11">
        <v>8.7313930237724949E-2</v>
      </c>
      <c r="C33" s="11">
        <v>4.087980448789158E-2</v>
      </c>
      <c r="D33" s="11">
        <v>9.9977782714952227E-3</v>
      </c>
      <c r="E33" s="11">
        <v>4.5101088646967338E-2</v>
      </c>
      <c r="F33" s="11">
        <v>2.4661186403021552E-2</v>
      </c>
      <c r="G33" s="11">
        <v>0.20706509664518996</v>
      </c>
      <c r="H33" s="11">
        <v>0.14796711841812932</v>
      </c>
      <c r="I33" s="11">
        <v>0.24883359253499224</v>
      </c>
      <c r="J33" s="11">
        <v>0.12019551210842035</v>
      </c>
      <c r="K33" s="11">
        <v>3.2659409020217731E-2</v>
      </c>
    </row>
    <row r="34" spans="1:11" x14ac:dyDescent="0.25">
      <c r="A34" s="8" t="s">
        <v>472</v>
      </c>
      <c r="B34" s="11">
        <v>4.4231918708906158E-2</v>
      </c>
      <c r="C34" s="11">
        <v>3.7358039450089663E-2</v>
      </c>
      <c r="D34" s="11">
        <v>6.8738792588164972E-3</v>
      </c>
      <c r="E34" s="11">
        <v>3.3771667662881054E-2</v>
      </c>
      <c r="F34" s="11">
        <v>2.2115959354453079E-2</v>
      </c>
      <c r="G34" s="11">
        <v>0.17513448894202033</v>
      </c>
      <c r="H34" s="11">
        <v>0.14763897190675435</v>
      </c>
      <c r="I34" s="11">
        <v>0.25313807531380755</v>
      </c>
      <c r="J34" s="11">
        <v>0.19396294082486551</v>
      </c>
      <c r="K34" s="11">
        <v>4.9013747758517634E-2</v>
      </c>
    </row>
    <row r="35" spans="1:11" x14ac:dyDescent="0.25">
      <c r="A35" s="8" t="s">
        <v>473</v>
      </c>
      <c r="B35" s="11">
        <v>6.3066776586974446E-2</v>
      </c>
      <c r="C35" s="11">
        <v>1.9785655399835119E-2</v>
      </c>
      <c r="D35" s="11">
        <v>5.3586150041220115E-3</v>
      </c>
      <c r="E35" s="11">
        <v>5.6059356966199507E-2</v>
      </c>
      <c r="F35" s="11">
        <v>1.6075845012366034E-2</v>
      </c>
      <c r="G35" s="11">
        <v>0.11995053586150041</v>
      </c>
      <c r="H35" s="11">
        <v>0.17930750206100576</v>
      </c>
      <c r="I35" s="11">
        <v>0.20362737015663643</v>
      </c>
      <c r="J35" s="11">
        <v>0.23577906018136852</v>
      </c>
      <c r="K35" s="11">
        <v>4.5342126957955482E-2</v>
      </c>
    </row>
    <row r="36" spans="1:11" x14ac:dyDescent="0.25">
      <c r="A36" s="8" t="s">
        <v>474</v>
      </c>
      <c r="B36" s="11">
        <v>4.9767750497677503E-2</v>
      </c>
      <c r="C36" s="11">
        <v>2.6874585268745851E-2</v>
      </c>
      <c r="D36" s="11">
        <v>6.6357000663570011E-3</v>
      </c>
      <c r="E36" s="11">
        <v>3.5832780358327807E-2</v>
      </c>
      <c r="F36" s="11">
        <v>2.2561380225613801E-2</v>
      </c>
      <c r="G36" s="11">
        <v>0.18978102189781021</v>
      </c>
      <c r="H36" s="11">
        <v>0.18779031187790313</v>
      </c>
      <c r="I36" s="11">
        <v>0.26907763769077636</v>
      </c>
      <c r="J36" s="11">
        <v>0.13636363636363635</v>
      </c>
      <c r="K36" s="11">
        <v>4.7777040477770406E-2</v>
      </c>
    </row>
    <row r="37" spans="1:11" x14ac:dyDescent="0.25">
      <c r="A37" s="8" t="s">
        <v>475</v>
      </c>
      <c r="B37" s="11">
        <v>6.2584118438761771E-2</v>
      </c>
      <c r="C37" s="11">
        <v>4.6433378196500674E-2</v>
      </c>
      <c r="D37" s="11">
        <v>1.9851951547779273E-2</v>
      </c>
      <c r="E37" s="11">
        <v>4.8452220726783311E-2</v>
      </c>
      <c r="F37" s="11">
        <v>4.5087483176312247E-2</v>
      </c>
      <c r="G37" s="11">
        <v>0.13829071332436069</v>
      </c>
      <c r="H37" s="11">
        <v>0.16285329744279947</v>
      </c>
      <c r="I37" s="11">
        <v>0.23990578734858681</v>
      </c>
      <c r="J37" s="11">
        <v>0.12987886944818305</v>
      </c>
      <c r="K37" s="11">
        <v>6.0228802153432029E-2</v>
      </c>
    </row>
    <row r="38" spans="1:11" x14ac:dyDescent="0.25">
      <c r="A38" s="8" t="s">
        <v>476</v>
      </c>
      <c r="B38" s="11">
        <v>3.5672514619883043E-2</v>
      </c>
      <c r="C38" s="11">
        <v>2.046783625730994E-2</v>
      </c>
      <c r="D38" s="11">
        <v>6.4327485380116962E-3</v>
      </c>
      <c r="E38" s="11">
        <v>3.5087719298245612E-2</v>
      </c>
      <c r="F38" s="11">
        <v>1.8128654970760234E-2</v>
      </c>
      <c r="G38" s="11">
        <v>0.15964912280701754</v>
      </c>
      <c r="H38" s="11">
        <v>0.16549707602339181</v>
      </c>
      <c r="I38" s="11">
        <v>0.32397660818713453</v>
      </c>
      <c r="J38" s="11">
        <v>0.1280701754385965</v>
      </c>
      <c r="K38" s="11">
        <v>7.4853801169590645E-2</v>
      </c>
    </row>
    <row r="39" spans="1:11" x14ac:dyDescent="0.25">
      <c r="A39" s="8" t="s">
        <v>477</v>
      </c>
      <c r="B39" s="11">
        <v>4.5634050021939446E-2</v>
      </c>
      <c r="C39" s="11">
        <v>2.5449758666081616E-2</v>
      </c>
      <c r="D39" s="11">
        <v>1.1408512505484861E-2</v>
      </c>
      <c r="E39" s="11">
        <v>4.1684949539271612E-2</v>
      </c>
      <c r="F39" s="11">
        <v>2.8960070206230804E-2</v>
      </c>
      <c r="G39" s="11">
        <v>0.17814831066257131</v>
      </c>
      <c r="H39" s="11">
        <v>0.14436156208863538</v>
      </c>
      <c r="I39" s="11">
        <v>0.29925405879771827</v>
      </c>
      <c r="J39" s="11">
        <v>0.11671785870996051</v>
      </c>
      <c r="K39" s="11">
        <v>7.5471698113207544E-2</v>
      </c>
    </row>
    <row r="40" spans="1:11" x14ac:dyDescent="0.25">
      <c r="A40" s="8" t="s">
        <v>478</v>
      </c>
      <c r="B40" s="11">
        <v>8.5790884718498661E-2</v>
      </c>
      <c r="C40" s="11">
        <v>1.3404825737265416E-2</v>
      </c>
      <c r="D40" s="11">
        <v>1.0723860589812333E-2</v>
      </c>
      <c r="E40" s="11">
        <v>6.1662198391420911E-2</v>
      </c>
      <c r="F40" s="11">
        <v>2.9490616621983913E-2</v>
      </c>
      <c r="G40" s="11">
        <v>0.22252010723860591</v>
      </c>
      <c r="H40" s="11">
        <v>0.14745308310991956</v>
      </c>
      <c r="I40" s="11">
        <v>0.26541554959785524</v>
      </c>
      <c r="J40" s="11">
        <v>9.1152815013404831E-2</v>
      </c>
      <c r="K40" s="11">
        <v>2.1447721179624665E-2</v>
      </c>
    </row>
    <row r="41" spans="1:11" x14ac:dyDescent="0.25">
      <c r="A41" s="8" t="s">
        <v>479</v>
      </c>
      <c r="B41" s="11">
        <v>2.8763183125599234E-2</v>
      </c>
      <c r="C41" s="11">
        <v>3.7072547139661231E-2</v>
      </c>
      <c r="D41" s="11">
        <v>1.4062000639181848E-2</v>
      </c>
      <c r="E41" s="11">
        <v>5.4969638862256309E-2</v>
      </c>
      <c r="F41" s="11">
        <v>2.652604666027485E-2</v>
      </c>
      <c r="G41" s="11">
        <v>0.20549696388622563</v>
      </c>
      <c r="H41" s="11">
        <v>0.14285714285714285</v>
      </c>
      <c r="I41" s="11">
        <v>0.2984979226589965</v>
      </c>
      <c r="J41" s="11">
        <v>0.10866091403004155</v>
      </c>
      <c r="K41" s="11">
        <v>5.4650047938638542E-2</v>
      </c>
    </row>
    <row r="42" spans="1:11" x14ac:dyDescent="0.25">
      <c r="A42" s="8" t="s">
        <v>480</v>
      </c>
      <c r="B42" s="11">
        <v>3.9867109634551492E-2</v>
      </c>
      <c r="C42" s="11">
        <v>2.0764119601328904E-2</v>
      </c>
      <c r="D42" s="11">
        <v>1.079734219269103E-2</v>
      </c>
      <c r="E42" s="11">
        <v>4.4850498338870434E-2</v>
      </c>
      <c r="F42" s="11">
        <v>2.1594684385382059E-2</v>
      </c>
      <c r="G42" s="11">
        <v>0.20930232558139536</v>
      </c>
      <c r="H42" s="11">
        <v>0.12873754152823921</v>
      </c>
      <c r="I42" s="11">
        <v>0.32018272425249167</v>
      </c>
      <c r="J42" s="11">
        <v>0.11586378737541528</v>
      </c>
      <c r="K42" s="11">
        <v>5.7724252491694356E-2</v>
      </c>
    </row>
    <row r="43" spans="1:11" x14ac:dyDescent="0.25">
      <c r="A43" s="8" t="s">
        <v>481</v>
      </c>
      <c r="B43" s="11">
        <v>5.0699962164207343E-2</v>
      </c>
      <c r="C43" s="11">
        <v>2.6863412788497919E-2</v>
      </c>
      <c r="D43" s="11">
        <v>7.1888006053726829E-3</v>
      </c>
      <c r="E43" s="11">
        <v>3.8592508513053347E-2</v>
      </c>
      <c r="F43" s="11">
        <v>2.2323117669315173E-2</v>
      </c>
      <c r="G43" s="11">
        <v>0.19977298524404086</v>
      </c>
      <c r="H43" s="11">
        <v>0.1452894438138479</v>
      </c>
      <c r="I43" s="11">
        <v>0.27090427544457057</v>
      </c>
      <c r="J43" s="11">
        <v>0.15626182368520619</v>
      </c>
      <c r="K43" s="11">
        <v>4.3889519485433223E-2</v>
      </c>
    </row>
    <row r="44" spans="1:11" x14ac:dyDescent="0.25">
      <c r="A44" s="8" t="s">
        <v>482</v>
      </c>
      <c r="B44" s="11">
        <v>3.4831460674157301E-2</v>
      </c>
      <c r="C44" s="11">
        <v>3.1835205992509365E-2</v>
      </c>
      <c r="D44" s="11">
        <v>1.0112359550561797E-2</v>
      </c>
      <c r="E44" s="11">
        <v>3.4831460674157301E-2</v>
      </c>
      <c r="F44" s="11">
        <v>1.6853932584269662E-2</v>
      </c>
      <c r="G44" s="11">
        <v>0.19250936329588014</v>
      </c>
      <c r="H44" s="11">
        <v>0.12584269662921349</v>
      </c>
      <c r="I44" s="11">
        <v>0.31423220973782773</v>
      </c>
      <c r="J44" s="11">
        <v>0.13071161048689139</v>
      </c>
      <c r="K44" s="11">
        <v>7.4906367041198504E-2</v>
      </c>
    </row>
    <row r="45" spans="1:11" x14ac:dyDescent="0.25">
      <c r="A45" s="8" t="s">
        <v>483</v>
      </c>
      <c r="B45" s="11">
        <v>0.12880396319886767</v>
      </c>
      <c r="C45" s="11">
        <v>2.0523708421797595E-2</v>
      </c>
      <c r="D45" s="11">
        <v>7.0771408351026181E-3</v>
      </c>
      <c r="E45" s="11">
        <v>4.953998584571833E-2</v>
      </c>
      <c r="F45" s="11">
        <v>2.3354564755838639E-2</v>
      </c>
      <c r="G45" s="11">
        <v>0.16631280962491155</v>
      </c>
      <c r="H45" s="11">
        <v>0.16985138004246284</v>
      </c>
      <c r="I45" s="11">
        <v>0.19532908704883228</v>
      </c>
      <c r="J45" s="11">
        <v>0.13871196036801131</v>
      </c>
      <c r="K45" s="11">
        <v>4.8832271762208071E-2</v>
      </c>
    </row>
    <row r="46" spans="1:11" x14ac:dyDescent="0.25">
      <c r="A46" s="8" t="s">
        <v>484</v>
      </c>
      <c r="B46" s="11">
        <v>1.937984496124031E-2</v>
      </c>
      <c r="C46" s="11">
        <v>2.7906976744186046E-2</v>
      </c>
      <c r="D46" s="11">
        <v>6.2015503875968991E-3</v>
      </c>
      <c r="E46" s="11">
        <v>4.2635658914728682E-2</v>
      </c>
      <c r="F46" s="11">
        <v>2.8294573643410852E-2</v>
      </c>
      <c r="G46" s="11">
        <v>0.15697674418604651</v>
      </c>
      <c r="H46" s="11">
        <v>0.1682170542635659</v>
      </c>
      <c r="I46" s="11">
        <v>0.24031007751937986</v>
      </c>
      <c r="J46" s="11">
        <v>0.17364341085271318</v>
      </c>
      <c r="K46" s="11">
        <v>7.0542635658914735E-2</v>
      </c>
    </row>
    <row r="47" spans="1:11" x14ac:dyDescent="0.25">
      <c r="A47" s="8" t="s">
        <v>485</v>
      </c>
      <c r="B47" s="11">
        <v>2.1113243761996161E-2</v>
      </c>
      <c r="C47" s="11">
        <v>1.1516314779270634E-2</v>
      </c>
      <c r="D47" s="11">
        <v>1.5355086372360844E-2</v>
      </c>
      <c r="E47" s="11">
        <v>6.5259117082533583E-2</v>
      </c>
      <c r="F47" s="11">
        <v>7.677543186180422E-3</v>
      </c>
      <c r="G47" s="11">
        <v>0.15738963531669867</v>
      </c>
      <c r="H47" s="11">
        <v>0.20921305182341651</v>
      </c>
      <c r="I47" s="11">
        <v>0.23224568138195778</v>
      </c>
      <c r="J47" s="11">
        <v>0.15355086372360843</v>
      </c>
      <c r="K47" s="11">
        <v>5.7581573896353169E-2</v>
      </c>
    </row>
    <row r="48" spans="1:11" x14ac:dyDescent="0.25">
      <c r="A48" s="8" t="s">
        <v>486</v>
      </c>
      <c r="B48" s="11">
        <v>3.8588754134509372E-2</v>
      </c>
      <c r="C48" s="11">
        <v>3.8588754134509372E-2</v>
      </c>
      <c r="D48" s="11">
        <v>1.6538037486218304E-2</v>
      </c>
      <c r="E48" s="11">
        <v>5.1819184123484012E-2</v>
      </c>
      <c r="F48" s="11">
        <v>2.3153252480705624E-2</v>
      </c>
      <c r="G48" s="11">
        <v>0.16097023153252479</v>
      </c>
      <c r="H48" s="11">
        <v>0.15214994487320838</v>
      </c>
      <c r="I48" s="11">
        <v>0.21940463065049615</v>
      </c>
      <c r="J48" s="11">
        <v>0.19514884233737598</v>
      </c>
      <c r="K48" s="11">
        <v>4.4101433296582136E-2</v>
      </c>
    </row>
    <row r="49" spans="1:11" x14ac:dyDescent="0.25">
      <c r="A49" s="8" t="s">
        <v>487</v>
      </c>
      <c r="B49" s="11">
        <v>4.8698572628043661E-2</v>
      </c>
      <c r="C49" s="11">
        <v>3.6943744752308987E-2</v>
      </c>
      <c r="D49" s="11">
        <v>3.0226700251889168E-2</v>
      </c>
      <c r="E49" s="11">
        <v>6.381192275398824E-2</v>
      </c>
      <c r="F49" s="11">
        <v>3.6104114189756509E-2</v>
      </c>
      <c r="G49" s="11">
        <v>0.1712846347607053</v>
      </c>
      <c r="H49" s="11">
        <v>0.15701091519731319</v>
      </c>
      <c r="I49" s="11">
        <v>0.26364399664147775</v>
      </c>
      <c r="J49" s="11">
        <v>0.10999160369437448</v>
      </c>
      <c r="K49" s="11">
        <v>3.2745591939546598E-2</v>
      </c>
    </row>
    <row r="50" spans="1:11" x14ac:dyDescent="0.25">
      <c r="A50" s="8" t="s">
        <v>488</v>
      </c>
      <c r="B50" s="11">
        <v>3.117505995203837E-2</v>
      </c>
      <c r="C50" s="11">
        <v>3.4372501998401278E-2</v>
      </c>
      <c r="D50" s="11">
        <v>1.9984012789768184E-2</v>
      </c>
      <c r="E50" s="11">
        <v>5.5155875299760189E-2</v>
      </c>
      <c r="F50" s="11">
        <v>2.3980815347721823E-2</v>
      </c>
      <c r="G50" s="11">
        <v>0.1518784972022382</v>
      </c>
      <c r="H50" s="11">
        <v>0.15027977617905675</v>
      </c>
      <c r="I50" s="11">
        <v>0.27657873701039171</v>
      </c>
      <c r="J50" s="11">
        <v>0.16147082334132695</v>
      </c>
      <c r="K50" s="11">
        <v>6.7945643485211829E-2</v>
      </c>
    </row>
    <row r="51" spans="1:11" x14ac:dyDescent="0.25">
      <c r="A51" s="8" t="s">
        <v>489</v>
      </c>
      <c r="B51" s="11">
        <v>2.8835063437139562E-2</v>
      </c>
      <c r="C51" s="11">
        <v>2.1914648212226068E-2</v>
      </c>
      <c r="D51" s="11">
        <v>2.1914648212226068E-2</v>
      </c>
      <c r="E51" s="11">
        <v>6.4590542099192613E-2</v>
      </c>
      <c r="F51" s="11">
        <v>4.4982698961937718E-2</v>
      </c>
      <c r="G51" s="11">
        <v>0.23875432525951557</v>
      </c>
      <c r="H51" s="11">
        <v>0.14302191464821223</v>
      </c>
      <c r="I51" s="11">
        <v>0.19377162629757785</v>
      </c>
      <c r="J51" s="11">
        <v>0.14763552479815456</v>
      </c>
      <c r="K51" s="11">
        <v>7.0357554786620535E-2</v>
      </c>
    </row>
    <row r="52" spans="1:11" x14ac:dyDescent="0.25">
      <c r="A52" s="8" t="s">
        <v>490</v>
      </c>
      <c r="B52" s="11">
        <v>2.0078881319469343E-2</v>
      </c>
      <c r="C52" s="11">
        <v>2.5815704553603443E-2</v>
      </c>
      <c r="D52" s="11">
        <v>9.3223377554679104E-3</v>
      </c>
      <c r="E52" s="11">
        <v>4.4818931516672642E-2</v>
      </c>
      <c r="F52" s="11">
        <v>4.3026174256005738E-2</v>
      </c>
      <c r="G52" s="11">
        <v>0.12871997131588384</v>
      </c>
      <c r="H52" s="11">
        <v>0.19182502689135891</v>
      </c>
      <c r="I52" s="11">
        <v>0.26245966296163498</v>
      </c>
      <c r="J52" s="11">
        <v>0.13158838293295089</v>
      </c>
      <c r="K52" s="11">
        <v>0.10864108999641449</v>
      </c>
    </row>
    <row r="53" spans="1:11" x14ac:dyDescent="0.25">
      <c r="A53" s="8" t="s">
        <v>491</v>
      </c>
      <c r="B53" s="11">
        <v>3.0867221950024497E-2</v>
      </c>
      <c r="C53" s="11">
        <v>2.2537971582557569E-2</v>
      </c>
      <c r="D53" s="11">
        <v>1.6658500734933857E-2</v>
      </c>
      <c r="E53" s="11">
        <v>6.6144047035766776E-2</v>
      </c>
      <c r="F53" s="11">
        <v>5.2425281724644779E-2</v>
      </c>
      <c r="G53" s="11">
        <v>0.17295443410093092</v>
      </c>
      <c r="H53" s="11">
        <v>0.17785399314061734</v>
      </c>
      <c r="I53" s="11">
        <v>0.19941205291523764</v>
      </c>
      <c r="J53" s="11">
        <v>0.13718765311122</v>
      </c>
      <c r="K53" s="11">
        <v>8.9661930426261638E-2</v>
      </c>
    </row>
    <row r="54" spans="1:11" x14ac:dyDescent="0.25">
      <c r="A54" s="8" t="s">
        <v>492</v>
      </c>
      <c r="B54" s="11">
        <v>4.6798029556650245E-2</v>
      </c>
      <c r="C54" s="11">
        <v>5.0738916256157639E-2</v>
      </c>
      <c r="D54" s="11">
        <v>2.6600985221674877E-2</v>
      </c>
      <c r="E54" s="11">
        <v>7.9802955665024627E-2</v>
      </c>
      <c r="F54" s="11">
        <v>3.4975369458128076E-2</v>
      </c>
      <c r="G54" s="11">
        <v>0.17389162561576355</v>
      </c>
      <c r="H54" s="11">
        <v>0.12364532019704433</v>
      </c>
      <c r="I54" s="11">
        <v>0.21231527093596059</v>
      </c>
      <c r="J54" s="11">
        <v>0.15467980295566502</v>
      </c>
      <c r="K54" s="11">
        <v>5.9113300492610835E-2</v>
      </c>
    </row>
    <row r="55" spans="1:11" x14ac:dyDescent="0.25">
      <c r="A55" s="8" t="s">
        <v>493</v>
      </c>
      <c r="B55" s="11">
        <v>4.4138253152732371E-2</v>
      </c>
      <c r="C55" s="11">
        <v>5.6515646893974779E-2</v>
      </c>
      <c r="D55" s="11">
        <v>3.5964502568893039E-2</v>
      </c>
      <c r="E55" s="11">
        <v>6.7258290518449323E-2</v>
      </c>
      <c r="F55" s="11">
        <v>5.0210182157870153E-2</v>
      </c>
      <c r="G55" s="11">
        <v>0.14175618869687062</v>
      </c>
      <c r="H55" s="11">
        <v>0.13872022419430172</v>
      </c>
      <c r="I55" s="11">
        <v>0.19243344231667445</v>
      </c>
      <c r="J55" s="11">
        <v>0.13568425969173284</v>
      </c>
      <c r="K55" s="11">
        <v>7.8234469873890711E-2</v>
      </c>
    </row>
    <row r="56" spans="1:11" x14ac:dyDescent="0.25">
      <c r="A56" s="8" t="s">
        <v>494</v>
      </c>
      <c r="B56" s="11">
        <v>5.0814332247557006E-2</v>
      </c>
      <c r="C56" s="11">
        <v>3.4527687296416941E-2</v>
      </c>
      <c r="D56" s="11">
        <v>3.1270358306188926E-2</v>
      </c>
      <c r="E56" s="11">
        <v>9.0553745928338758E-2</v>
      </c>
      <c r="F56" s="11">
        <v>6.0586319218241043E-2</v>
      </c>
      <c r="G56" s="11">
        <v>0.1244299674267101</v>
      </c>
      <c r="H56" s="11">
        <v>0.14983713355048861</v>
      </c>
      <c r="I56" s="11">
        <v>0.19609120521172638</v>
      </c>
      <c r="J56" s="11">
        <v>0.17003257328990229</v>
      </c>
      <c r="K56" s="11">
        <v>5.4071661237785014E-2</v>
      </c>
    </row>
    <row r="57" spans="1:11" x14ac:dyDescent="0.25">
      <c r="A57" s="8" t="s">
        <v>495</v>
      </c>
      <c r="B57" s="11">
        <v>7.3891625615763554E-2</v>
      </c>
      <c r="C57" s="11">
        <v>7.2249589490968796E-2</v>
      </c>
      <c r="D57" s="11">
        <v>3.9408866995073892E-2</v>
      </c>
      <c r="E57" s="11">
        <v>0.13136288998357964</v>
      </c>
      <c r="F57" s="11">
        <v>3.7766830870279149E-2</v>
      </c>
      <c r="G57" s="11">
        <v>9.688013136288999E-2</v>
      </c>
      <c r="H57" s="11">
        <v>0.12643678160919541</v>
      </c>
      <c r="I57" s="11">
        <v>0.180623973727422</v>
      </c>
      <c r="J57" s="11">
        <v>0.17898193760262726</v>
      </c>
      <c r="K57" s="11">
        <v>3.4482758620689655E-2</v>
      </c>
    </row>
    <row r="58" spans="1:11" x14ac:dyDescent="0.25">
      <c r="A58" s="8" t="s">
        <v>496</v>
      </c>
      <c r="B58" s="11">
        <v>7.3891625615763554E-2</v>
      </c>
      <c r="C58" s="11">
        <v>6.8965517241379309E-2</v>
      </c>
      <c r="D58" s="11">
        <v>2.4630541871921183E-2</v>
      </c>
      <c r="E58" s="11">
        <v>8.3743842364532015E-2</v>
      </c>
      <c r="F58" s="11">
        <v>4.4334975369458129E-2</v>
      </c>
      <c r="G58" s="11">
        <v>7.3891625615763554E-2</v>
      </c>
      <c r="H58" s="11">
        <v>0.10837438423645321</v>
      </c>
      <c r="I58" s="11">
        <v>0.30049261083743845</v>
      </c>
      <c r="J58" s="11">
        <v>0.10344827586206896</v>
      </c>
      <c r="K58" s="11">
        <v>4.9261083743842367E-2</v>
      </c>
    </row>
    <row r="59" spans="1:11" x14ac:dyDescent="0.25">
      <c r="A59" s="8" t="s">
        <v>497</v>
      </c>
      <c r="B59" s="11">
        <v>5.1175318315377083E-2</v>
      </c>
      <c r="C59" s="11">
        <v>4.8237022526934376E-2</v>
      </c>
      <c r="D59" s="11">
        <v>3.305582761998041E-2</v>
      </c>
      <c r="E59" s="11">
        <v>5.4603330068560232E-2</v>
      </c>
      <c r="F59" s="11">
        <v>3.3300685602350638E-2</v>
      </c>
      <c r="G59" s="11">
        <v>0.15940254652301666</v>
      </c>
      <c r="H59" s="11">
        <v>0.10137120470127327</v>
      </c>
      <c r="I59" s="11">
        <v>0.23261508325171401</v>
      </c>
      <c r="J59" s="11">
        <v>0.15328109696376102</v>
      </c>
      <c r="K59" s="11">
        <v>8.4720861900097949E-2</v>
      </c>
    </row>
    <row r="60" spans="1:11" x14ac:dyDescent="0.25">
      <c r="A60" s="8" t="s">
        <v>498</v>
      </c>
      <c r="B60" s="11">
        <v>4.8329621380846323E-2</v>
      </c>
      <c r="C60" s="11">
        <v>5.1447661469933188E-2</v>
      </c>
      <c r="D60" s="11">
        <v>1.8040089086859688E-2</v>
      </c>
      <c r="E60" s="11">
        <v>4.3207126948775057E-2</v>
      </c>
      <c r="F60" s="11">
        <v>2.2494432071269489E-2</v>
      </c>
      <c r="G60" s="11">
        <v>0.19420935412026727</v>
      </c>
      <c r="H60" s="11">
        <v>9.8886414253897548E-2</v>
      </c>
      <c r="I60" s="11">
        <v>0.24922048997772828</v>
      </c>
      <c r="J60" s="11">
        <v>0.14565701559020044</v>
      </c>
      <c r="K60" s="11">
        <v>8.7750556792873052E-2</v>
      </c>
    </row>
    <row r="61" spans="1:11" x14ac:dyDescent="0.25">
      <c r="A61" s="8" t="s">
        <v>499</v>
      </c>
      <c r="B61" s="11">
        <v>5.3072625698324022E-2</v>
      </c>
      <c r="C61" s="11">
        <v>5.8659217877094973E-2</v>
      </c>
      <c r="D61" s="11">
        <v>6.7039106145251395E-2</v>
      </c>
      <c r="E61" s="11">
        <v>5.027932960893855E-2</v>
      </c>
      <c r="F61" s="11">
        <v>3.3519553072625698E-2</v>
      </c>
      <c r="G61" s="11">
        <v>0.11731843575418995</v>
      </c>
      <c r="H61" s="11">
        <v>8.3798882681564241E-2</v>
      </c>
      <c r="I61" s="11">
        <v>0.18435754189944134</v>
      </c>
      <c r="J61" s="11">
        <v>0.15083798882681565</v>
      </c>
      <c r="K61" s="11">
        <v>0.15363128491620112</v>
      </c>
    </row>
    <row r="62" spans="1:11" x14ac:dyDescent="0.25">
      <c r="A62" s="8" t="s">
        <v>500</v>
      </c>
      <c r="B62" s="11">
        <v>4.7814910025706939E-2</v>
      </c>
      <c r="C62" s="11">
        <v>3.3676092544987143E-2</v>
      </c>
      <c r="D62" s="11">
        <v>1.1053984575835476E-2</v>
      </c>
      <c r="E62" s="11">
        <v>5.3470437017994858E-2</v>
      </c>
      <c r="F62" s="11">
        <v>2.2365038560411311E-2</v>
      </c>
      <c r="G62" s="11">
        <v>0.16760925449871467</v>
      </c>
      <c r="H62" s="11">
        <v>0.11876606683804627</v>
      </c>
      <c r="I62" s="11">
        <v>0.25398457583547557</v>
      </c>
      <c r="J62" s="11">
        <v>0.1897172236503856</v>
      </c>
      <c r="K62" s="11">
        <v>5.9125964010282778E-2</v>
      </c>
    </row>
    <row r="63" spans="1:11" x14ac:dyDescent="0.25">
      <c r="A63" s="8" t="s">
        <v>501</v>
      </c>
      <c r="B63" s="11">
        <v>4.131736526946108E-2</v>
      </c>
      <c r="C63" s="11">
        <v>6.3473053892215567E-2</v>
      </c>
      <c r="D63" s="11">
        <v>1.1377245508982036E-2</v>
      </c>
      <c r="E63" s="11">
        <v>6.9461077844311381E-2</v>
      </c>
      <c r="F63" s="11">
        <v>2.6946107784431138E-2</v>
      </c>
      <c r="G63" s="11">
        <v>0.18263473053892215</v>
      </c>
      <c r="H63" s="11">
        <v>0.12694610778443113</v>
      </c>
      <c r="I63" s="11">
        <v>0.25209580838323353</v>
      </c>
      <c r="J63" s="11">
        <v>0.12035928143712575</v>
      </c>
      <c r="K63" s="11">
        <v>6.2874251497005984E-2</v>
      </c>
    </row>
    <row r="64" spans="1:11" x14ac:dyDescent="0.25">
      <c r="A64" s="8" t="s">
        <v>502</v>
      </c>
      <c r="B64" s="11">
        <v>6.156405990016639E-2</v>
      </c>
      <c r="C64" s="11">
        <v>1.9966722129783693E-2</v>
      </c>
      <c r="D64" s="11">
        <v>2.4958402662229616E-2</v>
      </c>
      <c r="E64" s="11">
        <v>6.6555740432612309E-2</v>
      </c>
      <c r="F64" s="11">
        <v>3.6605657237936774E-2</v>
      </c>
      <c r="G64" s="11">
        <v>0.14309484193011648</v>
      </c>
      <c r="H64" s="11">
        <v>9.1514143094841932E-2</v>
      </c>
      <c r="I64" s="11">
        <v>0.25124792013311148</v>
      </c>
      <c r="J64" s="11">
        <v>0.13144758735440931</v>
      </c>
      <c r="K64" s="11">
        <v>0.12312811980033278</v>
      </c>
    </row>
    <row r="65" spans="1:11" x14ac:dyDescent="0.25">
      <c r="A65" s="8" t="s">
        <v>503</v>
      </c>
      <c r="B65" s="11">
        <v>7.9601990049751242E-2</v>
      </c>
      <c r="C65" s="11">
        <v>1.9900497512437811E-2</v>
      </c>
      <c r="D65" s="11">
        <v>4.4776119402985072E-2</v>
      </c>
      <c r="E65" s="11">
        <v>2.4875621890547265E-2</v>
      </c>
      <c r="F65" s="11">
        <v>1.4925373134328358E-2</v>
      </c>
      <c r="G65" s="11">
        <v>0.14925373134328357</v>
      </c>
      <c r="H65" s="11">
        <v>0.11940298507462686</v>
      </c>
      <c r="I65" s="11">
        <v>0.27363184079601988</v>
      </c>
      <c r="J65" s="11">
        <v>0.17910447761194029</v>
      </c>
      <c r="K65" s="11">
        <v>6.965174129353234E-2</v>
      </c>
    </row>
    <row r="66" spans="1:11" x14ac:dyDescent="0.25">
      <c r="A66" s="8" t="s">
        <v>504</v>
      </c>
      <c r="B66" s="11">
        <v>7.6759061833688705E-2</v>
      </c>
      <c r="C66" s="11">
        <v>3.4115138592750532E-2</v>
      </c>
      <c r="D66" s="11">
        <v>1.0660980810234541E-2</v>
      </c>
      <c r="E66" s="11">
        <v>2.1321961620469083E-2</v>
      </c>
      <c r="F66" s="11">
        <v>4.6908315565031986E-2</v>
      </c>
      <c r="G66" s="11">
        <v>0.20042643923240938</v>
      </c>
      <c r="H66" s="11">
        <v>0.10660980810234541</v>
      </c>
      <c r="I66" s="11">
        <v>0.25159914712153519</v>
      </c>
      <c r="J66" s="11">
        <v>0.11513859275053305</v>
      </c>
      <c r="K66" s="11">
        <v>9.5948827292110878E-2</v>
      </c>
    </row>
    <row r="67" spans="1:11" x14ac:dyDescent="0.25">
      <c r="A67" s="8" t="s">
        <v>505</v>
      </c>
      <c r="B67" s="11">
        <v>6.6666666666666666E-2</v>
      </c>
      <c r="C67" s="11">
        <v>3.7037037037037035E-2</v>
      </c>
      <c r="D67" s="11">
        <v>1.4814814814814815E-2</v>
      </c>
      <c r="E67" s="11">
        <v>5.185185185185185E-2</v>
      </c>
      <c r="F67" s="11">
        <v>1.4814814814814815E-2</v>
      </c>
      <c r="G67" s="11">
        <v>7.407407407407407E-2</v>
      </c>
      <c r="H67" s="11">
        <v>6.6666666666666666E-2</v>
      </c>
      <c r="I67" s="11">
        <v>0.29629629629629628</v>
      </c>
      <c r="J67" s="11">
        <v>0.19259259259259259</v>
      </c>
      <c r="K67" s="11">
        <v>0.17777777777777778</v>
      </c>
    </row>
    <row r="68" spans="1:11" x14ac:dyDescent="0.25">
      <c r="A68" s="8" t="s">
        <v>506</v>
      </c>
      <c r="B68" s="11">
        <v>6.2893081761006289E-2</v>
      </c>
      <c r="C68" s="11">
        <v>8.8050314465408799E-2</v>
      </c>
      <c r="D68" s="11">
        <v>6.9182389937106917E-2</v>
      </c>
      <c r="E68" s="11">
        <v>2.5157232704402517E-2</v>
      </c>
      <c r="F68" s="11">
        <v>1.2578616352201259E-2</v>
      </c>
      <c r="G68" s="11">
        <v>0.1069182389937107</v>
      </c>
      <c r="H68" s="11">
        <v>6.9182389937106917E-2</v>
      </c>
      <c r="I68" s="11">
        <v>0.25157232704402516</v>
      </c>
      <c r="J68" s="11">
        <v>0.22012578616352202</v>
      </c>
      <c r="K68" s="11">
        <v>5.0314465408805034E-2</v>
      </c>
    </row>
    <row r="69" spans="1:11" x14ac:dyDescent="0.25">
      <c r="A69" s="8" t="s">
        <v>507</v>
      </c>
      <c r="B69" s="11">
        <v>3.5928143712574849E-2</v>
      </c>
      <c r="C69" s="11">
        <v>2.3952095808383235E-2</v>
      </c>
      <c r="D69" s="11">
        <v>3.5928143712574849E-2</v>
      </c>
      <c r="E69" s="11">
        <v>2.9940119760479042E-2</v>
      </c>
      <c r="F69" s="11">
        <v>1.1976047904191617E-2</v>
      </c>
      <c r="G69" s="11">
        <v>0.1317365269461078</v>
      </c>
      <c r="H69" s="11">
        <v>0.10179640718562874</v>
      </c>
      <c r="I69" s="11">
        <v>0.31736526946107785</v>
      </c>
      <c r="J69" s="11">
        <v>0.1437125748502994</v>
      </c>
      <c r="K69" s="11">
        <v>0.11377245508982035</v>
      </c>
    </row>
    <row r="70" spans="1:11" x14ac:dyDescent="0.25">
      <c r="A70" s="8" t="s">
        <v>508</v>
      </c>
      <c r="B70" s="11">
        <v>3.1152647975077882E-2</v>
      </c>
      <c r="C70" s="11">
        <v>5.6074766355140186E-2</v>
      </c>
      <c r="D70" s="11">
        <v>1.8691588785046728E-2</v>
      </c>
      <c r="E70" s="11">
        <v>4.9844236760124609E-2</v>
      </c>
      <c r="F70" s="11">
        <v>4.3613707165109032E-2</v>
      </c>
      <c r="G70" s="11">
        <v>0.13084112149532709</v>
      </c>
      <c r="H70" s="11">
        <v>0.1277258566978193</v>
      </c>
      <c r="I70" s="11">
        <v>0.28037383177570091</v>
      </c>
      <c r="J70" s="11">
        <v>0.12461059190031153</v>
      </c>
      <c r="K70" s="11">
        <v>0.1059190031152648</v>
      </c>
    </row>
    <row r="71" spans="1:11" x14ac:dyDescent="0.25">
      <c r="A71" s="8" t="s">
        <v>509</v>
      </c>
      <c r="B71" s="11">
        <v>6.1692969870875178E-2</v>
      </c>
      <c r="C71" s="11">
        <v>4.1606886657101862E-2</v>
      </c>
      <c r="D71" s="11">
        <v>3.0129124820659971E-2</v>
      </c>
      <c r="E71" s="11">
        <v>2.8694404591104734E-2</v>
      </c>
      <c r="F71" s="11">
        <v>2.4390243902439025E-2</v>
      </c>
      <c r="G71" s="11">
        <v>0.21520803443328551</v>
      </c>
      <c r="H71" s="11">
        <v>9.0387374461979919E-2</v>
      </c>
      <c r="I71" s="11">
        <v>0.26829268292682928</v>
      </c>
      <c r="J71" s="11">
        <v>0.13342898134863701</v>
      </c>
      <c r="K71" s="11">
        <v>5.5954088952654232E-2</v>
      </c>
    </row>
    <row r="72" spans="1:11" x14ac:dyDescent="0.25">
      <c r="A72" s="8" t="s">
        <v>510</v>
      </c>
      <c r="B72" s="11">
        <v>6.741573033707865E-2</v>
      </c>
      <c r="C72" s="11">
        <v>4.49438202247191E-2</v>
      </c>
      <c r="D72" s="11">
        <v>1.1235955056179775E-2</v>
      </c>
      <c r="E72" s="11">
        <v>1.1235955056179775E-2</v>
      </c>
      <c r="F72" s="11">
        <v>1.1235955056179775E-2</v>
      </c>
      <c r="G72" s="11">
        <v>0.25842696629213485</v>
      </c>
      <c r="H72" s="11">
        <v>6.741573033707865E-2</v>
      </c>
      <c r="I72" s="11">
        <v>0.25842696629213485</v>
      </c>
      <c r="J72" s="11">
        <v>0.11235955056179775</v>
      </c>
      <c r="K72" s="11">
        <v>6.741573033707865E-2</v>
      </c>
    </row>
    <row r="73" spans="1:11" x14ac:dyDescent="0.25">
      <c r="A73" s="8" t="s">
        <v>511</v>
      </c>
      <c r="B73" s="11">
        <v>4.5454545454545452E-3</v>
      </c>
      <c r="C73" s="11">
        <v>2.2727272727272728E-2</v>
      </c>
      <c r="D73" s="11">
        <v>3.1818181818181815E-2</v>
      </c>
      <c r="E73" s="11">
        <v>1.8181818181818181E-2</v>
      </c>
      <c r="F73" s="11">
        <v>5.909090909090909E-2</v>
      </c>
      <c r="G73" s="11">
        <v>0.30454545454545456</v>
      </c>
      <c r="H73" s="11">
        <v>0.1</v>
      </c>
      <c r="I73" s="11">
        <v>0.18636363636363637</v>
      </c>
      <c r="J73" s="11">
        <v>0.14545454545454545</v>
      </c>
      <c r="K73" s="11">
        <v>9.5454545454545459E-2</v>
      </c>
    </row>
    <row r="74" spans="1:11" x14ac:dyDescent="0.25">
      <c r="A74" s="8" t="s">
        <v>512</v>
      </c>
      <c r="B74" s="11">
        <v>4.6310589688175363E-2</v>
      </c>
      <c r="C74" s="11">
        <v>4.6928064217351032E-2</v>
      </c>
      <c r="D74" s="11">
        <v>1.1423278789749922E-2</v>
      </c>
      <c r="E74" s="11">
        <v>5.4955233096634762E-2</v>
      </c>
      <c r="F74" s="11">
        <v>4.0444581661006486E-2</v>
      </c>
      <c r="G74" s="11">
        <v>0.2297005248533498</v>
      </c>
      <c r="H74" s="11">
        <v>0.14942883606051249</v>
      </c>
      <c r="I74" s="11">
        <v>0.26150046310589686</v>
      </c>
      <c r="J74" s="11">
        <v>9.0151281259648039E-2</v>
      </c>
      <c r="K74" s="11">
        <v>3.4887310898425443E-2</v>
      </c>
    </row>
    <row r="75" spans="1:11" x14ac:dyDescent="0.25">
      <c r="A75" s="8" t="s">
        <v>513</v>
      </c>
      <c r="B75" s="11">
        <v>3.4211742949607028E-2</v>
      </c>
      <c r="C75" s="11">
        <v>5.7327785483125289E-2</v>
      </c>
      <c r="D75" s="11">
        <v>1.06333795654184E-2</v>
      </c>
      <c r="E75" s="11">
        <v>4.8081368469717986E-2</v>
      </c>
      <c r="F75" s="11">
        <v>3.4674063800277391E-2</v>
      </c>
      <c r="G75" s="11">
        <v>0.2445677300046232</v>
      </c>
      <c r="H75" s="11">
        <v>0.14193250115580214</v>
      </c>
      <c r="I75" s="11">
        <v>0.28016643550624132</v>
      </c>
      <c r="J75" s="11">
        <v>7.5358298659269532E-2</v>
      </c>
      <c r="K75" s="11">
        <v>3.6985668053629218E-2</v>
      </c>
    </row>
    <row r="76" spans="1:11" x14ac:dyDescent="0.25">
      <c r="A76" s="8" t="s">
        <v>514</v>
      </c>
      <c r="B76" s="11">
        <v>3.2275862068965516E-2</v>
      </c>
      <c r="C76" s="11">
        <v>4.9931034482758624E-2</v>
      </c>
      <c r="D76" s="11">
        <v>1.6551724137931035E-2</v>
      </c>
      <c r="E76" s="11">
        <v>5.986206896551724E-2</v>
      </c>
      <c r="F76" s="11">
        <v>3.8068965517241378E-2</v>
      </c>
      <c r="G76" s="11">
        <v>0.2366896551724138</v>
      </c>
      <c r="H76" s="11">
        <v>0.1326896551724138</v>
      </c>
      <c r="I76" s="11">
        <v>0.25379310344827588</v>
      </c>
      <c r="J76" s="11">
        <v>0.10262068965517242</v>
      </c>
      <c r="K76" s="11">
        <v>3.6689655172413793E-2</v>
      </c>
    </row>
    <row r="77" spans="1:11" x14ac:dyDescent="0.25">
      <c r="A77" s="8" t="s">
        <v>515</v>
      </c>
      <c r="B77" s="11">
        <v>3.7701974865350089E-2</v>
      </c>
      <c r="C77" s="11">
        <v>6.068222621184919E-2</v>
      </c>
      <c r="D77" s="11">
        <v>6.8222621184919211E-3</v>
      </c>
      <c r="E77" s="11">
        <v>8.1508078994614E-2</v>
      </c>
      <c r="F77" s="11">
        <v>7.0377019748653499E-2</v>
      </c>
      <c r="G77" s="11">
        <v>0.26714542190305207</v>
      </c>
      <c r="H77" s="11">
        <v>0.11310592459605028</v>
      </c>
      <c r="I77" s="11">
        <v>0.24093357271095153</v>
      </c>
      <c r="J77" s="11">
        <v>8.0071813285457816E-2</v>
      </c>
      <c r="K77" s="11">
        <v>1.867145421903052E-2</v>
      </c>
    </row>
    <row r="78" spans="1:11" x14ac:dyDescent="0.25">
      <c r="A78" s="8" t="s">
        <v>516</v>
      </c>
      <c r="B78" s="11">
        <v>1.9619326500732063E-2</v>
      </c>
      <c r="C78" s="11">
        <v>5.1537335285505123E-2</v>
      </c>
      <c r="D78" s="11">
        <v>9.370424597364568E-3</v>
      </c>
      <c r="E78" s="11">
        <v>6.0322108345534406E-2</v>
      </c>
      <c r="F78" s="11">
        <v>3.5139092240117131E-2</v>
      </c>
      <c r="G78" s="11">
        <v>0.22986822840409957</v>
      </c>
      <c r="H78" s="11">
        <v>0.15519765739385066</v>
      </c>
      <c r="I78" s="11">
        <v>0.25505124450951683</v>
      </c>
      <c r="J78" s="11">
        <v>0.1171303074670571</v>
      </c>
      <c r="K78" s="11">
        <v>3.6603221083455345E-2</v>
      </c>
    </row>
    <row r="79" spans="1:11" x14ac:dyDescent="0.25">
      <c r="A79" s="8" t="s">
        <v>517</v>
      </c>
      <c r="B79" s="11">
        <v>6.2050359712230219E-2</v>
      </c>
      <c r="C79" s="11">
        <v>2.4280575539568347E-2</v>
      </c>
      <c r="D79" s="11">
        <v>1.70863309352518E-2</v>
      </c>
      <c r="E79" s="11">
        <v>7.0143884892086325E-2</v>
      </c>
      <c r="F79" s="11">
        <v>9.6223021582733811E-2</v>
      </c>
      <c r="G79" s="11">
        <v>0.19514388489208634</v>
      </c>
      <c r="H79" s="11">
        <v>0.18615107913669066</v>
      </c>
      <c r="I79" s="11">
        <v>0.10881294964028777</v>
      </c>
      <c r="J79" s="11">
        <v>0.15107913669064749</v>
      </c>
      <c r="K79" s="11">
        <v>3.8669064748201441E-2</v>
      </c>
    </row>
    <row r="80" spans="1:11" x14ac:dyDescent="0.25">
      <c r="A80" s="8" t="s">
        <v>518</v>
      </c>
      <c r="B80" s="11">
        <v>6.1224489795918366E-2</v>
      </c>
      <c r="C80" s="11">
        <v>1.8633540372670808E-2</v>
      </c>
      <c r="D80" s="11">
        <v>1.5084294587400177E-2</v>
      </c>
      <c r="E80" s="11">
        <v>7.8970718722271516E-2</v>
      </c>
      <c r="F80" s="11">
        <v>6.9210292812777283E-2</v>
      </c>
      <c r="G80" s="11">
        <v>0.18899733806566105</v>
      </c>
      <c r="H80" s="11">
        <v>0.17480035492457852</v>
      </c>
      <c r="I80" s="11">
        <v>0.13753327417923691</v>
      </c>
      <c r="J80" s="11">
        <v>0.12244897959183673</v>
      </c>
      <c r="K80" s="11">
        <v>4.6140195208518191E-2</v>
      </c>
    </row>
    <row r="81" spans="1:11" x14ac:dyDescent="0.25">
      <c r="A81" s="8" t="s">
        <v>519</v>
      </c>
      <c r="B81" s="11">
        <v>2.2598870056497175E-2</v>
      </c>
      <c r="C81" s="11">
        <v>3.5310734463276837E-2</v>
      </c>
      <c r="D81" s="11">
        <v>3.5310734463276837E-2</v>
      </c>
      <c r="E81" s="11">
        <v>9.03954802259887E-2</v>
      </c>
      <c r="F81" s="11">
        <v>5.7909604519774012E-2</v>
      </c>
      <c r="G81" s="11">
        <v>0.1963276836158192</v>
      </c>
      <c r="H81" s="11">
        <v>0.17090395480225989</v>
      </c>
      <c r="I81" s="11">
        <v>0.16666666666666666</v>
      </c>
      <c r="J81" s="11">
        <v>0.1228813559322034</v>
      </c>
      <c r="K81" s="11">
        <v>4.8022598870056499E-2</v>
      </c>
    </row>
    <row r="82" spans="1:11" x14ac:dyDescent="0.25">
      <c r="A82" s="8" t="s">
        <v>520</v>
      </c>
      <c r="B82" s="11">
        <v>3.6111111111111108E-2</v>
      </c>
      <c r="C82" s="11">
        <v>3.888888888888889E-2</v>
      </c>
      <c r="D82" s="11">
        <v>1.3888888888888888E-2</v>
      </c>
      <c r="E82" s="11">
        <v>7.2222222222222215E-2</v>
      </c>
      <c r="F82" s="11">
        <v>5.5555555555555552E-2</v>
      </c>
      <c r="G82" s="11">
        <v>0.18611111111111112</v>
      </c>
      <c r="H82" s="11">
        <v>0.17777777777777778</v>
      </c>
      <c r="I82" s="11">
        <v>0.13333333333333333</v>
      </c>
      <c r="J82" s="11">
        <v>0.12777777777777777</v>
      </c>
      <c r="K82" s="11">
        <v>0.1111111111111111</v>
      </c>
    </row>
    <row r="83" spans="1:11" x14ac:dyDescent="0.25">
      <c r="A83" s="8" t="s">
        <v>521</v>
      </c>
      <c r="B83" s="11">
        <v>3.6666666666666667E-2</v>
      </c>
      <c r="C83" s="11">
        <v>1.3333333333333334E-2</v>
      </c>
      <c r="D83" s="11">
        <v>2.3333333333333334E-2</v>
      </c>
      <c r="E83" s="11">
        <v>7.0000000000000007E-2</v>
      </c>
      <c r="F83" s="11">
        <v>0.10666666666666667</v>
      </c>
      <c r="G83" s="11">
        <v>0.15333333333333332</v>
      </c>
      <c r="H83" s="11">
        <v>0.18333333333333332</v>
      </c>
      <c r="I83" s="11">
        <v>0.16333333333333333</v>
      </c>
      <c r="J83" s="11">
        <v>0.15333333333333332</v>
      </c>
      <c r="K83" s="11">
        <v>5.3333333333333337E-2</v>
      </c>
    </row>
    <row r="84" spans="1:11" x14ac:dyDescent="0.25">
      <c r="A84" s="8" t="s">
        <v>522</v>
      </c>
      <c r="B84" s="11">
        <v>3.7344398340248962E-2</v>
      </c>
      <c r="C84" s="11">
        <v>4.9792531120331947E-2</v>
      </c>
      <c r="D84" s="11">
        <v>7.0539419087136929E-2</v>
      </c>
      <c r="E84" s="11">
        <v>0.13278008298755187</v>
      </c>
      <c r="F84" s="11">
        <v>6.6390041493775934E-2</v>
      </c>
      <c r="G84" s="11">
        <v>0.12033195020746888</v>
      </c>
      <c r="H84" s="11">
        <v>0.17012448132780084</v>
      </c>
      <c r="I84" s="11">
        <v>0.18257261410788381</v>
      </c>
      <c r="J84" s="11">
        <v>0.12863070539419086</v>
      </c>
      <c r="K84" s="11">
        <v>2.4896265560165973E-2</v>
      </c>
    </row>
    <row r="85" spans="1:11" x14ac:dyDescent="0.25">
      <c r="A85" s="8" t="s">
        <v>523</v>
      </c>
      <c r="B85" s="11">
        <v>4.4843049327354258E-2</v>
      </c>
      <c r="C85" s="11">
        <v>4.4843049327354258E-2</v>
      </c>
      <c r="D85" s="11">
        <v>5.3811659192825115E-2</v>
      </c>
      <c r="E85" s="11">
        <v>5.3811659192825115E-2</v>
      </c>
      <c r="F85" s="11">
        <v>8.0717488789237665E-2</v>
      </c>
      <c r="G85" s="11">
        <v>0.13004484304932734</v>
      </c>
      <c r="H85" s="11">
        <v>0.19282511210762332</v>
      </c>
      <c r="I85" s="11">
        <v>0.1210762331838565</v>
      </c>
      <c r="J85" s="11">
        <v>0.15695067264573992</v>
      </c>
      <c r="K85" s="11">
        <v>4.0358744394618833E-2</v>
      </c>
    </row>
    <row r="86" spans="1:11" x14ac:dyDescent="0.25">
      <c r="A86" s="8" t="s">
        <v>524</v>
      </c>
      <c r="B86" s="11">
        <v>7.6190476190476197E-2</v>
      </c>
      <c r="C86" s="11">
        <v>2.3809523809523808E-2</v>
      </c>
      <c r="D86" s="11">
        <v>3.8095238095238099E-2</v>
      </c>
      <c r="E86" s="11">
        <v>0.1</v>
      </c>
      <c r="F86" s="11">
        <v>7.6190476190476197E-2</v>
      </c>
      <c r="G86" s="11">
        <v>0.19523809523809524</v>
      </c>
      <c r="H86" s="11">
        <v>0.15714285714285714</v>
      </c>
      <c r="I86" s="11">
        <v>0.16666666666666666</v>
      </c>
      <c r="J86" s="11">
        <v>8.0952380952380956E-2</v>
      </c>
      <c r="K86" s="11">
        <v>2.8571428571428571E-2</v>
      </c>
    </row>
    <row r="87" spans="1:11" x14ac:dyDescent="0.25">
      <c r="A87" s="8" t="s">
        <v>525</v>
      </c>
      <c r="B87" s="11">
        <v>0.04</v>
      </c>
      <c r="C87" s="11">
        <v>0</v>
      </c>
      <c r="D87" s="11">
        <v>2.4E-2</v>
      </c>
      <c r="E87" s="11">
        <v>4.8000000000000001E-2</v>
      </c>
      <c r="F87" s="11">
        <v>0.112</v>
      </c>
      <c r="G87" s="11">
        <v>0.16800000000000001</v>
      </c>
      <c r="H87" s="11">
        <v>0.192</v>
      </c>
      <c r="I87" s="11">
        <v>0.128</v>
      </c>
      <c r="J87" s="11">
        <v>0.192</v>
      </c>
      <c r="K87" s="11">
        <v>3.2000000000000001E-2</v>
      </c>
    </row>
    <row r="88" spans="1:11" x14ac:dyDescent="0.25">
      <c r="A88" s="8" t="s">
        <v>526</v>
      </c>
      <c r="B88" s="11">
        <v>2.6923076923076925E-2</v>
      </c>
      <c r="C88" s="11">
        <v>2.6923076923076925E-2</v>
      </c>
      <c r="D88" s="11">
        <v>1.1538461538461539E-2</v>
      </c>
      <c r="E88" s="11">
        <v>7.6923076923076927E-2</v>
      </c>
      <c r="F88" s="11">
        <v>8.8461538461538466E-2</v>
      </c>
      <c r="G88" s="11">
        <v>0.17307692307692307</v>
      </c>
      <c r="H88" s="11">
        <v>0.23461538461538461</v>
      </c>
      <c r="I88" s="11">
        <v>0.14615384615384616</v>
      </c>
      <c r="J88" s="11">
        <v>0.11923076923076924</v>
      </c>
      <c r="K88" s="11">
        <v>4.230769230769231E-2</v>
      </c>
    </row>
    <row r="89" spans="1:11" x14ac:dyDescent="0.25">
      <c r="A89" s="8" t="s">
        <v>527</v>
      </c>
      <c r="B89" s="11">
        <v>3.3980582524271843E-2</v>
      </c>
      <c r="C89" s="11">
        <v>3.8834951456310676E-2</v>
      </c>
      <c r="D89" s="11">
        <v>1.9417475728155338E-2</v>
      </c>
      <c r="E89" s="11">
        <v>0.10679611650485436</v>
      </c>
      <c r="F89" s="11">
        <v>3.3980582524271843E-2</v>
      </c>
      <c r="G89" s="11">
        <v>0.17475728155339806</v>
      </c>
      <c r="H89" s="11">
        <v>0.1650485436893204</v>
      </c>
      <c r="I89" s="11">
        <v>0.12621359223300971</v>
      </c>
      <c r="J89" s="11">
        <v>0.14077669902912621</v>
      </c>
      <c r="K89" s="11">
        <v>8.2524271844660199E-2</v>
      </c>
    </row>
    <row r="90" spans="1:11" x14ac:dyDescent="0.25">
      <c r="A90" s="8" t="s">
        <v>528</v>
      </c>
      <c r="B90" s="11">
        <v>3.0303030303030304E-2</v>
      </c>
      <c r="C90" s="11">
        <v>0</v>
      </c>
      <c r="D90" s="11">
        <v>0</v>
      </c>
      <c r="E90" s="11">
        <v>0.1111111111111111</v>
      </c>
      <c r="F90" s="11">
        <v>9.0909090909090912E-2</v>
      </c>
      <c r="G90" s="11">
        <v>0.24242424242424243</v>
      </c>
      <c r="H90" s="11">
        <v>0.1111111111111111</v>
      </c>
      <c r="I90" s="11">
        <v>9.0909090909090912E-2</v>
      </c>
      <c r="J90" s="11">
        <v>0.19191919191919191</v>
      </c>
      <c r="K90" s="11">
        <v>0.1111111111111111</v>
      </c>
    </row>
    <row r="91" spans="1:11" x14ac:dyDescent="0.25">
      <c r="A91" s="8" t="s">
        <v>529</v>
      </c>
      <c r="B91" s="11">
        <v>0</v>
      </c>
      <c r="C91" s="11">
        <v>2.7027027027027029E-2</v>
      </c>
      <c r="D91" s="11">
        <v>0</v>
      </c>
      <c r="E91" s="11">
        <v>0.16216216216216217</v>
      </c>
      <c r="F91" s="11">
        <v>8.1081081081081086E-2</v>
      </c>
      <c r="G91" s="11">
        <v>0.29729729729729731</v>
      </c>
      <c r="H91" s="11">
        <v>0.1891891891891892</v>
      </c>
      <c r="I91" s="11">
        <v>5.4054054054054057E-2</v>
      </c>
      <c r="J91" s="11">
        <v>0.1891891891891892</v>
      </c>
      <c r="K91" s="11">
        <v>0</v>
      </c>
    </row>
    <row r="92" spans="1:11" x14ac:dyDescent="0.25">
      <c r="A92" s="8" t="s">
        <v>530</v>
      </c>
      <c r="B92" s="11">
        <v>2.9556650246305417E-2</v>
      </c>
      <c r="C92" s="11">
        <v>4.1871921182266007E-2</v>
      </c>
      <c r="D92" s="11">
        <v>2.2167487684729065E-2</v>
      </c>
      <c r="E92" s="11">
        <v>6.5270935960591137E-2</v>
      </c>
      <c r="F92" s="11">
        <v>5.4187192118226604E-2</v>
      </c>
      <c r="G92" s="11">
        <v>0.18719211822660098</v>
      </c>
      <c r="H92" s="11">
        <v>0.20689655172413793</v>
      </c>
      <c r="I92" s="11">
        <v>0.17733990147783252</v>
      </c>
      <c r="J92" s="11">
        <v>0.11822660098522167</v>
      </c>
      <c r="K92" s="11">
        <v>4.9261083743842367E-2</v>
      </c>
    </row>
    <row r="93" spans="1:11" x14ac:dyDescent="0.25">
      <c r="A93" s="8" t="s">
        <v>531</v>
      </c>
      <c r="B93" s="11">
        <v>4.778156996587031E-2</v>
      </c>
      <c r="C93" s="11">
        <v>3.0716723549488054E-2</v>
      </c>
      <c r="D93" s="11">
        <v>1.0238907849829351E-2</v>
      </c>
      <c r="E93" s="11">
        <v>5.8020477815699661E-2</v>
      </c>
      <c r="F93" s="11">
        <v>7.5085324232081918E-2</v>
      </c>
      <c r="G93" s="11">
        <v>0.17406143344709898</v>
      </c>
      <c r="H93" s="11">
        <v>0.13993174061433447</v>
      </c>
      <c r="I93" s="11">
        <v>0.18430034129692832</v>
      </c>
      <c r="J93" s="11">
        <v>0.16723549488054607</v>
      </c>
      <c r="K93" s="11">
        <v>4.0955631399317405E-2</v>
      </c>
    </row>
    <row r="94" spans="1:11" x14ac:dyDescent="0.25">
      <c r="A94" s="8" t="s">
        <v>532</v>
      </c>
      <c r="B94" s="11">
        <v>3.6912751677852351E-2</v>
      </c>
      <c r="C94" s="11">
        <v>1.6778523489932886E-2</v>
      </c>
      <c r="D94" s="11">
        <v>5.7046979865771813E-2</v>
      </c>
      <c r="E94" s="11">
        <v>7.3825503355704702E-2</v>
      </c>
      <c r="F94" s="11">
        <v>0.11409395973154363</v>
      </c>
      <c r="G94" s="11">
        <v>0.20134228187919462</v>
      </c>
      <c r="H94" s="11">
        <v>0.13087248322147652</v>
      </c>
      <c r="I94" s="11">
        <v>0.14093959731543623</v>
      </c>
      <c r="J94" s="11">
        <v>0.11409395973154363</v>
      </c>
      <c r="K94" s="11">
        <v>5.7046979865771813E-2</v>
      </c>
    </row>
    <row r="95" spans="1:11" x14ac:dyDescent="0.25">
      <c r="A95" s="8" t="s">
        <v>533</v>
      </c>
      <c r="B95" s="11">
        <v>5.9459459459459463E-2</v>
      </c>
      <c r="C95" s="11">
        <v>2.1621621621621623E-2</v>
      </c>
      <c r="D95" s="11">
        <v>1.0810810810810811E-2</v>
      </c>
      <c r="E95" s="11">
        <v>0.11351351351351352</v>
      </c>
      <c r="F95" s="11">
        <v>3.783783783783784E-2</v>
      </c>
      <c r="G95" s="11">
        <v>0.14054054054054055</v>
      </c>
      <c r="H95" s="11">
        <v>0.22702702702702704</v>
      </c>
      <c r="I95" s="11">
        <v>0.14594594594594595</v>
      </c>
      <c r="J95" s="11">
        <v>0.13513513513513514</v>
      </c>
      <c r="K95" s="11">
        <v>5.4054054054054057E-2</v>
      </c>
    </row>
    <row r="96" spans="1:11" x14ac:dyDescent="0.25">
      <c r="A96" s="8" t="s">
        <v>534</v>
      </c>
      <c r="B96" s="11">
        <v>5.0541516245487361E-2</v>
      </c>
      <c r="C96" s="11">
        <v>7.2202166064981949E-2</v>
      </c>
      <c r="D96" s="11">
        <v>3.6101083032490976E-3</v>
      </c>
      <c r="E96" s="11">
        <v>0.1552346570397112</v>
      </c>
      <c r="F96" s="11">
        <v>0.12274368231046931</v>
      </c>
      <c r="G96" s="11">
        <v>0.20216606498194944</v>
      </c>
      <c r="H96" s="11">
        <v>0.11913357400722022</v>
      </c>
      <c r="I96" s="11">
        <v>0.15162454873646208</v>
      </c>
      <c r="J96" s="11">
        <v>6.1371841155234655E-2</v>
      </c>
      <c r="K96" s="11">
        <v>4.6931407942238268E-2</v>
      </c>
    </row>
    <row r="97" spans="1:15" x14ac:dyDescent="0.25">
      <c r="A97" s="8" t="s">
        <v>535</v>
      </c>
      <c r="B97" s="11">
        <v>0</v>
      </c>
      <c r="C97" s="11">
        <v>0</v>
      </c>
      <c r="D97" s="11">
        <v>0</v>
      </c>
      <c r="E97" s="11">
        <v>7.8947368421052627E-2</v>
      </c>
      <c r="F97" s="11">
        <v>0.10526315789473684</v>
      </c>
      <c r="G97" s="11">
        <v>0.21052631578947367</v>
      </c>
      <c r="H97" s="11">
        <v>0.31578947368421051</v>
      </c>
      <c r="I97" s="11">
        <v>0.18421052631578946</v>
      </c>
      <c r="J97" s="11">
        <v>7.8947368421052627E-2</v>
      </c>
      <c r="K97" s="11">
        <v>2.6315789473684209E-2</v>
      </c>
    </row>
    <row r="98" spans="1:15" x14ac:dyDescent="0.25">
      <c r="A98" s="8" t="s">
        <v>536</v>
      </c>
      <c r="B98" s="11">
        <v>0</v>
      </c>
      <c r="C98" s="11">
        <v>4.7619047619047616E-2</v>
      </c>
      <c r="D98" s="11">
        <v>0</v>
      </c>
      <c r="E98" s="11">
        <v>4.7619047619047616E-2</v>
      </c>
      <c r="F98" s="11">
        <v>0.11904761904761904</v>
      </c>
      <c r="G98" s="11">
        <v>0.19047619047619047</v>
      </c>
      <c r="H98" s="11">
        <v>0.16666666666666666</v>
      </c>
      <c r="I98" s="11">
        <v>0.14285714285714285</v>
      </c>
      <c r="J98" s="11">
        <v>0.26190476190476192</v>
      </c>
      <c r="K98" s="11">
        <v>0</v>
      </c>
    </row>
    <row r="99" spans="1:15" x14ac:dyDescent="0.25">
      <c r="A99" s="8" t="s">
        <v>537</v>
      </c>
      <c r="B99" s="11">
        <v>1.3157894736842105E-2</v>
      </c>
      <c r="C99" s="11">
        <v>0</v>
      </c>
      <c r="D99" s="11">
        <v>0</v>
      </c>
      <c r="E99" s="11">
        <v>5.2631578947368418E-2</v>
      </c>
      <c r="F99" s="11">
        <v>7.8947368421052627E-2</v>
      </c>
      <c r="G99" s="11">
        <v>0.28947368421052633</v>
      </c>
      <c r="H99" s="11">
        <v>0.19736842105263158</v>
      </c>
      <c r="I99" s="11">
        <v>0.14473684210526316</v>
      </c>
      <c r="J99" s="11">
        <v>7.8947368421052627E-2</v>
      </c>
      <c r="K99" s="11">
        <v>9.2105263157894732E-2</v>
      </c>
    </row>
    <row r="100" spans="1:15" x14ac:dyDescent="0.25">
      <c r="A100" s="8" t="s">
        <v>538</v>
      </c>
      <c r="B100" s="11">
        <v>3.0303030303030304E-2</v>
      </c>
      <c r="C100" s="11">
        <v>9.8280098280098274E-2</v>
      </c>
      <c r="D100" s="11">
        <v>1.2285012285012284E-2</v>
      </c>
      <c r="E100" s="11">
        <v>4.0950040950040949E-2</v>
      </c>
      <c r="F100" s="11">
        <v>2.2932022932022931E-2</v>
      </c>
      <c r="G100" s="11">
        <v>0.18018018018018017</v>
      </c>
      <c r="H100" s="11">
        <v>0.15151515151515152</v>
      </c>
      <c r="I100" s="11">
        <v>0.25716625716625718</v>
      </c>
      <c r="J100" s="11">
        <v>0.11957411957411958</v>
      </c>
      <c r="K100" s="11">
        <v>5.9787059787059789E-2</v>
      </c>
    </row>
    <row r="101" spans="1:15" s="87" customFormat="1" ht="14.25" x14ac:dyDescent="0.2">
      <c r="A101" s="87" t="s">
        <v>539</v>
      </c>
      <c r="B101" s="94">
        <v>4.5556282860702298E-2</v>
      </c>
      <c r="C101" s="94">
        <v>3.9538419307840113E-2</v>
      </c>
      <c r="D101" s="94">
        <v>1.607930910703351E-2</v>
      </c>
      <c r="E101" s="94">
        <v>5.4804788952469437E-2</v>
      </c>
      <c r="F101" s="94">
        <v>3.5484279651175066E-2</v>
      </c>
      <c r="G101" s="94">
        <v>0.18362929960514368</v>
      </c>
      <c r="H101" s="94">
        <v>0.14461876306509849</v>
      </c>
      <c r="I101" s="94">
        <v>0.2436918009248506</v>
      </c>
      <c r="J101" s="94">
        <v>0.13694334762136026</v>
      </c>
      <c r="K101" s="94">
        <v>5.8890601575202178E-2</v>
      </c>
      <c r="L101" s="14">
        <v>4.0763107329124346E-2</v>
      </c>
      <c r="M101" s="14"/>
    </row>
    <row r="103" spans="1:15" ht="18.75" x14ac:dyDescent="0.3">
      <c r="A103" s="6"/>
      <c r="B103" s="40" t="s">
        <v>455</v>
      </c>
      <c r="C103" s="7"/>
      <c r="D103" s="7"/>
      <c r="E103" s="7"/>
      <c r="F103" s="7"/>
      <c r="G103" s="7"/>
      <c r="H103" s="40"/>
      <c r="I103" s="7"/>
      <c r="J103" s="7"/>
      <c r="K103" s="7"/>
      <c r="L103" s="7"/>
      <c r="M103" s="7"/>
      <c r="N103" s="7"/>
      <c r="O103" s="7"/>
    </row>
    <row r="104" spans="1:15" x14ac:dyDescent="0.25">
      <c r="A104" s="27" t="s">
        <v>445</v>
      </c>
    </row>
    <row r="105" spans="1:15" x14ac:dyDescent="0.25">
      <c r="A105" s="27" t="s">
        <v>429</v>
      </c>
    </row>
    <row r="106" spans="1:15" ht="29.25" x14ac:dyDescent="0.25">
      <c r="A106" s="10"/>
      <c r="B106" s="83" t="s">
        <v>210</v>
      </c>
      <c r="C106" s="83" t="s">
        <v>361</v>
      </c>
      <c r="D106" s="83" t="s">
        <v>2</v>
      </c>
      <c r="E106" s="83" t="s">
        <v>8</v>
      </c>
      <c r="F106" s="83" t="s">
        <v>1</v>
      </c>
      <c r="G106" s="83" t="s">
        <v>0</v>
      </c>
      <c r="H106" s="83" t="s">
        <v>6</v>
      </c>
    </row>
    <row r="107" spans="1:15" x14ac:dyDescent="0.25">
      <c r="A107" s="41" t="s">
        <v>338</v>
      </c>
      <c r="B107" s="12">
        <v>4.276184428456397E-2</v>
      </c>
      <c r="C107" s="12">
        <v>3.4470588235294121E-2</v>
      </c>
      <c r="D107" s="12">
        <v>3.2840957980783021E-2</v>
      </c>
      <c r="E107" s="12">
        <v>3.1144331731624845E-2</v>
      </c>
      <c r="F107" s="12">
        <v>5.1040312093628089E-2</v>
      </c>
      <c r="G107" s="12">
        <v>2.7440970006381619E-2</v>
      </c>
      <c r="H107" s="12">
        <v>5.2826691380908251E-2</v>
      </c>
    </row>
    <row r="108" spans="1:15" x14ac:dyDescent="0.25">
      <c r="A108" s="41" t="s">
        <v>360</v>
      </c>
      <c r="B108" s="12">
        <v>7.3271883367266116E-2</v>
      </c>
      <c r="C108" s="12">
        <v>4.4470588235294116E-2</v>
      </c>
      <c r="D108" s="12">
        <v>4.1302165495482573E-2</v>
      </c>
      <c r="E108" s="12">
        <v>4.7428368037017263E-2</v>
      </c>
      <c r="F108" s="12">
        <v>4.1287386215864759E-2</v>
      </c>
      <c r="G108" s="12">
        <v>5.0095724313975749E-2</v>
      </c>
      <c r="H108" s="12">
        <v>2.6876737720111215E-2</v>
      </c>
    </row>
    <row r="109" spans="1:15" x14ac:dyDescent="0.25">
      <c r="A109" s="41" t="s">
        <v>336</v>
      </c>
      <c r="B109" s="12">
        <v>9.8580715272367808E-2</v>
      </c>
      <c r="C109" s="12">
        <v>7.094117647058823E-2</v>
      </c>
      <c r="D109" s="12">
        <v>7.0414455757923419E-2</v>
      </c>
      <c r="E109" s="12">
        <v>7.0208222103577148E-2</v>
      </c>
      <c r="F109" s="12">
        <v>6.0793237971391419E-2</v>
      </c>
      <c r="G109" s="12">
        <v>9.0299936183790688E-2</v>
      </c>
      <c r="H109" s="12">
        <v>5.4680259499536608E-2</v>
      </c>
    </row>
    <row r="110" spans="1:15" x14ac:dyDescent="0.25">
      <c r="A110" s="41" t="s">
        <v>100</v>
      </c>
      <c r="B110" s="12">
        <v>8.891151073955994E-2</v>
      </c>
      <c r="C110" s="12">
        <v>0.12435294117647058</v>
      </c>
      <c r="D110" s="12">
        <v>0.18385200057364118</v>
      </c>
      <c r="E110" s="12">
        <v>0.10277629471436199</v>
      </c>
      <c r="F110" s="12">
        <v>8.7126137841352411E-2</v>
      </c>
      <c r="G110" s="12">
        <v>0.12922782386726228</v>
      </c>
      <c r="H110" s="12">
        <v>5.6533827618164965E-2</v>
      </c>
    </row>
    <row r="111" spans="1:15" x14ac:dyDescent="0.25">
      <c r="A111" s="41" t="s">
        <v>88</v>
      </c>
      <c r="B111" s="12">
        <v>0.19884388522647672</v>
      </c>
      <c r="C111" s="12">
        <v>0.25819607843137254</v>
      </c>
      <c r="D111" s="12">
        <v>0.20751469955542809</v>
      </c>
      <c r="E111" s="12">
        <v>0.30058729311265348</v>
      </c>
      <c r="F111" s="12">
        <v>0.27243172951885564</v>
      </c>
      <c r="G111" s="12">
        <v>0.22941927249521379</v>
      </c>
      <c r="H111" s="12">
        <v>0.18721037998146431</v>
      </c>
    </row>
    <row r="112" spans="1:15" x14ac:dyDescent="0.25">
      <c r="A112" s="41" t="s">
        <v>104</v>
      </c>
      <c r="B112" s="12">
        <v>0.14511989944551007</v>
      </c>
      <c r="C112" s="12">
        <v>0.11372549019607843</v>
      </c>
      <c r="D112" s="12">
        <v>0.11888713609637172</v>
      </c>
      <c r="E112" s="12">
        <v>0.10749243637657946</v>
      </c>
      <c r="F112" s="12">
        <v>0.11248374512353707</v>
      </c>
      <c r="G112" s="12">
        <v>0.11614550095724314</v>
      </c>
      <c r="H112" s="12">
        <v>0.14179796107506951</v>
      </c>
    </row>
    <row r="113" spans="1:8" x14ac:dyDescent="0.25">
      <c r="A113" s="41" t="s">
        <v>89</v>
      </c>
      <c r="B113" s="12">
        <v>0.15579072096783697</v>
      </c>
      <c r="C113" s="12">
        <v>0.17760784313725489</v>
      </c>
      <c r="D113" s="12">
        <v>0.14799942635881255</v>
      </c>
      <c r="E113" s="12">
        <v>0.18846769887880405</v>
      </c>
      <c r="F113" s="12">
        <v>0.18302990897269181</v>
      </c>
      <c r="G113" s="12">
        <v>0.18059987236758138</v>
      </c>
      <c r="H113" s="12">
        <v>0.23169601482854496</v>
      </c>
    </row>
    <row r="114" spans="1:8" x14ac:dyDescent="0.25">
      <c r="A114" s="41" t="s">
        <v>101</v>
      </c>
      <c r="B114" s="12">
        <v>0.12505810033190837</v>
      </c>
      <c r="C114" s="12">
        <v>0.1167843137254902</v>
      </c>
      <c r="D114" s="12">
        <v>0.14355370715617383</v>
      </c>
      <c r="E114" s="12">
        <v>9.6903363587827016E-2</v>
      </c>
      <c r="F114" s="12">
        <v>0.10208062418725618</v>
      </c>
      <c r="G114" s="12">
        <v>0.12476068921506063</v>
      </c>
      <c r="H114" s="12">
        <v>0.16960148285449489</v>
      </c>
    </row>
    <row r="115" spans="1:8" x14ac:dyDescent="0.25">
      <c r="A115" s="41" t="s">
        <v>102</v>
      </c>
      <c r="B115" s="12">
        <v>3.544938560944793E-2</v>
      </c>
      <c r="C115" s="12">
        <v>2.0549019607843139E-2</v>
      </c>
      <c r="D115" s="12">
        <v>2.007744156030403E-2</v>
      </c>
      <c r="E115" s="12">
        <v>2.4025627335824879E-2</v>
      </c>
      <c r="F115" s="12">
        <v>1.6579973992197659E-2</v>
      </c>
      <c r="G115" s="12">
        <v>1.5954052329291639E-2</v>
      </c>
      <c r="H115" s="12">
        <v>1.2048192771084338E-2</v>
      </c>
    </row>
    <row r="116" spans="1:8" x14ac:dyDescent="0.25">
      <c r="A116" s="41" t="s">
        <v>103</v>
      </c>
      <c r="B116" s="12">
        <v>3.6212054755062097E-2</v>
      </c>
      <c r="C116" s="12">
        <v>3.9176470588235292E-2</v>
      </c>
      <c r="D116" s="12">
        <v>3.3701419761938904E-2</v>
      </c>
      <c r="E116" s="12">
        <v>3.1500266951414842E-2</v>
      </c>
      <c r="F116" s="12">
        <v>7.3146944083224974E-2</v>
      </c>
      <c r="G116" s="12">
        <v>3.6056158264199105E-2</v>
      </c>
      <c r="H116" s="12">
        <v>6.672845227062095E-2</v>
      </c>
    </row>
    <row r="117" spans="1:8" x14ac:dyDescent="0.25">
      <c r="A117" s="41"/>
      <c r="B117" s="12"/>
      <c r="C117" s="12"/>
      <c r="D117" s="12"/>
      <c r="E117" s="12"/>
      <c r="F117" s="12"/>
      <c r="G117" s="12"/>
      <c r="H117" s="12"/>
    </row>
    <row r="118" spans="1:8" x14ac:dyDescent="0.25">
      <c r="A118" s="41"/>
      <c r="B118" s="12"/>
      <c r="C118" s="12"/>
      <c r="D118" s="12"/>
      <c r="E118" s="12"/>
      <c r="F118" s="12"/>
      <c r="G118" s="12"/>
      <c r="H118" s="12"/>
    </row>
    <row r="119" spans="1:8" x14ac:dyDescent="0.25">
      <c r="A119" s="41"/>
      <c r="B119" s="12"/>
      <c r="C119" s="12"/>
      <c r="D119" s="12"/>
      <c r="E119" s="12"/>
      <c r="F119" s="12"/>
      <c r="G119" s="12"/>
      <c r="H119" s="12"/>
    </row>
    <row r="120" spans="1:8" x14ac:dyDescent="0.25">
      <c r="A120" s="41"/>
      <c r="B120" s="12"/>
      <c r="C120" s="12"/>
      <c r="D120" s="12"/>
      <c r="E120" s="12"/>
      <c r="F120" s="12"/>
      <c r="G120" s="12"/>
      <c r="H120" s="12"/>
    </row>
    <row r="121" spans="1:8" x14ac:dyDescent="0.25">
      <c r="A121" s="41"/>
      <c r="B121" s="12"/>
      <c r="C121" s="12"/>
      <c r="D121" s="12"/>
      <c r="E121" s="12"/>
      <c r="F121" s="12"/>
      <c r="G121" s="12"/>
      <c r="H121" s="12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1</vt:i4>
      </vt:variant>
    </vt:vector>
  </HeadingPairs>
  <TitlesOfParts>
    <vt:vector size="7" baseType="lpstr">
      <vt:lpstr>Sommaire</vt:lpstr>
      <vt:lpstr>Corpus</vt:lpstr>
      <vt:lpstr>Présence</vt:lpstr>
      <vt:lpstr>Cooccurrences</vt:lpstr>
      <vt:lpstr>Fonction</vt:lpstr>
      <vt:lpstr>Verbes</vt:lpstr>
      <vt:lpstr>Sommaire!_Toc194351286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Maurice Billet</dc:creator>
  <cp:lastModifiedBy>Emmanuel Dumont</cp:lastModifiedBy>
  <dcterms:created xsi:type="dcterms:W3CDTF">2019-03-05T18:00:51Z</dcterms:created>
  <dcterms:modified xsi:type="dcterms:W3CDTF">2025-07-16T09:43:26Z</dcterms:modified>
</cp:coreProperties>
</file>